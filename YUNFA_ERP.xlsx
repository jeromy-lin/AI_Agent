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55619c60704f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司與資料說明" sheetId="1" r:id="Rc463eb1a28da4219"/>
    <x:sheet xmlns:r="http://schemas.openxmlformats.org/officeDocument/2006/relationships" name="客戶主檔" sheetId="2" r:id="Red42f8e5659c4b03"/>
    <x:sheet xmlns:r="http://schemas.openxmlformats.org/officeDocument/2006/relationships" name="產品主檔" sheetId="3" r:id="R4ef700e38af24743"/>
    <x:sheet xmlns:r="http://schemas.openxmlformats.org/officeDocument/2006/relationships" name="物料與供應商" sheetId="4" r:id="R538735735e3e495d"/>
    <x:sheet xmlns:r="http://schemas.openxmlformats.org/officeDocument/2006/relationships" name="產品BOM" sheetId="5" r:id="Refe0195b5fec4ba7"/>
    <x:sheet xmlns:r="http://schemas.openxmlformats.org/officeDocument/2006/relationships" name="報價紀錄" sheetId="6" r:id="R94bc26ea1f0349f9"/>
    <x:sheet xmlns:r="http://schemas.openxmlformats.org/officeDocument/2006/relationships" name="銷售訂單" sheetId="7" r:id="Rf6da16462a3b4720"/>
    <x:sheet xmlns:r="http://schemas.openxmlformats.org/officeDocument/2006/relationships" name="採購與到料" sheetId="8" r:id="R0dee6ce35bfc48be"/>
    <x:sheet xmlns:r="http://schemas.openxmlformats.org/officeDocument/2006/relationships" name="庫存快照" sheetId="9" r:id="R06f69e63b3304eb8"/>
    <x:sheet xmlns:r="http://schemas.openxmlformats.org/officeDocument/2006/relationships" name="出貨與客退" sheetId="10" r:id="Rf44f07f35cf64fe8"/>
    <x:sheet xmlns:r="http://schemas.openxmlformats.org/officeDocument/2006/relationships" name="成本結算" sheetId="11" r:id="Re1b75737a4404bd2"/>
    <x:sheet xmlns:r="http://schemas.openxmlformats.org/officeDocument/2006/relationships" name="欄位字典" sheetId="12" r:id="Rce8e4a2a0dd54cc8"/>
    <x:sheet xmlns:r="http://schemas.openxmlformats.org/officeDocument/2006/relationships" name="客戶編碼與市場規則" sheetId="13" r:id="Re87007ff93f849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6B5B"/>
      </x:patternFill>
    </x:fill>
    <x:fill>
      <x:patternFill patternType="solid">
        <x:fgColor rgb="FF4A9B84"/>
      </x:patternFill>
    </x:fill>
    <x:fill>
      <x:patternFill patternType="solid">
        <x:fgColor rgb="FF4A9B84"/>
      </x:patternFill>
    </x:fill>
    <x:fill>
      <x:patternFill patternType="solid">
        <x:fgColor rgb="FF176B5B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bd6be8a9ba4296" /><Relationship Type="http://schemas.openxmlformats.org/officeDocument/2006/relationships/theme" Target="/xl/theme/theme1.xml" Id="R18bf244f975442b7" /><Relationship Type="http://schemas.openxmlformats.org/officeDocument/2006/relationships/sharedStrings" Target="/xl/sharedStrings.xml" Id="R5bc5d3bd524e47bd" /><Relationship Type="http://schemas.openxmlformats.org/officeDocument/2006/relationships/worksheet" Target="/xl/worksheets/sheet1.xml" Id="Rc463eb1a28da4219" /><Relationship Type="http://schemas.openxmlformats.org/officeDocument/2006/relationships/worksheet" Target="/xl/worksheets/sheet2.xml" Id="Red42f8e5659c4b03" /><Relationship Type="http://schemas.openxmlformats.org/officeDocument/2006/relationships/worksheet" Target="/xl/worksheets/sheet3.xml" Id="R4ef700e38af24743" /><Relationship Type="http://schemas.openxmlformats.org/officeDocument/2006/relationships/worksheet" Target="/xl/worksheets/sheet4.xml" Id="R538735735e3e495d" /><Relationship Type="http://schemas.openxmlformats.org/officeDocument/2006/relationships/worksheet" Target="/xl/worksheets/sheet5.xml" Id="Refe0195b5fec4ba7" /><Relationship Type="http://schemas.openxmlformats.org/officeDocument/2006/relationships/worksheet" Target="/xl/worksheets/sheet6.xml" Id="R94bc26ea1f0349f9" /><Relationship Type="http://schemas.openxmlformats.org/officeDocument/2006/relationships/worksheet" Target="/xl/worksheets/sheet7.xml" Id="Rf6da16462a3b4720" /><Relationship Type="http://schemas.openxmlformats.org/officeDocument/2006/relationships/worksheet" Target="/xl/worksheets/sheet8.xml" Id="R0dee6ce35bfc48be" /><Relationship Type="http://schemas.openxmlformats.org/officeDocument/2006/relationships/worksheet" Target="/xl/worksheets/sheet9.xml" Id="R06f69e63b3304eb8" /><Relationship Type="http://schemas.openxmlformats.org/officeDocument/2006/relationships/worksheet" Target="/xl/worksheets/sheet10.xml" Id="Rf44f07f35cf64fe8" /><Relationship Type="http://schemas.openxmlformats.org/officeDocument/2006/relationships/worksheet" Target="/xl/worksheets/sheet11.xml" Id="Re1b75737a4404bd2" /><Relationship Type="http://schemas.openxmlformats.org/officeDocument/2006/relationships/worksheet" Target="/xl/worksheets/sheet12.xml" Id="Rce8e4a2a0dd54cc8" /><Relationship Type="http://schemas.openxmlformats.org/officeDocument/2006/relationships/worksheet" Target="/xl/worksheets/sheet13.xml" Id="Re87007ff93f849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 ht="24" customHeight="1">
      <x:c r="A1" s="6" t="str">
        <x:v>項目</x:v>
      </x:c>
      <x:c r="B1" s="6" t="str">
        <x:v>內容</x:v>
      </x:c>
    </x:row>
    <x:row r="2" ht="24" customHeight="1">
      <x:c r="A2" s="7" t="str">
        <x:v>公司名稱</x:v>
      </x:c>
      <x:c r="B2" s="7" t="str">
        <x:v>雲發科精密機電股份有限公司</x:v>
      </x:c>
    </x:row>
    <x:row r="3" ht="24" customHeight="1">
      <x:c r="A3" s="7" t="str">
        <x:v>企業定位</x:v>
      </x:c>
      <x:c r="B3" s="7" t="str">
        <x:v>中型金屬機電製造商；汽車零組件起家，逐步轉型至精密機電、自動化與半導體設備零組件。</x:v>
      </x:c>
    </x:row>
    <x:row r="4" ht="24" customHeight="1">
      <x:c r="A4" s="7" t="str">
        <x:v>總部／工廠</x:v>
      </x:c>
      <x:c r="B4" s="7" t="str">
        <x:v>台中總部／彰化製造工廠</x:v>
      </x:c>
    </x:row>
    <x:row r="5" ht="24" customHeight="1">
      <x:c r="A5" s="7" t="str">
        <x:v>員工人數</x:v>
      </x:c>
      <x:c r="B5" s="7" t="str">
        <x:v>約 280 人</x:v>
      </x:c>
    </x:row>
    <x:row r="6" ht="24" customHeight="1">
      <x:c r="A6" s="7" t="str">
        <x:v>實收資本額</x:v>
      </x:c>
      <x:c r="B6" s="7" t="str">
        <x:v>約新台幣 3.5 億元</x:v>
      </x:c>
    </x:row>
    <x:row r="7" ht="24" customHeight="1">
      <x:c r="A7" s="7" t="str">
        <x:v>營收設定</x:v>
      </x:c>
      <x:c r="B7" s="7" t="str">
        <x:v>月營收約 1.8～2.2 億元；年營收約 24 億元（教學情境）</x:v>
      </x:c>
    </x:row>
    <x:row r="8" ht="24" customHeight="1">
      <x:c r="A8" s="7" t="str">
        <x:v>資料期間</x:v>
      </x:c>
      <x:c r="B8" s="7" t="str">
        <x:v>2023-09-01 ～ 2026-08-31</x:v>
      </x:c>
    </x:row>
    <x:row r="9" ht="24" customHeight="1">
      <x:c r="A9" s="7" t="str">
        <x:v>ERP定位</x:v>
      </x:c>
      <x:c r="B9" s="7" t="str">
        <x:v>管理客戶、產品、報價、訂單、採購、庫存、成本與出貨。</x:v>
      </x:c>
    </x:row>
    <x:row r="10" ht="24" customHeight="1">
      <x:c r="A10" s="7" t="str">
        <x:v>MES定位</x:v>
      </x:c>
      <x:c r="B10" s="7" t="str">
        <x:v>管理工單、生產報工、機台、品質、材料齊套與成品入庫。</x:v>
      </x:c>
    </x:row>
    <x:row r="11" ht="24" customHeight="1">
      <x:c r="A11" s="7" t="str">
        <x:v>核心串接鍵</x:v>
      </x:c>
      <x:c r="B11" s="7" t="str">
        <x:v>客戶ID → 報價ID → 訂單明細ID → 工單ID／生產批號；SKU → BOM → 物料ID；機台ID連接生產與設備。</x:v>
      </x:c>
    </x:row>
    <x:row r="12" ht="24" customHeight="1">
      <x:c r="A12" s="7" t="str">
        <x:v>AI應用</x:v>
      </x:c>
      <x:c r="B12" s="7" t="str">
        <x:v>Regression：成本／工時預測；K-Means：客戶分群；Isolation Forest：異常工單；Rule-Based Scheduling：工單與CNC排程。</x:v>
      </x:c>
    </x:row>
    <x:row r="13" ht="24" customHeight="1">
      <x:c r="A13" s="7" t="str">
        <x:v>重要邏輯</x:v>
      </x:c>
      <x:c r="B13" s="7" t="str">
        <x:v>工單優先使用急單、交期、客戶等級、材料齊套與品質風險；機台負載只在機台分派階段使用。</x:v>
      </x:c>
    </x:row>
    <x:row r="14" ht="24" customHeight="1">
      <x:c r="A14" s="7" t="str">
        <x:v>目前排程池</x:v>
      </x:c>
      <x:c r="B14" s="7" t="str">
        <x:v>保留 100 張未結工單，供即時排程、交期風險與材料缺料分析。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1" hidden="0" customWidth="1"/>
    <x:col min="4" max="4" width="22" hidden="0" customWidth="1"/>
    <x:col min="5" max="5" width="12" hidden="0" customWidth="1"/>
    <x:col min="6" max="6" width="12" hidden="0" customWidth="1"/>
    <x:col min="7" max="7" width="11" hidden="0" customWidth="1"/>
    <x:col min="8" max="8" width="12" hidden="0" customWidth="1"/>
    <x:col min="9" max="9" width="11" hidden="0" customWidth="1"/>
    <x:col min="10" max="10" width="14" hidden="0" customWidth="1"/>
    <x:col min="11" max="11" width="11" hidden="0" customWidth="1"/>
  </x:cols>
  <x:sheetData>
    <x:row r="1" ht="28" customHeight="1">
      <x:c r="A1" s="27" t="str">
        <x:v>Customer_ID</x:v>
      </x:c>
      <x:c r="B1" s="27" t="str">
        <x:v>客戶名稱</x:v>
      </x:c>
      <x:c r="C1" s="27" t="str">
        <x:v>產業代碼</x:v>
      </x:c>
      <x:c r="D1" s="27" t="str">
        <x:v>產業別</x:v>
      </x:c>
      <x:c r="E1" s="27" t="str">
        <x:v>銷售區域</x:v>
      </x:c>
      <x:c r="F1" s="27" t="str">
        <x:v>市場國別</x:v>
      </x:c>
      <x:c r="G1" s="27" t="str">
        <x:v>客戶等級</x:v>
      </x:c>
      <x:c r="H1" s="27" t="str">
        <x:v>付款條件_天</x:v>
      </x:c>
      <x:c r="I1" s="27" t="str">
        <x:v>負責業務</x:v>
      </x:c>
      <x:c r="J1" s="27" t="str">
        <x:v>合作起始日期</x:v>
      </x:c>
      <x:c r="K1" s="27" t="str">
        <x:v>往來狀態</x:v>
      </x:c>
    </x:row>
    <x:row r="2" ht="20" customHeight="1">
      <x:c r="A2" t="str">
        <x:v>AUT-001</x:v>
      </x:c>
      <x:c r="B2" t="str">
        <x:v>宏駿汽車零件股份有限公司</x:v>
      </x:c>
      <x:c r="C2" t="str">
        <x:v>AUT</x:v>
      </x:c>
      <x:c r="D2" t="str">
        <x:v>汽車 Tier 1</x:v>
      </x:c>
      <x:c r="E2" t="str">
        <x:v>北美</x:v>
      </x:c>
      <x:c r="F2" t="str">
        <x:v>美國</x:v>
      </x:c>
      <x:c r="G2" t="str">
        <x:v>VIP</x:v>
      </x:c>
      <x:c r="H2" t="n">
        <x:v>60</x:v>
      </x:c>
      <x:c r="I2" s="20" t="str">
        <x:v>S01</x:v>
      </x:c>
      <x:c r="J2" s="20" t="n">
        <x:v>43990</x:v>
      </x:c>
      <x:c r="K2" t="str">
        <x:v>啟用</x:v>
      </x:c>
    </x:row>
    <x:row r="3" ht="20" customHeight="1">
      <x:c r="A3" t="str">
        <x:v>AUT-002</x:v>
      </x:c>
      <x:c r="B3" t="str">
        <x:v>東岳汽車零件股份有限公司</x:v>
      </x:c>
      <x:c r="C3" t="str">
        <x:v>AUT</x:v>
      </x:c>
      <x:c r="D3" t="str">
        <x:v>汽車 Tier 1</x:v>
      </x:c>
      <x:c r="E3" t="str">
        <x:v>國內</x:v>
      </x:c>
      <x:c r="F3" t="str">
        <x:v>台灣</x:v>
      </x:c>
      <x:c r="G3" t="str">
        <x:v>重要</x:v>
      </x:c>
      <x:c r="H3" t="n">
        <x:v>30</x:v>
      </x:c>
      <x:c r="I3" s="20" t="str">
        <x:v>S04</x:v>
      </x:c>
      <x:c r="J3" s="20" t="n">
        <x:v>45062</x:v>
      </x:c>
      <x:c r="K3" t="str">
        <x:v>啟用</x:v>
      </x:c>
    </x:row>
    <x:row r="4" ht="20" customHeight="1">
      <x:c r="A4" t="str">
        <x:v>AUT-003</x:v>
      </x:c>
      <x:c r="B4" t="str">
        <x:v>聯鋒汽車零件股份有限公司</x:v>
      </x:c>
      <x:c r="C4" t="str">
        <x:v>AUT</x:v>
      </x:c>
      <x:c r="D4" t="str">
        <x:v>汽車 Tier 1</x:v>
      </x:c>
      <x:c r="E4" t="str">
        <x:v>東北亞</x:v>
      </x:c>
      <x:c r="F4" t="str">
        <x:v>日本</x:v>
      </x:c>
      <x:c r="G4" t="str">
        <x:v>VIP</x:v>
      </x:c>
      <x:c r="H4" t="n">
        <x:v>60</x:v>
      </x:c>
      <x:c r="I4" s="20" t="str">
        <x:v>S03</x:v>
      </x:c>
      <x:c r="J4" s="20" t="n">
        <x:v>43572</x:v>
      </x:c>
      <x:c r="K4" t="str">
        <x:v>啟用</x:v>
      </x:c>
    </x:row>
    <x:row r="5" ht="20" customHeight="1">
      <x:c r="A5" t="str">
        <x:v>AUT-004</x:v>
      </x:c>
      <x:c r="B5" t="str">
        <x:v>冠馳汽車零件股份有限公司</x:v>
      </x:c>
      <x:c r="C5" t="str">
        <x:v>AUT</x:v>
      </x:c>
      <x:c r="D5" t="str">
        <x:v>汽車 Tier 1</x:v>
      </x:c>
      <x:c r="E5" t="str">
        <x:v>國內</x:v>
      </x:c>
      <x:c r="F5" t="str">
        <x:v>台灣</x:v>
      </x:c>
      <x:c r="G5" t="str">
        <x:v>VIP</x:v>
      </x:c>
      <x:c r="H5" t="n">
        <x:v>45</x:v>
      </x:c>
      <x:c r="I5" s="20" t="str">
        <x:v>S03</x:v>
      </x:c>
      <x:c r="J5" s="20" t="n">
        <x:v>44109</x:v>
      </x:c>
      <x:c r="K5" t="str">
        <x:v>啟用</x:v>
      </x:c>
    </x:row>
    <x:row r="6" ht="20" customHeight="1">
      <x:c r="A6" t="str">
        <x:v>AUT-005</x:v>
      </x:c>
      <x:c r="B6" t="str">
        <x:v>鼎承汽車零件股份有限公司</x:v>
      </x:c>
      <x:c r="C6" t="str">
        <x:v>AUT</x:v>
      </x:c>
      <x:c r="D6" t="str">
        <x:v>汽車 Tier 1</x:v>
      </x:c>
      <x:c r="E6" t="str">
        <x:v>國內</x:v>
      </x:c>
      <x:c r="F6" t="str">
        <x:v>台灣</x:v>
      </x:c>
      <x:c r="G6" t="str">
        <x:v>VIP</x:v>
      </x:c>
      <x:c r="H6" t="n">
        <x:v>60</x:v>
      </x:c>
      <x:c r="I6" s="20" t="str">
        <x:v>S04</x:v>
      </x:c>
      <x:c r="J6" s="20" t="n">
        <x:v>44067</x:v>
      </x:c>
      <x:c r="K6" t="str">
        <x:v>啟用</x:v>
      </x:c>
    </x:row>
    <x:row r="7" ht="20" customHeight="1">
      <x:c r="A7" t="str">
        <x:v>AUT-006</x:v>
      </x:c>
      <x:c r="B7" t="str">
        <x:v>盛泰汽車零件股份有限公司</x:v>
      </x:c>
      <x:c r="C7" t="str">
        <x:v>AUT</x:v>
      </x:c>
      <x:c r="D7" t="str">
        <x:v>汽車 Tier 1</x:v>
      </x:c>
      <x:c r="E7" t="str">
        <x:v>東南亞</x:v>
      </x:c>
      <x:c r="F7" t="str">
        <x:v>越南</x:v>
      </x:c>
      <x:c r="G7" t="str">
        <x:v>一般</x:v>
      </x:c>
      <x:c r="H7" t="n">
        <x:v>90</x:v>
      </x:c>
      <x:c r="I7" s="20" t="str">
        <x:v>S03</x:v>
      </x:c>
      <x:c r="J7" s="20" t="n">
        <x:v>43512</x:v>
      </x:c>
      <x:c r="K7" t="str">
        <x:v>啟用</x:v>
      </x:c>
    </x:row>
    <x:row r="8" ht="20" customHeight="1">
      <x:c r="A8" t="str">
        <x:v>AUT-007</x:v>
      </x:c>
      <x:c r="B8" t="str">
        <x:v>永動汽車零件股份有限公司</x:v>
      </x:c>
      <x:c r="C8" t="str">
        <x:v>AUT</x:v>
      </x:c>
      <x:c r="D8" t="str">
        <x:v>汽車 Tier 1</x:v>
      </x:c>
      <x:c r="E8" t="str">
        <x:v>歐洲</x:v>
      </x:c>
      <x:c r="F8" t="str">
        <x:v>德國</x:v>
      </x:c>
      <x:c r="G8" t="str">
        <x:v>一般</x:v>
      </x:c>
      <x:c r="H8" t="n">
        <x:v>60</x:v>
      </x:c>
      <x:c r="I8" s="20" t="str">
        <x:v>S04</x:v>
      </x:c>
      <x:c r="J8" s="20" t="n">
        <x:v>44966</x:v>
      </x:c>
      <x:c r="K8" t="str">
        <x:v>啟用</x:v>
      </x:c>
    </x:row>
    <x:row r="9" ht="20" customHeight="1">
      <x:c r="A9" t="str">
        <x:v>AUT-008</x:v>
      </x:c>
      <x:c r="B9" t="str">
        <x:v>凱速汽車零件股份有限公司</x:v>
      </x:c>
      <x:c r="C9" t="str">
        <x:v>AUT</x:v>
      </x:c>
      <x:c r="D9" t="str">
        <x:v>汽車 Tier 1</x:v>
      </x:c>
      <x:c r="E9" t="str">
        <x:v>東南亞</x:v>
      </x:c>
      <x:c r="F9" t="str">
        <x:v>越南</x:v>
      </x:c>
      <x:c r="G9" t="str">
        <x:v>重要</x:v>
      </x:c>
      <x:c r="H9" t="n">
        <x:v>30</x:v>
      </x:c>
      <x:c r="I9" s="20" t="str">
        <x:v>S01</x:v>
      </x:c>
      <x:c r="J9" s="20" t="n">
        <x:v>43113</x:v>
      </x:c>
      <x:c r="K9" t="str">
        <x:v>啟用</x:v>
      </x:c>
    </x:row>
    <x:row r="10" ht="20" customHeight="1">
      <x:c r="A10" t="str">
        <x:v>AUT-009</x:v>
      </x:c>
      <x:c r="B10" t="str">
        <x:v>崇越汽車零件股份有限公司</x:v>
      </x:c>
      <x:c r="C10" t="str">
        <x:v>AUT</x:v>
      </x:c>
      <x:c r="D10" t="str">
        <x:v>汽車 Tier 1</x:v>
      </x:c>
      <x:c r="E10" t="str">
        <x:v>國內</x:v>
      </x:c>
      <x:c r="F10" t="str">
        <x:v>台灣</x:v>
      </x:c>
      <x:c r="G10" t="str">
        <x:v>重要</x:v>
      </x:c>
      <x:c r="H10" t="n">
        <x:v>60</x:v>
      </x:c>
      <x:c r="I10" s="20" t="str">
        <x:v>S04</x:v>
      </x:c>
      <x:c r="J10" s="20" t="n">
        <x:v>43443</x:v>
      </x:c>
      <x:c r="K10" t="str">
        <x:v>啟用</x:v>
      </x:c>
    </x:row>
    <x:row r="11" ht="20" customHeight="1">
      <x:c r="A11" t="str">
        <x:v>AUT-010</x:v>
      </x:c>
      <x:c r="B11" t="str">
        <x:v>精馳汽車零件股份有限公司</x:v>
      </x:c>
      <x:c r="C11" t="str">
        <x:v>AUT</x:v>
      </x:c>
      <x:c r="D11" t="str">
        <x:v>汽車 Tier 1</x:v>
      </x:c>
      <x:c r="E11" t="str">
        <x:v>東北亞</x:v>
      </x:c>
      <x:c r="F11" t="str">
        <x:v>日本</x:v>
      </x:c>
      <x:c r="G11" t="str">
        <x:v>VIP</x:v>
      </x:c>
      <x:c r="H11" t="n">
        <x:v>60</x:v>
      </x:c>
      <x:c r="I11" s="20" t="str">
        <x:v>S05</x:v>
      </x:c>
      <x:c r="J11" s="20" t="n">
        <x:v>44900</x:v>
      </x:c>
      <x:c r="K11" t="str">
        <x:v>啟用</x:v>
      </x:c>
    </x:row>
    <x:row r="12" ht="20" customHeight="1">
      <x:c r="A12" t="str">
        <x:v>AUT-011</x:v>
      </x:c>
      <x:c r="B12" t="str">
        <x:v>銳動汽車零件股份有限公司</x:v>
      </x:c>
      <x:c r="C12" t="str">
        <x:v>AUT</x:v>
      </x:c>
      <x:c r="D12" t="str">
        <x:v>汽車 Tier 1</x:v>
      </x:c>
      <x:c r="E12" t="str">
        <x:v>北美</x:v>
      </x:c>
      <x:c r="F12" t="str">
        <x:v>美國</x:v>
      </x:c>
      <x:c r="G12" t="str">
        <x:v>重要</x:v>
      </x:c>
      <x:c r="H12" t="n">
        <x:v>60</x:v>
      </x:c>
      <x:c r="I12" s="20" t="str">
        <x:v>S02</x:v>
      </x:c>
      <x:c r="J12" s="20" t="n">
        <x:v>43279</x:v>
      </x:c>
      <x:c r="K12" t="str">
        <x:v>啟用</x:v>
      </x:c>
    </x:row>
    <x:row r="13" ht="20" customHeight="1">
      <x:c r="A13" t="str">
        <x:v>AUT-012</x:v>
      </x:c>
      <x:c r="B13" t="str">
        <x:v>新岳汽車零件股份有限公司</x:v>
      </x:c>
      <x:c r="C13" t="str">
        <x:v>AUT</x:v>
      </x:c>
      <x:c r="D13" t="str">
        <x:v>汽車 Tier 1</x:v>
      </x:c>
      <x:c r="E13" t="str">
        <x:v>歐洲</x:v>
      </x:c>
      <x:c r="F13" t="str">
        <x:v>德國</x:v>
      </x:c>
      <x:c r="G13" t="str">
        <x:v>VIP</x:v>
      </x:c>
      <x:c r="H13" t="n">
        <x:v>45</x:v>
      </x:c>
      <x:c r="I13" s="20" t="str">
        <x:v>S06</x:v>
      </x:c>
      <x:c r="J13" s="20" t="n">
        <x:v>45105</x:v>
      </x:c>
      <x:c r="K13" t="str">
        <x:v>啟用</x:v>
      </x:c>
    </x:row>
    <x:row r="14" ht="20" customHeight="1">
      <x:c r="A14" t="str">
        <x:v>AUT-013</x:v>
      </x:c>
      <x:c r="B14" t="str">
        <x:v>展鋒汽車零件股份有限公司</x:v>
      </x:c>
      <x:c r="C14" t="str">
        <x:v>AUT</x:v>
      </x:c>
      <x:c r="D14" t="str">
        <x:v>汽車 Tier 1</x:v>
      </x:c>
      <x:c r="E14" t="str">
        <x:v>東南亞</x:v>
      </x:c>
      <x:c r="F14" t="str">
        <x:v>泰國</x:v>
      </x:c>
      <x:c r="G14" t="str">
        <x:v>重要</x:v>
      </x:c>
      <x:c r="H14" t="n">
        <x:v>45</x:v>
      </x:c>
      <x:c r="I14" s="20" t="str">
        <x:v>S01</x:v>
      </x:c>
      <x:c r="J14" s="20" t="n">
        <x:v>45356</x:v>
      </x:c>
      <x:c r="K14" t="str">
        <x:v>啟用</x:v>
      </x:c>
    </x:row>
    <x:row r="15" ht="20" customHeight="1">
      <x:c r="A15" t="str">
        <x:v>AUT-014</x:v>
      </x:c>
      <x:c r="B15" t="str">
        <x:v>鉅程汽車零件股份有限公司</x:v>
      </x:c>
      <x:c r="C15" t="str">
        <x:v>AUT</x:v>
      </x:c>
      <x:c r="D15" t="str">
        <x:v>汽車 Tier 1</x:v>
      </x:c>
      <x:c r="E15" t="str">
        <x:v>東北亞</x:v>
      </x:c>
      <x:c r="F15" t="str">
        <x:v>日本</x:v>
      </x:c>
      <x:c r="G15" t="str">
        <x:v>重要</x:v>
      </x:c>
      <x:c r="H15" t="n">
        <x:v>60</x:v>
      </x:c>
      <x:c r="I15" s="20" t="str">
        <x:v>S06</x:v>
      </x:c>
      <x:c r="J15" s="20" t="n">
        <x:v>44975</x:v>
      </x:c>
      <x:c r="K15" t="str">
        <x:v>啟用</x:v>
      </x:c>
    </x:row>
    <x:row r="16" ht="20" customHeight="1">
      <x:c r="A16" t="str">
        <x:v>AFT-001</x:v>
      </x:c>
      <x:c r="B16" t="str">
        <x:v>車匠汽車零配件有限公司</x:v>
      </x:c>
      <x:c r="C16" t="str">
        <x:v>AFT</x:v>
      </x:c>
      <x:c r="D16" t="str">
        <x:v>汽車售後／零配件</x:v>
      </x:c>
      <x:c r="E16" t="str">
        <x:v>北美</x:v>
      </x:c>
      <x:c r="F16" t="str">
        <x:v>美國</x:v>
      </x:c>
      <x:c r="G16" t="str">
        <x:v>重要</x:v>
      </x:c>
      <x:c r="H16" t="n">
        <x:v>60</x:v>
      </x:c>
      <x:c r="I16" s="20" t="str">
        <x:v>S05</x:v>
      </x:c>
      <x:c r="J16" s="20" t="n">
        <x:v>45928</x:v>
      </x:c>
      <x:c r="K16" t="str">
        <x:v>啟用</x:v>
      </x:c>
    </x:row>
    <x:row r="17" ht="20" customHeight="1">
      <x:c r="A17" t="str">
        <x:v>AFT-002</x:v>
      </x:c>
      <x:c r="B17" t="str">
        <x:v>駿達汽車零配件有限公司</x:v>
      </x:c>
      <x:c r="C17" t="str">
        <x:v>AFT</x:v>
      </x:c>
      <x:c r="D17" t="str">
        <x:v>汽車售後／零配件</x:v>
      </x:c>
      <x:c r="E17" t="str">
        <x:v>國內</x:v>
      </x:c>
      <x:c r="F17" t="str">
        <x:v>台灣</x:v>
      </x:c>
      <x:c r="G17" t="str">
        <x:v>一般</x:v>
      </x:c>
      <x:c r="H17" t="n">
        <x:v>90</x:v>
      </x:c>
      <x:c r="I17" s="20" t="str">
        <x:v>S04</x:v>
      </x:c>
      <x:c r="J17" s="20" t="n">
        <x:v>44492</x:v>
      </x:c>
      <x:c r="K17" t="str">
        <x:v>啟用</x:v>
      </x:c>
    </x:row>
    <x:row r="18" ht="20" customHeight="1">
      <x:c r="A18" t="str">
        <x:v>AFT-003</x:v>
      </x:c>
      <x:c r="B18" t="str">
        <x:v>路馳汽車零配件有限公司</x:v>
      </x:c>
      <x:c r="C18" t="str">
        <x:v>AFT</x:v>
      </x:c>
      <x:c r="D18" t="str">
        <x:v>汽車售後／零配件</x:v>
      </x:c>
      <x:c r="E18" t="str">
        <x:v>國內</x:v>
      </x:c>
      <x:c r="F18" t="str">
        <x:v>台灣</x:v>
      </x:c>
      <x:c r="G18" t="str">
        <x:v>重要</x:v>
      </x:c>
      <x:c r="H18" t="n">
        <x:v>60</x:v>
      </x:c>
      <x:c r="I18" s="20" t="str">
        <x:v>S01</x:v>
      </x:c>
      <x:c r="J18" s="20" t="n">
        <x:v>44131</x:v>
      </x:c>
      <x:c r="K18" t="str">
        <x:v>啟用</x:v>
      </x:c>
    </x:row>
    <x:row r="19" ht="20" customHeight="1">
      <x:c r="A19" t="str">
        <x:v>AFT-004</x:v>
      </x:c>
      <x:c r="B19" t="str">
        <x:v>佳輪汽車零配件有限公司</x:v>
      </x:c>
      <x:c r="C19" t="str">
        <x:v>AFT</x:v>
      </x:c>
      <x:c r="D19" t="str">
        <x:v>汽車售後／零配件</x:v>
      </x:c>
      <x:c r="E19" t="str">
        <x:v>北美</x:v>
      </x:c>
      <x:c r="F19" t="str">
        <x:v>美國</x:v>
      </x:c>
      <x:c r="G19" t="str">
        <x:v>重要</x:v>
      </x:c>
      <x:c r="H19" t="n">
        <x:v>60</x:v>
      </x:c>
      <x:c r="I19" s="20" t="str">
        <x:v>S02</x:v>
      </x:c>
      <x:c r="J19" s="20" t="n">
        <x:v>45334</x:v>
      </x:c>
      <x:c r="K19" t="str">
        <x:v>啟用</x:v>
      </x:c>
    </x:row>
    <x:row r="20" ht="20" customHeight="1">
      <x:c r="A20" t="str">
        <x:v>AFT-005</x:v>
      </x:c>
      <x:c r="B20" t="str">
        <x:v>展業汽車零配件有限公司</x:v>
      </x:c>
      <x:c r="C20" t="str">
        <x:v>AFT</x:v>
      </x:c>
      <x:c r="D20" t="str">
        <x:v>汽車售後／零配件</x:v>
      </x:c>
      <x:c r="E20" t="str">
        <x:v>東南亞</x:v>
      </x:c>
      <x:c r="F20" t="str">
        <x:v>泰國</x:v>
      </x:c>
      <x:c r="G20" t="str">
        <x:v>VIP</x:v>
      </x:c>
      <x:c r="H20" t="n">
        <x:v>30</x:v>
      </x:c>
      <x:c r="I20" s="20" t="str">
        <x:v>S05</x:v>
      </x:c>
      <x:c r="J20" s="20" t="n">
        <x:v>44122</x:v>
      </x:c>
      <x:c r="K20" t="str">
        <x:v>啟用</x:v>
      </x:c>
    </x:row>
    <x:row r="21" ht="20" customHeight="1">
      <x:c r="A21" t="str">
        <x:v>AFT-006</x:v>
      </x:c>
      <x:c r="B21" t="str">
        <x:v>泰銓汽車零配件有限公司</x:v>
      </x:c>
      <x:c r="C21" t="str">
        <x:v>AFT</x:v>
      </x:c>
      <x:c r="D21" t="str">
        <x:v>汽車售後／零配件</x:v>
      </x:c>
      <x:c r="E21" t="str">
        <x:v>東南亞</x:v>
      </x:c>
      <x:c r="F21" t="str">
        <x:v>越南</x:v>
      </x:c>
      <x:c r="G21" t="str">
        <x:v>一般</x:v>
      </x:c>
      <x:c r="H21" t="n">
        <x:v>60</x:v>
      </x:c>
      <x:c r="I21" s="20" t="str">
        <x:v>S01</x:v>
      </x:c>
      <x:c r="J21" s="20" t="n">
        <x:v>44628</x:v>
      </x:c>
      <x:c r="K21" t="str">
        <x:v>啟用</x:v>
      </x:c>
    </x:row>
    <x:row r="22" ht="20" customHeight="1">
      <x:c r="A22" t="str">
        <x:v>AFT-007</x:v>
      </x:c>
      <x:c r="B22" t="str">
        <x:v>宏輪汽車零配件有限公司</x:v>
      </x:c>
      <x:c r="C22" t="str">
        <x:v>AFT</x:v>
      </x:c>
      <x:c r="D22" t="str">
        <x:v>汽車售後／零配件</x:v>
      </x:c>
      <x:c r="E22" t="str">
        <x:v>國內</x:v>
      </x:c>
      <x:c r="F22" t="str">
        <x:v>台灣</x:v>
      </x:c>
      <x:c r="G22" t="str">
        <x:v>一般</x:v>
      </x:c>
      <x:c r="H22" t="n">
        <x:v>60</x:v>
      </x:c>
      <x:c r="I22" s="20" t="str">
        <x:v>S04</x:v>
      </x:c>
      <x:c r="J22" s="20" t="n">
        <x:v>43109</x:v>
      </x:c>
      <x:c r="K22" t="str">
        <x:v>啟用</x:v>
      </x:c>
    </x:row>
    <x:row r="23" ht="20" customHeight="1">
      <x:c r="A23" t="str">
        <x:v>AFT-008</x:v>
      </x:c>
      <x:c r="B23" t="str">
        <x:v>聯鑫汽車零配件有限公司</x:v>
      </x:c>
      <x:c r="C23" t="str">
        <x:v>AFT</x:v>
      </x:c>
      <x:c r="D23" t="str">
        <x:v>汽車售後／零配件</x:v>
      </x:c>
      <x:c r="E23" t="str">
        <x:v>東北亞</x:v>
      </x:c>
      <x:c r="F23" t="str">
        <x:v>日本</x:v>
      </x:c>
      <x:c r="G23" t="str">
        <x:v>重要</x:v>
      </x:c>
      <x:c r="H23" t="n">
        <x:v>30</x:v>
      </x:c>
      <x:c r="I23" s="20" t="str">
        <x:v>S04</x:v>
      </x:c>
      <x:c r="J23" s="20" t="n">
        <x:v>44395</x:v>
      </x:c>
      <x:c r="K23" t="str">
        <x:v>啟用</x:v>
      </x:c>
    </x:row>
    <x:row r="24" ht="20" customHeight="1">
      <x:c r="A24" t="str">
        <x:v>IAT-001</x:v>
      </x:c>
      <x:c r="B24" t="str">
        <x:v>智程自動化科技股份有限公司</x:v>
      </x:c>
      <x:c r="C24" t="str">
        <x:v>IAT</x:v>
      </x:c>
      <x:c r="D24" t="str">
        <x:v>工業自動化／設備商</x:v>
      </x:c>
      <x:c r="E24" t="str">
        <x:v>東南亞</x:v>
      </x:c>
      <x:c r="F24" t="str">
        <x:v>越南</x:v>
      </x:c>
      <x:c r="G24" t="str">
        <x:v>一般</x:v>
      </x:c>
      <x:c r="H24" t="n">
        <x:v>45</x:v>
      </x:c>
      <x:c r="I24" s="20" t="str">
        <x:v>S05</x:v>
      </x:c>
      <x:c r="J24" s="20" t="n">
        <x:v>44047</x:v>
      </x:c>
      <x:c r="K24" t="str">
        <x:v>啟用</x:v>
      </x:c>
    </x:row>
    <x:row r="25" ht="20" customHeight="1">
      <x:c r="A25" t="str">
        <x:v>IAT-002</x:v>
      </x:c>
      <x:c r="B25" t="str">
        <x:v>精控自動化科技股份有限公司</x:v>
      </x:c>
      <x:c r="C25" t="str">
        <x:v>IAT</x:v>
      </x:c>
      <x:c r="D25" t="str">
        <x:v>工業自動化／設備商</x:v>
      </x:c>
      <x:c r="E25" t="str">
        <x:v>歐洲</x:v>
      </x:c>
      <x:c r="F25" t="str">
        <x:v>德國</x:v>
      </x:c>
      <x:c r="G25" t="str">
        <x:v>一般</x:v>
      </x:c>
      <x:c r="H25" t="n">
        <x:v>90</x:v>
      </x:c>
      <x:c r="I25" s="20" t="str">
        <x:v>S01</x:v>
      </x:c>
      <x:c r="J25" s="20" t="n">
        <x:v>45861</x:v>
      </x:c>
      <x:c r="K25" t="str">
        <x:v>啟用</x:v>
      </x:c>
    </x:row>
    <x:row r="26" ht="20" customHeight="1">
      <x:c r="A26" t="str">
        <x:v>IAT-003</x:v>
      </x:c>
      <x:c r="B26" t="str">
        <x:v>迅動自動化科技股份有限公司</x:v>
      </x:c>
      <x:c r="C26" t="str">
        <x:v>IAT</x:v>
      </x:c>
      <x:c r="D26" t="str">
        <x:v>工業自動化／設備商</x:v>
      </x:c>
      <x:c r="E26" t="str">
        <x:v>東北亞</x:v>
      </x:c>
      <x:c r="F26" t="str">
        <x:v>日本</x:v>
      </x:c>
      <x:c r="G26" t="str">
        <x:v>重要</x:v>
      </x:c>
      <x:c r="H26" t="n">
        <x:v>45</x:v>
      </x:c>
      <x:c r="I26" s="20" t="str">
        <x:v>S04</x:v>
      </x:c>
      <x:c r="J26" s="20" t="n">
        <x:v>45610</x:v>
      </x:c>
      <x:c r="K26" t="str">
        <x:v>啟用</x:v>
      </x:c>
    </x:row>
    <x:row r="27" ht="20" customHeight="1">
      <x:c r="A27" t="str">
        <x:v>IAT-004</x:v>
      </x:c>
      <x:c r="B27" t="str">
        <x:v>科揚自動化科技股份有限公司</x:v>
      </x:c>
      <x:c r="C27" t="str">
        <x:v>IAT</x:v>
      </x:c>
      <x:c r="D27" t="str">
        <x:v>工業自動化／設備商</x:v>
      </x:c>
      <x:c r="E27" t="str">
        <x:v>東南亞</x:v>
      </x:c>
      <x:c r="F27" t="str">
        <x:v>泰國</x:v>
      </x:c>
      <x:c r="G27" t="str">
        <x:v>重要</x:v>
      </x:c>
      <x:c r="H27" t="n">
        <x:v>45</x:v>
      </x:c>
      <x:c r="I27" s="20" t="str">
        <x:v>S05</x:v>
      </x:c>
      <x:c r="J27" s="20" t="n">
        <x:v>45305</x:v>
      </x:c>
      <x:c r="K27" t="str">
        <x:v>啟用</x:v>
      </x:c>
    </x:row>
    <x:row r="28" ht="20" customHeight="1">
      <x:c r="A28" t="str">
        <x:v>IAT-005</x:v>
      </x:c>
      <x:c r="B28" t="str">
        <x:v>啟程自動化科技股份有限公司</x:v>
      </x:c>
      <x:c r="C28" t="str">
        <x:v>IAT</x:v>
      </x:c>
      <x:c r="D28" t="str">
        <x:v>工業自動化／設備商</x:v>
      </x:c>
      <x:c r="E28" t="str">
        <x:v>國內</x:v>
      </x:c>
      <x:c r="F28" t="str">
        <x:v>台灣</x:v>
      </x:c>
      <x:c r="G28" t="str">
        <x:v>一般</x:v>
      </x:c>
      <x:c r="H28" t="n">
        <x:v>90</x:v>
      </x:c>
      <x:c r="I28" s="20" t="str">
        <x:v>S02</x:v>
      </x:c>
      <x:c r="J28" s="20" t="n">
        <x:v>45011</x:v>
      </x:c>
      <x:c r="K28" t="str">
        <x:v>啟用</x:v>
      </x:c>
    </x:row>
    <x:row r="29" ht="20" customHeight="1">
      <x:c r="A29" t="str">
        <x:v>IAT-006</x:v>
      </x:c>
      <x:c r="B29" t="str">
        <x:v>承智自動化科技股份有限公司</x:v>
      </x:c>
      <x:c r="C29" t="str">
        <x:v>IAT</x:v>
      </x:c>
      <x:c r="D29" t="str">
        <x:v>工業自動化／設備商</x:v>
      </x:c>
      <x:c r="E29" t="str">
        <x:v>東北亞</x:v>
      </x:c>
      <x:c r="F29" t="str">
        <x:v>日本</x:v>
      </x:c>
      <x:c r="G29" t="str">
        <x:v>重要</x:v>
      </x:c>
      <x:c r="H29" t="n">
        <x:v>45</x:v>
      </x:c>
      <x:c r="I29" s="20" t="str">
        <x:v>S01</x:v>
      </x:c>
      <x:c r="J29" s="20" t="n">
        <x:v>43543</x:v>
      </x:c>
      <x:c r="K29" t="str">
        <x:v>啟用</x:v>
      </x:c>
    </x:row>
    <x:row r="30" ht="20" customHeight="1">
      <x:c r="A30" t="str">
        <x:v>IAT-007</x:v>
      </x:c>
      <x:c r="B30" t="str">
        <x:v>立創自動化科技股份有限公司</x:v>
      </x:c>
      <x:c r="C30" t="str">
        <x:v>IAT</x:v>
      </x:c>
      <x:c r="D30" t="str">
        <x:v>工業自動化／設備商</x:v>
      </x:c>
      <x:c r="E30" t="str">
        <x:v>北美</x:v>
      </x:c>
      <x:c r="F30" t="str">
        <x:v>美國</x:v>
      </x:c>
      <x:c r="G30" t="str">
        <x:v>重要</x:v>
      </x:c>
      <x:c r="H30" t="n">
        <x:v>45</x:v>
      </x:c>
      <x:c r="I30" s="20" t="str">
        <x:v>S04</x:v>
      </x:c>
      <x:c r="J30" s="20" t="n">
        <x:v>45148</x:v>
      </x:c>
      <x:c r="K30" t="str">
        <x:v>啟用</x:v>
      </x:c>
    </x:row>
    <x:row r="31" ht="20" customHeight="1">
      <x:c r="A31" t="str">
        <x:v>IAT-008</x:v>
      </x:c>
      <x:c r="B31" t="str">
        <x:v>鋒控自動化科技股份有限公司</x:v>
      </x:c>
      <x:c r="C31" t="str">
        <x:v>IAT</x:v>
      </x:c>
      <x:c r="D31" t="str">
        <x:v>工業自動化／設備商</x:v>
      </x:c>
      <x:c r="E31" t="str">
        <x:v>歐洲</x:v>
      </x:c>
      <x:c r="F31" t="str">
        <x:v>德國</x:v>
      </x:c>
      <x:c r="G31" t="str">
        <x:v>重要</x:v>
      </x:c>
      <x:c r="H31" t="n">
        <x:v>45</x:v>
      </x:c>
      <x:c r="I31" s="20" t="str">
        <x:v>S01</x:v>
      </x:c>
      <x:c r="J31" s="20" t="n">
        <x:v>44362</x:v>
      </x:c>
      <x:c r="K31" t="str">
        <x:v>啟用</x:v>
      </x:c>
    </x:row>
    <x:row r="32" ht="20" customHeight="1">
      <x:c r="A32" t="str">
        <x:v>IAT-009</x:v>
      </x:c>
      <x:c r="B32" t="str">
        <x:v>弘展自動化科技股份有限公司</x:v>
      </x:c>
      <x:c r="C32" t="str">
        <x:v>IAT</x:v>
      </x:c>
      <x:c r="D32" t="str">
        <x:v>工業自動化／設備商</x:v>
      </x:c>
      <x:c r="E32" t="str">
        <x:v>國內</x:v>
      </x:c>
      <x:c r="F32" t="str">
        <x:v>台灣</x:v>
      </x:c>
      <x:c r="G32" t="str">
        <x:v>重要</x:v>
      </x:c>
      <x:c r="H32" t="n">
        <x:v>45</x:v>
      </x:c>
      <x:c r="I32" s="20" t="str">
        <x:v>S04</x:v>
      </x:c>
      <x:c r="J32" s="20" t="n">
        <x:v>43836</x:v>
      </x:c>
      <x:c r="K32" t="str">
        <x:v>啟用</x:v>
      </x:c>
    </x:row>
    <x:row r="33" ht="20" customHeight="1">
      <x:c r="A33" t="str">
        <x:v>IAT-010</x:v>
      </x:c>
      <x:c r="B33" t="str">
        <x:v>卓動自動化科技股份有限公司</x:v>
      </x:c>
      <x:c r="C33" t="str">
        <x:v>IAT</x:v>
      </x:c>
      <x:c r="D33" t="str">
        <x:v>工業自動化／設備商</x:v>
      </x:c>
      <x:c r="E33" t="str">
        <x:v>國內</x:v>
      </x:c>
      <x:c r="F33" t="str">
        <x:v>台灣</x:v>
      </x:c>
      <x:c r="G33" t="str">
        <x:v>重要</x:v>
      </x:c>
      <x:c r="H33" t="n">
        <x:v>60</x:v>
      </x:c>
      <x:c r="I33" s="20" t="str">
        <x:v>S04</x:v>
      </x:c>
      <x:c r="J33" s="20" t="n">
        <x:v>44362</x:v>
      </x:c>
      <x:c r="K33" t="str">
        <x:v>啟用</x:v>
      </x:c>
    </x:row>
    <x:row r="34" ht="20" customHeight="1">
      <x:c r="A34" t="str">
        <x:v>SEM-001</x:v>
      </x:c>
      <x:c r="B34" t="str">
        <x:v>矽創設備科技股份有限公司</x:v>
      </x:c>
      <x:c r="C34" t="str">
        <x:v>SEM</x:v>
      </x:c>
      <x:c r="D34" t="str">
        <x:v>半導體設備</x:v>
      </x:c>
      <x:c r="E34" t="str">
        <x:v>歐洲</x:v>
      </x:c>
      <x:c r="F34" t="str">
        <x:v>德國</x:v>
      </x:c>
      <x:c r="G34" t="str">
        <x:v>重要</x:v>
      </x:c>
      <x:c r="H34" t="n">
        <x:v>30</x:v>
      </x:c>
      <x:c r="I34" s="20" t="str">
        <x:v>S01</x:v>
      </x:c>
      <x:c r="J34" s="20" t="n">
        <x:v>44452</x:v>
      </x:c>
      <x:c r="K34" t="str">
        <x:v>啟用</x:v>
      </x:c>
    </x:row>
    <x:row r="35" ht="20" customHeight="1">
      <x:c r="A35" t="str">
        <x:v>SEM-002</x:v>
      </x:c>
      <x:c r="B35" t="str">
        <x:v>晶銳設備科技股份有限公司</x:v>
      </x:c>
      <x:c r="C35" t="str">
        <x:v>SEM</x:v>
      </x:c>
      <x:c r="D35" t="str">
        <x:v>半導體設備</x:v>
      </x:c>
      <x:c r="E35" t="str">
        <x:v>東北亞</x:v>
      </x:c>
      <x:c r="F35" t="str">
        <x:v>韓國</x:v>
      </x:c>
      <x:c r="G35" t="str">
        <x:v>重要</x:v>
      </x:c>
      <x:c r="H35" t="n">
        <x:v>45</x:v>
      </x:c>
      <x:c r="I35" s="20" t="str">
        <x:v>S02</x:v>
      </x:c>
      <x:c r="J35" s="20" t="n">
        <x:v>45166</x:v>
      </x:c>
      <x:c r="K35" t="str">
        <x:v>啟用</x:v>
      </x:c>
    </x:row>
    <x:row r="36" ht="20" customHeight="1">
      <x:c r="A36" t="str">
        <x:v>SEM-003</x:v>
      </x:c>
      <x:c r="B36" t="str">
        <x:v>精芯系統科技股份有限公司</x:v>
      </x:c>
      <x:c r="C36" t="str">
        <x:v>SEM</x:v>
      </x:c>
      <x:c r="D36" t="str">
        <x:v>半導體設備</x:v>
      </x:c>
      <x:c r="E36" t="str">
        <x:v>國內</x:v>
      </x:c>
      <x:c r="F36" t="str">
        <x:v>台灣</x:v>
      </x:c>
      <x:c r="G36" t="str">
        <x:v>重要</x:v>
      </x:c>
      <x:c r="H36" t="n">
        <x:v>60</x:v>
      </x:c>
      <x:c r="I36" s="20" t="str">
        <x:v>S02</x:v>
      </x:c>
      <x:c r="J36" s="20" t="n">
        <x:v>45519</x:v>
      </x:c>
      <x:c r="K36" t="str">
        <x:v>啟用</x:v>
      </x:c>
    </x:row>
    <x:row r="37" ht="20" customHeight="1">
      <x:c r="A37" t="str">
        <x:v>SEM-004</x:v>
      </x:c>
      <x:c r="B37" t="str">
        <x:v>晶拓機械科技股份有限公司</x:v>
      </x:c>
      <x:c r="C37" t="str">
        <x:v>SEM</x:v>
      </x:c>
      <x:c r="D37" t="str">
        <x:v>半導體設備</x:v>
      </x:c>
      <x:c r="E37" t="str">
        <x:v>國內</x:v>
      </x:c>
      <x:c r="F37" t="str">
        <x:v>台灣</x:v>
      </x:c>
      <x:c r="G37" t="str">
        <x:v>一般</x:v>
      </x:c>
      <x:c r="H37" t="n">
        <x:v>90</x:v>
      </x:c>
      <x:c r="I37" s="20" t="str">
        <x:v>S02</x:v>
      </x:c>
      <x:c r="J37" s="20" t="n">
        <x:v>45496</x:v>
      </x:c>
      <x:c r="K37" t="str">
        <x:v>啟用</x:v>
      </x:c>
    </x:row>
    <x:row r="38" ht="20" customHeight="1">
      <x:c r="A38" t="str">
        <x:v>SEM-005</x:v>
      </x:c>
      <x:c r="B38" t="str">
        <x:v>矽域設備科技股份有限公司</x:v>
      </x:c>
      <x:c r="C38" t="str">
        <x:v>SEM</x:v>
      </x:c>
      <x:c r="D38" t="str">
        <x:v>半導體設備</x:v>
      </x:c>
      <x:c r="E38" t="str">
        <x:v>北美</x:v>
      </x:c>
      <x:c r="F38" t="str">
        <x:v>美國</x:v>
      </x:c>
      <x:c r="G38" t="str">
        <x:v>重要</x:v>
      </x:c>
      <x:c r="H38" t="n">
        <x:v>60</x:v>
      </x:c>
      <x:c r="I38" s="20" t="str">
        <x:v>S06</x:v>
      </x:c>
      <x:c r="J38" s="20" t="n">
        <x:v>45129</x:v>
      </x:c>
      <x:c r="K38" t="str">
        <x:v>啟用</x:v>
      </x:c>
    </x:row>
    <x:row r="39" ht="20" customHeight="1">
      <x:c r="A39" t="str">
        <x:v>SEM-006</x:v>
      </x:c>
      <x:c r="B39" t="str">
        <x:v>先鋒真空科技股份有限公司</x:v>
      </x:c>
      <x:c r="C39" t="str">
        <x:v>SEM</x:v>
      </x:c>
      <x:c r="D39" t="str">
        <x:v>半導體設備</x:v>
      </x:c>
      <x:c r="E39" t="str">
        <x:v>國內</x:v>
      </x:c>
      <x:c r="F39" t="str">
        <x:v>台灣</x:v>
      </x:c>
      <x:c r="G39" t="str">
        <x:v>重要</x:v>
      </x:c>
      <x:c r="H39" t="n">
        <x:v>30</x:v>
      </x:c>
      <x:c r="I39" s="20" t="str">
        <x:v>S06</x:v>
      </x:c>
      <x:c r="J39" s="20" t="n">
        <x:v>45648</x:v>
      </x:c>
      <x:c r="K39" t="str">
        <x:v>啟用</x:v>
      </x:c>
    </x:row>
    <x:row r="40" ht="20" customHeight="1">
      <x:c r="A40" t="str">
        <x:v>SEM-007</x:v>
      </x:c>
      <x:c r="B40" t="str">
        <x:v>晶科自動化科技股份有限公司</x:v>
      </x:c>
      <x:c r="C40" t="str">
        <x:v>SEM</x:v>
      </x:c>
      <x:c r="D40" t="str">
        <x:v>半導體設備</x:v>
      </x:c>
      <x:c r="E40" t="str">
        <x:v>北美</x:v>
      </x:c>
      <x:c r="F40" t="str">
        <x:v>美國</x:v>
      </x:c>
      <x:c r="G40" t="str">
        <x:v>重要</x:v>
      </x:c>
      <x:c r="H40" t="n">
        <x:v>30</x:v>
      </x:c>
      <x:c r="I40" s="20" t="str">
        <x:v>S03</x:v>
      </x:c>
      <x:c r="J40" s="20" t="n">
        <x:v>44548</x:v>
      </x:c>
      <x:c r="K40" t="str">
        <x:v>啟用</x:v>
      </x:c>
    </x:row>
    <x:row r="41" ht="20" customHeight="1">
      <x:c r="A41" t="str">
        <x:v>SEM-008</x:v>
      </x:c>
      <x:c r="B41" t="str">
        <x:v>奈米精工科技股份有限公司</x:v>
      </x:c>
      <x:c r="C41" t="str">
        <x:v>SEM</x:v>
      </x:c>
      <x:c r="D41" t="str">
        <x:v>半導體設備</x:v>
      </x:c>
      <x:c r="E41" t="str">
        <x:v>國內</x:v>
      </x:c>
      <x:c r="F41" t="str">
        <x:v>台灣</x:v>
      </x:c>
      <x:c r="G41" t="str">
        <x:v>VIP</x:v>
      </x:c>
      <x:c r="H41" t="n">
        <x:v>45</x:v>
      </x:c>
      <x:c r="I41" s="20" t="str">
        <x:v>S04</x:v>
      </x:c>
      <x:c r="J41" s="20" t="n">
        <x:v>44323</x:v>
      </x:c>
      <x:c r="K41" t="str">
        <x:v>啟用</x:v>
      </x:c>
    </x:row>
    <x:row r="42" ht="20" customHeight="1">
      <x:c r="A42" t="str">
        <x:v>SEM-009</x:v>
      </x:c>
      <x:c r="B42" t="str">
        <x:v>芯程設備科技股份有限公司</x:v>
      </x:c>
      <x:c r="C42" t="str">
        <x:v>SEM</x:v>
      </x:c>
      <x:c r="D42" t="str">
        <x:v>半導體設備</x:v>
      </x:c>
      <x:c r="E42" t="str">
        <x:v>東北亞</x:v>
      </x:c>
      <x:c r="F42" t="str">
        <x:v>日本</x:v>
      </x:c>
      <x:c r="G42" t="str">
        <x:v>重要</x:v>
      </x:c>
      <x:c r="H42" t="n">
        <x:v>45</x:v>
      </x:c>
      <x:c r="I42" s="20" t="str">
        <x:v>S02</x:v>
      </x:c>
      <x:c r="J42" s="20" t="n">
        <x:v>45145</x:v>
      </x:c>
      <x:c r="K42" t="str">
        <x:v>啟用</x:v>
      </x:c>
    </x:row>
    <x:row r="43" ht="20" customHeight="1">
      <x:c r="A43" t="str">
        <x:v>SEM-010</x:v>
      </x:c>
      <x:c r="B43" t="str">
        <x:v>量子機電科技股份有限公司</x:v>
      </x:c>
      <x:c r="C43" t="str">
        <x:v>SEM</x:v>
      </x:c>
      <x:c r="D43" t="str">
        <x:v>半導體設備</x:v>
      </x:c>
      <x:c r="E43" t="str">
        <x:v>東北亞</x:v>
      </x:c>
      <x:c r="F43" t="str">
        <x:v>日本</x:v>
      </x:c>
      <x:c r="G43" t="str">
        <x:v>一般</x:v>
      </x:c>
      <x:c r="H43" t="n">
        <x:v>90</x:v>
      </x:c>
      <x:c r="I43" s="20" t="str">
        <x:v>S01</x:v>
      </x:c>
      <x:c r="J43" s="20" t="n">
        <x:v>44206</x:v>
      </x:c>
      <x:c r="K43" t="str">
        <x:v>啟用</x:v>
      </x:c>
    </x:row>
    <x:row r="44" ht="20" customHeight="1">
      <x:c r="A44" t="str">
        <x:v>EMS-001</x:v>
      </x:c>
      <x:c r="B44" t="str">
        <x:v>聯程電子電子製造股份有限公司</x:v>
      </x:c>
      <x:c r="C44" t="str">
        <x:v>EMS</x:v>
      </x:c>
      <x:c r="D44" t="str">
        <x:v>電子製造／EMS</x:v>
      </x:c>
      <x:c r="E44" t="str">
        <x:v>東南亞</x:v>
      </x:c>
      <x:c r="F44" t="str">
        <x:v>泰國</x:v>
      </x:c>
      <x:c r="G44" t="str">
        <x:v>一般</x:v>
      </x:c>
      <x:c r="H44" t="n">
        <x:v>90</x:v>
      </x:c>
      <x:c r="I44" s="20" t="str">
        <x:v>S02</x:v>
      </x:c>
      <x:c r="J44" s="20" t="n">
        <x:v>43307</x:v>
      </x:c>
      <x:c r="K44" t="str">
        <x:v>啟用</x:v>
      </x:c>
    </x:row>
    <x:row r="45" ht="20" customHeight="1">
      <x:c r="A45" t="str">
        <x:v>EMS-002</x:v>
      </x:c>
      <x:c r="B45" t="str">
        <x:v>宏芯製造電子製造股份有限公司</x:v>
      </x:c>
      <x:c r="C45" t="str">
        <x:v>EMS</x:v>
      </x:c>
      <x:c r="D45" t="str">
        <x:v>電子製造／EMS</x:v>
      </x:c>
      <x:c r="E45" t="str">
        <x:v>東南亞</x:v>
      </x:c>
      <x:c r="F45" t="str">
        <x:v>越南</x:v>
      </x:c>
      <x:c r="G45" t="str">
        <x:v>重要</x:v>
      </x:c>
      <x:c r="H45" t="n">
        <x:v>30</x:v>
      </x:c>
      <x:c r="I45" s="20" t="str">
        <x:v>S05</x:v>
      </x:c>
      <x:c r="J45" s="20" t="n">
        <x:v>45792</x:v>
      </x:c>
      <x:c r="K45" t="str">
        <x:v>啟用</x:v>
      </x:c>
    </x:row>
    <x:row r="46" ht="20" customHeight="1">
      <x:c r="A46" t="str">
        <x:v>EMS-003</x:v>
      </x:c>
      <x:c r="B46" t="str">
        <x:v>精聯電子電子製造股份有限公司</x:v>
      </x:c>
      <x:c r="C46" t="str">
        <x:v>EMS</x:v>
      </x:c>
      <x:c r="D46" t="str">
        <x:v>電子製造／EMS</x:v>
      </x:c>
      <x:c r="E46" t="str">
        <x:v>東北亞</x:v>
      </x:c>
      <x:c r="F46" t="str">
        <x:v>日本</x:v>
      </x:c>
      <x:c r="G46" t="str">
        <x:v>一般</x:v>
      </x:c>
      <x:c r="H46" t="n">
        <x:v>60</x:v>
      </x:c>
      <x:c r="I46" s="20" t="str">
        <x:v>S05</x:v>
      </x:c>
      <x:c r="J46" s="20" t="n">
        <x:v>43587</x:v>
      </x:c>
      <x:c r="K46" t="str">
        <x:v>啟用</x:v>
      </x:c>
    </x:row>
    <x:row r="47" ht="20" customHeight="1">
      <x:c r="A47" t="str">
        <x:v>EMS-004</x:v>
      </x:c>
      <x:c r="B47" t="str">
        <x:v>新亞電子電子製造股份有限公司</x:v>
      </x:c>
      <x:c r="C47" t="str">
        <x:v>EMS</x:v>
      </x:c>
      <x:c r="D47" t="str">
        <x:v>電子製造／EMS</x:v>
      </x:c>
      <x:c r="E47" t="str">
        <x:v>北美</x:v>
      </x:c>
      <x:c r="F47" t="str">
        <x:v>美國</x:v>
      </x:c>
      <x:c r="G47" t="str">
        <x:v>VIP</x:v>
      </x:c>
      <x:c r="H47" t="n">
        <x:v>60</x:v>
      </x:c>
      <x:c r="I47" s="20" t="str">
        <x:v>S03</x:v>
      </x:c>
      <x:c r="J47" s="20" t="n">
        <x:v>43392</x:v>
      </x:c>
      <x:c r="K47" t="str">
        <x:v>啟用</x:v>
      </x:c>
    </x:row>
    <x:row r="48" ht="20" customHeight="1">
      <x:c r="A48" t="str">
        <x:v>EMS-005</x:v>
      </x:c>
      <x:c r="B48" t="str">
        <x:v>鼎盛電子電子製造股份有限公司</x:v>
      </x:c>
      <x:c r="C48" t="str">
        <x:v>EMS</x:v>
      </x:c>
      <x:c r="D48" t="str">
        <x:v>電子製造／EMS</x:v>
      </x:c>
      <x:c r="E48" t="str">
        <x:v>國內</x:v>
      </x:c>
      <x:c r="F48" t="str">
        <x:v>台灣</x:v>
      </x:c>
      <x:c r="G48" t="str">
        <x:v>VIP</x:v>
      </x:c>
      <x:c r="H48" t="n">
        <x:v>45</x:v>
      </x:c>
      <x:c r="I48" s="20" t="str">
        <x:v>S01</x:v>
      </x:c>
      <x:c r="J48" s="20" t="n">
        <x:v>44283</x:v>
      </x:c>
      <x:c r="K48" t="str">
        <x:v>啟用</x:v>
      </x:c>
    </x:row>
    <x:row r="49" ht="20" customHeight="1">
      <x:c r="A49" t="str">
        <x:v>EMS-006</x:v>
      </x:c>
      <x:c r="B49" t="str">
        <x:v>科達製造電子製造股份有限公司</x:v>
      </x:c>
      <x:c r="C49" t="str">
        <x:v>EMS</x:v>
      </x:c>
      <x:c r="D49" t="str">
        <x:v>電子製造／EMS</x:v>
      </x:c>
      <x:c r="E49" t="str">
        <x:v>北美</x:v>
      </x:c>
      <x:c r="F49" t="str">
        <x:v>美國</x:v>
      </x:c>
      <x:c r="G49" t="str">
        <x:v>重要</x:v>
      </x:c>
      <x:c r="H49" t="n">
        <x:v>30</x:v>
      </x:c>
      <x:c r="I49" s="20" t="str">
        <x:v>S03</x:v>
      </x:c>
      <x:c r="J49" s="20" t="n">
        <x:v>45303</x:v>
      </x:c>
      <x:c r="K49" t="str">
        <x:v>啟用</x:v>
      </x:c>
    </x:row>
    <x:row r="50" ht="20" customHeight="1">
      <x:c r="A50" t="str">
        <x:v>EMS-007</x:v>
      </x:c>
      <x:c r="B50" t="str">
        <x:v>智聯電子電子製造股份有限公司</x:v>
      </x:c>
      <x:c r="C50" t="str">
        <x:v>EMS</x:v>
      </x:c>
      <x:c r="D50" t="str">
        <x:v>電子製造／EMS</x:v>
      </x:c>
      <x:c r="E50" t="str">
        <x:v>國內</x:v>
      </x:c>
      <x:c r="F50" t="str">
        <x:v>台灣</x:v>
      </x:c>
      <x:c r="G50" t="str">
        <x:v>一般</x:v>
      </x:c>
      <x:c r="H50" t="n">
        <x:v>60</x:v>
      </x:c>
      <x:c r="I50" s="20" t="str">
        <x:v>S04</x:v>
      </x:c>
      <x:c r="J50" s="20" t="n">
        <x:v>44943</x:v>
      </x:c>
      <x:c r="K50" t="str">
        <x:v>啟用</x:v>
      </x:c>
    </x:row>
    <x:row r="51" ht="20" customHeight="1">
      <x:c r="A51" t="str">
        <x:v>EMS-008</x:v>
      </x:c>
      <x:c r="B51" t="str">
        <x:v>銳成電子電子製造股份有限公司</x:v>
      </x:c>
      <x:c r="C51" t="str">
        <x:v>EMS</x:v>
      </x:c>
      <x:c r="D51" t="str">
        <x:v>電子製造／EMS</x:v>
      </x:c>
      <x:c r="E51" t="str">
        <x:v>東南亞</x:v>
      </x:c>
      <x:c r="F51" t="str">
        <x:v>越南</x:v>
      </x:c>
      <x:c r="G51" t="str">
        <x:v>重要</x:v>
      </x:c>
      <x:c r="H51" t="n">
        <x:v>45</x:v>
      </x:c>
      <x:c r="I51" s="20" t="str">
        <x:v>S02</x:v>
      </x:c>
      <x:c r="J51" s="20" t="n">
        <x:v>44708</x:v>
      </x:c>
      <x:c r="K51" t="str">
        <x:v>啟用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</x:cols>
  <x:sheetData>
    <x:row r="1" ht="20" customHeight="1">
      <x:c r="A1" s="14" t="str">
        <x:v>SKU</x:v>
      </x:c>
      <x:c r="B1" s="14" t="str">
        <x:v>產品線</x:v>
      </x:c>
      <x:c r="C1" s="14" t="str">
        <x:v>產品名稱</x:v>
      </x:c>
      <x:c r="D1" s="14" t="str">
        <x:v>應用產業</x:v>
      </x:c>
      <x:c r="E1" s="14" t="str">
        <x:v>生產模式</x:v>
      </x:c>
      <x:c r="F1" s="14" t="str">
        <x:v>單位</x:v>
      </x:c>
      <x:c r="G1" s="14" t="str">
        <x:v>標準交期_天</x:v>
      </x:c>
      <x:c r="H1" s="14" t="str">
        <x:v>產品生命週期</x:v>
      </x:c>
      <x:c r="I1" s="14" t="str">
        <x:v>上市日期</x:v>
      </x:c>
      <x:c r="J1" s="14" t="str">
        <x:v>停產日期</x:v>
      </x:c>
      <x:c r="K1" s="14" t="str">
        <x:v>標準材料成本_TWD</x:v>
      </x:c>
      <x:c r="L1" s="14" t="str">
        <x:v>標準人工成本_TWD</x:v>
      </x:c>
      <x:c r="M1" s="14" t="str">
        <x:v>標準委外成本_TWD</x:v>
      </x:c>
      <x:c r="N1" s="14" t="str">
        <x:v>標準製造費_TWD</x:v>
      </x:c>
      <x:c r="O1" s="14" t="str">
        <x:v>標準總成本_TWD</x:v>
      </x:c>
      <x:c r="P1" s="14" t="str">
        <x:v>標準售價_TWD</x:v>
      </x:c>
      <x:c r="Q1" s="14" t="str">
        <x:v>標準毛利率</x:v>
      </x:c>
      <x:c r="R1" s="14" t="str">
        <x:v>路由群組</x:v>
      </x:c>
    </x:row>
    <x:row r="2" ht="20" customHeight="1">
      <x:c r="A2" t="str">
        <x:v>AUTO-BRK-A</x:v>
      </x:c>
      <x:c r="B2" t="str">
        <x:v>汽車精密零組件</x:v>
      </x:c>
      <x:c r="C2" t="str">
        <x:v>制動卡鉗支架-A</x:v>
      </x:c>
      <x:c r="D2" t="str">
        <x:v>汽車</x:v>
      </x:c>
      <x:c r="E2" t="str">
        <x:v>MTS</x:v>
      </x:c>
      <x:c r="F2" t="str">
        <x:v>件</x:v>
      </x:c>
      <x:c r="G2" t="n">
        <x:v>18</x:v>
      </x:c>
      <x:c r="H2" t="str">
        <x:v>量產</x:v>
      </x:c>
      <x:c r="I2" s="20" t="n">
        <x:v>44562</x:v>
      </x:c>
      <x:c r="J2" s="20"/>
      <x:c r="K2" t="n">
        <x:v>900</x:v>
      </x:c>
      <x:c r="L2" t="n">
        <x:v>220</x:v>
      </x:c>
      <x:c r="M2" t="n">
        <x:v>80</x:v>
      </x:c>
      <x:c r="N2" t="n">
        <x:v>180</x:v>
      </x:c>
      <x:c r="O2" t="n">
        <x:f>SUM(K2:N2)</x:f>
        <x:v>1380</x:v>
      </x:c>
      <x:c r="P2" t="n">
        <x:v>1850</x:v>
      </x:c>
      <x:c r="Q2" s="22" t="n">
        <x:f>IF(P2=0,0,(P2-O2)/P2)</x:f>
        <x:v>0.25405405405405407</x:v>
      </x:c>
      <x:c r="R2" t="str">
        <x:v>R-AUTO</x:v>
      </x:c>
    </x:row>
    <x:row r="3" ht="20" customHeight="1">
      <x:c r="A3" t="str">
        <x:v>AUTO-BRK-B</x:v>
      </x:c>
      <x:c r="B3" t="str">
        <x:v>汽車精密零組件</x:v>
      </x:c>
      <x:c r="C3" t="str">
        <x:v>制動卡鉗支架-B</x:v>
      </x:c>
      <x:c r="D3" t="str">
        <x:v>汽車</x:v>
      </x:c>
      <x:c r="E3" t="str">
        <x:v>MTS</x:v>
      </x:c>
      <x:c r="F3" t="str">
        <x:v>件</x:v>
      </x:c>
      <x:c r="G3" t="n">
        <x:v>20</x:v>
      </x:c>
      <x:c r="H3" t="str">
        <x:v>量產</x:v>
      </x:c>
      <x:c r="I3" s="20" t="n">
        <x:v>44562</x:v>
      </x:c>
      <x:c r="J3" s="20"/>
      <x:c r="K3" t="n">
        <x:v>1100</x:v>
      </x:c>
      <x:c r="L3" t="n">
        <x:v>260</x:v>
      </x:c>
      <x:c r="M3" t="n">
        <x:v>90</x:v>
      </x:c>
      <x:c r="N3" t="n">
        <x:v>210</x:v>
      </x:c>
      <x:c r="O3" t="n">
        <x:f>SUM(K3:N3)</x:f>
        <x:v>1660</x:v>
      </x:c>
      <x:c r="P3" t="n">
        <x:v>2250</x:v>
      </x:c>
      <x:c r="Q3" s="22" t="n">
        <x:f>IF(P3=0,0,(P3-O3)/P3)</x:f>
        <x:v>0.26222222222222225</x:v>
      </x:c>
      <x:c r="R3" t="str">
        <x:v>R-AUTO</x:v>
      </x:c>
    </x:row>
    <x:row r="4" ht="20" customHeight="1">
      <x:c r="A4" t="str">
        <x:v>AUTO-MH-A</x:v>
      </x:c>
      <x:c r="B4" t="str">
        <x:v>汽車精密零組件</x:v>
      </x:c>
      <x:c r="C4" t="str">
        <x:v>驅動馬達外殼-A</x:v>
      </x:c>
      <x:c r="D4" t="str">
        <x:v>電動車</x:v>
      </x:c>
      <x:c r="E4" t="str">
        <x:v>MTS</x:v>
      </x:c>
      <x:c r="F4" t="str">
        <x:v>件</x:v>
      </x:c>
      <x:c r="G4" t="n">
        <x:v>22</x:v>
      </x:c>
      <x:c r="H4" t="str">
        <x:v>量產</x:v>
      </x:c>
      <x:c r="I4" s="20" t="n">
        <x:v>44562</x:v>
      </x:c>
      <x:c r="J4" s="20"/>
      <x:c r="K4" t="n">
        <x:v>1350</x:v>
      </x:c>
      <x:c r="L4" t="n">
        <x:v>300</x:v>
      </x:c>
      <x:c r="M4" t="n">
        <x:v>80</x:v>
      </x:c>
      <x:c r="N4" t="n">
        <x:v>240</x:v>
      </x:c>
      <x:c r="O4" t="n">
        <x:f>SUM(K4:N4)</x:f>
        <x:v>1970</x:v>
      </x:c>
      <x:c r="P4" t="n">
        <x:v>2680</x:v>
      </x:c>
      <x:c r="Q4" s="22" t="n">
        <x:f>IF(P4=0,0,(P4-O4)/P4)</x:f>
        <x:v>0.26492537313432835</x:v>
      </x:c>
      <x:c r="R4" t="str">
        <x:v>R-AUTO</x:v>
      </x:c>
    </x:row>
    <x:row r="5" ht="20" customHeight="1">
      <x:c r="A5" t="str">
        <x:v>AUTO-MH-B</x:v>
      </x:c>
      <x:c r="B5" t="str">
        <x:v>汽車精密零組件</x:v>
      </x:c>
      <x:c r="C5" t="str">
        <x:v>驅動馬達外殼-B</x:v>
      </x:c>
      <x:c r="D5" t="str">
        <x:v>電動車</x:v>
      </x:c>
      <x:c r="E5" t="str">
        <x:v>MTS</x:v>
      </x:c>
      <x:c r="F5" t="str">
        <x:v>件</x:v>
      </x:c>
      <x:c r="G5" t="n">
        <x:v>24</x:v>
      </x:c>
      <x:c r="H5" t="str">
        <x:v>量產</x:v>
      </x:c>
      <x:c r="I5" s="20" t="n">
        <x:v>44562</x:v>
      </x:c>
      <x:c r="J5" s="20"/>
      <x:c r="K5" t="n">
        <x:v>1600</x:v>
      </x:c>
      <x:c r="L5" t="n">
        <x:v>350</x:v>
      </x:c>
      <x:c r="M5" t="n">
        <x:v>90</x:v>
      </x:c>
      <x:c r="N5" t="n">
        <x:v>280</x:v>
      </x:c>
      <x:c r="O5" t="n">
        <x:f>SUM(K5:N5)</x:f>
        <x:v>2320</x:v>
      </x:c>
      <x:c r="P5" t="n">
        <x:v>3150</x:v>
      </x:c>
      <x:c r="Q5" s="22" t="n">
        <x:f>IF(P5=0,0,(P5-O5)/P5)</x:f>
        <x:v>0.2634920634920635</x:v>
      </x:c>
      <x:c r="R5" t="str">
        <x:v>R-AUTO</x:v>
      </x:c>
    </x:row>
    <x:row r="6" ht="20" customHeight="1">
      <x:c r="A6" t="str">
        <x:v>AUTO-KN-A</x:v>
      </x:c>
      <x:c r="B6" t="str">
        <x:v>汽車精密零組件</x:v>
      </x:c>
      <x:c r="C6" t="str">
        <x:v>轉向節-A</x:v>
      </x:c>
      <x:c r="D6" t="str">
        <x:v>汽車</x:v>
      </x:c>
      <x:c r="E6" t="str">
        <x:v>MTS</x:v>
      </x:c>
      <x:c r="F6" t="str">
        <x:v>件</x:v>
      </x:c>
      <x:c r="G6" t="n">
        <x:v>24</x:v>
      </x:c>
      <x:c r="H6" t="str">
        <x:v>量產</x:v>
      </x:c>
      <x:c r="I6" s="20" t="n">
        <x:v>44562</x:v>
      </x:c>
      <x:c r="J6" s="20"/>
      <x:c r="K6" t="n">
        <x:v>1450</x:v>
      </x:c>
      <x:c r="L6" t="n">
        <x:v>360</x:v>
      </x:c>
      <x:c r="M6" t="n">
        <x:v>120</x:v>
      </x:c>
      <x:c r="N6" t="n">
        <x:v>280</x:v>
      </x:c>
      <x:c r="O6" t="n">
        <x:f>SUM(K6:N6)</x:f>
        <x:v>2210</x:v>
      </x:c>
      <x:c r="P6" t="n">
        <x:v>3380</x:v>
      </x:c>
      <x:c r="Q6" s="22" t="n">
        <x:f>IF(P6=0,0,(P6-O6)/P6)</x:f>
        <x:v>0.34615384615384615</x:v>
      </x:c>
      <x:c r="R6" t="str">
        <x:v>R-AUTO</x:v>
      </x:c>
    </x:row>
    <x:row r="7" ht="20" customHeight="1">
      <x:c r="A7" t="str">
        <x:v>AUTO-KN-B</x:v>
      </x:c>
      <x:c r="B7" t="str">
        <x:v>汽車精密零組件</x:v>
      </x:c>
      <x:c r="C7" t="str">
        <x:v>轉向節-B</x:v>
      </x:c>
      <x:c r="D7" t="str">
        <x:v>汽車</x:v>
      </x:c>
      <x:c r="E7" t="str">
        <x:v>MTS</x:v>
      </x:c>
      <x:c r="F7" t="str">
        <x:v>件</x:v>
      </x:c>
      <x:c r="G7" t="n">
        <x:v>26</x:v>
      </x:c>
      <x:c r="H7" t="str">
        <x:v>量產</x:v>
      </x:c>
      <x:c r="I7" s="20" t="n">
        <x:v>44562</x:v>
      </x:c>
      <x:c r="J7" s="20"/>
      <x:c r="K7" t="n">
        <x:v>1720</x:v>
      </x:c>
      <x:c r="L7" t="n">
        <x:v>420</x:v>
      </x:c>
      <x:c r="M7" t="n">
        <x:v>130</x:v>
      </x:c>
      <x:c r="N7" t="n">
        <x:v>320</x:v>
      </x:c>
      <x:c r="O7" t="n">
        <x:f>SUM(K7:N7)</x:f>
        <x:v>2590</x:v>
      </x:c>
      <x:c r="P7" t="n">
        <x:v>3980</x:v>
      </x:c>
      <x:c r="Q7" s="22" t="n">
        <x:f>IF(P7=0,0,(P7-O7)/P7)</x:f>
        <x:v>0.3492462311557789</x:v>
      </x:c>
      <x:c r="R7" t="str">
        <x:v>R-AUTO</x:v>
      </x:c>
    </x:row>
    <x:row r="8" ht="20" customHeight="1">
      <x:c r="A8" t="str">
        <x:v>AUTO-FL-A</x:v>
      </x:c>
      <x:c r="B8" t="str">
        <x:v>汽車精密零組件</x:v>
      </x:c>
      <x:c r="C8" t="str">
        <x:v>傳動法蘭-A</x:v>
      </x:c>
      <x:c r="D8" t="str">
        <x:v>汽車</x:v>
      </x:c>
      <x:c r="E8" t="str">
        <x:v>MTS</x:v>
      </x:c>
      <x:c r="F8" t="str">
        <x:v>件</x:v>
      </x:c>
      <x:c r="G8" t="n">
        <x:v>16</x:v>
      </x:c>
      <x:c r="H8" t="str">
        <x:v>量產</x:v>
      </x:c>
      <x:c r="I8" s="20" t="n">
        <x:v>44562</x:v>
      </x:c>
      <x:c r="J8" s="20"/>
      <x:c r="K8" t="n">
        <x:v>620</x:v>
      </x:c>
      <x:c r="L8" t="n">
        <x:v>180</x:v>
      </x:c>
      <x:c r="M8" t="n">
        <x:v>50</x:v>
      </x:c>
      <x:c r="N8" t="n">
        <x:v>120</x:v>
      </x:c>
      <x:c r="O8" t="n">
        <x:f>SUM(K8:N8)</x:f>
        <x:v>970</x:v>
      </x:c>
      <x:c r="P8" t="n">
        <x:v>1380</x:v>
      </x:c>
      <x:c r="Q8" s="22" t="n">
        <x:f>IF(P8=0,0,(P8-O8)/P8)</x:f>
        <x:v>0.2971014492753623</x:v>
      </x:c>
      <x:c r="R8" t="str">
        <x:v>R-AUTO</x:v>
      </x:c>
    </x:row>
    <x:row r="9" ht="20" customHeight="1">
      <x:c r="A9" t="str">
        <x:v>AUTO-FL-B</x:v>
      </x:c>
      <x:c r="B9" t="str">
        <x:v>汽車精密零組件</x:v>
      </x:c>
      <x:c r="C9" t="str">
        <x:v>傳動法蘭-B</x:v>
      </x:c>
      <x:c r="D9" t="str">
        <x:v>電動車</x:v>
      </x:c>
      <x:c r="E9" t="str">
        <x:v>MTS</x:v>
      </x:c>
      <x:c r="F9" t="str">
        <x:v>件</x:v>
      </x:c>
      <x:c r="G9" t="n">
        <x:v>18</x:v>
      </x:c>
      <x:c r="H9" t="str">
        <x:v>量產</x:v>
      </x:c>
      <x:c r="I9" s="20" t="n">
        <x:v>44562</x:v>
      </x:c>
      <x:c r="J9" s="20"/>
      <x:c r="K9" t="n">
        <x:v>760</x:v>
      </x:c>
      <x:c r="L9" t="n">
        <x:v>210</x:v>
      </x:c>
      <x:c r="M9" t="n">
        <x:v>60</x:v>
      </x:c>
      <x:c r="N9" t="n">
        <x:v>140</x:v>
      </x:c>
      <x:c r="O9" t="n">
        <x:f>SUM(K9:N9)</x:f>
        <x:v>1170</x:v>
      </x:c>
      <x:c r="P9" t="n">
        <x:v>1620</x:v>
      </x:c>
      <x:c r="Q9" s="22" t="n">
        <x:f>IF(P9=0,0,(P9-O9)/P9)</x:f>
        <x:v>0.2777777777777778</x:v>
      </x:c>
      <x:c r="R9" t="str">
        <x:v>R-AUTO</x:v>
      </x:c>
    </x:row>
    <x:row r="10" ht="20" customHeight="1">
      <x:c r="A10" t="str">
        <x:v>AUTO-BS-A</x:v>
      </x:c>
      <x:c r="B10" t="str">
        <x:v>汽車精密零組件</x:v>
      </x:c>
      <x:c r="C10" t="str">
        <x:v>軸套組-A</x:v>
      </x:c>
      <x:c r="D10" t="str">
        <x:v>汽車</x:v>
      </x:c>
      <x:c r="E10" t="str">
        <x:v>MTS</x:v>
      </x:c>
      <x:c r="F10" t="str">
        <x:v>件</x:v>
      </x:c>
      <x:c r="G10" t="n">
        <x:v>14</x:v>
      </x:c>
      <x:c r="H10" t="str">
        <x:v>量產</x:v>
      </x:c>
      <x:c r="I10" s="20" t="n">
        <x:v>44562</x:v>
      </x:c>
      <x:c r="J10" s="20"/>
      <x:c r="K10" t="n">
        <x:v>320</x:v>
      </x:c>
      <x:c r="L10" t="n">
        <x:v>120</x:v>
      </x:c>
      <x:c r="M10" t="n">
        <x:v>30</x:v>
      </x:c>
      <x:c r="N10" t="n">
        <x:v>80</x:v>
      </x:c>
      <x:c r="O10" t="n">
        <x:f>SUM(K10:N10)</x:f>
        <x:v>550</x:v>
      </x:c>
      <x:c r="P10" t="n">
        <x:v>820</x:v>
      </x:c>
      <x:c r="Q10" s="22" t="n">
        <x:f>IF(P10=0,0,(P10-O10)/P10)</x:f>
        <x:v>0.32926829268292684</x:v>
      </x:c>
      <x:c r="R10" t="str">
        <x:v>R-AUTO</x:v>
      </x:c>
    </x:row>
    <x:row r="11" ht="20" customHeight="1">
      <x:c r="A11" t="str">
        <x:v>AUTO-BS-B</x:v>
      </x:c>
      <x:c r="B11" t="str">
        <x:v>汽車精密零組件</x:v>
      </x:c>
      <x:c r="C11" t="str">
        <x:v>軸套組-B</x:v>
      </x:c>
      <x:c r="D11" t="str">
        <x:v>汽車</x:v>
      </x:c>
      <x:c r="E11" t="str">
        <x:v>MTS</x:v>
      </x:c>
      <x:c r="F11" t="str">
        <x:v>件</x:v>
      </x:c>
      <x:c r="G11" t="n">
        <x:v>16</x:v>
      </x:c>
      <x:c r="H11" t="str">
        <x:v>量產</x:v>
      </x:c>
      <x:c r="I11" s="20" t="n">
        <x:v>44562</x:v>
      </x:c>
      <x:c r="J11" s="20"/>
      <x:c r="K11" t="n">
        <x:v>390</x:v>
      </x:c>
      <x:c r="L11" t="n">
        <x:v>135</x:v>
      </x:c>
      <x:c r="M11" t="n">
        <x:v>35</x:v>
      </x:c>
      <x:c r="N11" t="n">
        <x:v>90</x:v>
      </x:c>
      <x:c r="O11" t="n">
        <x:f>SUM(K11:N11)</x:f>
        <x:v>650</x:v>
      </x:c>
      <x:c r="P11" t="n">
        <x:v>960</x:v>
      </x:c>
      <x:c r="Q11" s="22" t="n">
        <x:f>IF(P11=0,0,(P11-O11)/P11)</x:f>
        <x:v>0.3229166666666667</x:v>
      </x:c>
      <x:c r="R11" t="str">
        <x:v>R-AUTO</x:v>
      </x:c>
    </x:row>
    <x:row r="12" ht="20" customHeight="1">
      <x:c r="A12" t="str">
        <x:v>AUTO-LG-A</x:v>
      </x:c>
      <x:c r="B12" t="str">
        <x:v>汽車精密零組件</x:v>
      </x:c>
      <x:c r="C12" t="str">
        <x:v>連桿支架-A</x:v>
      </x:c>
      <x:c r="D12" t="str">
        <x:v>汽車</x:v>
      </x:c>
      <x:c r="E12" t="str">
        <x:v>MTS</x:v>
      </x:c>
      <x:c r="F12" t="str">
        <x:v>件</x:v>
      </x:c>
      <x:c r="G12" t="n">
        <x:v>18</x:v>
      </x:c>
      <x:c r="H12" t="str">
        <x:v>停產</x:v>
      </x:c>
      <x:c r="I12" s="20" t="n">
        <x:v>44317</x:v>
      </x:c>
      <x:c r="J12" s="20" t="n">
        <x:v>46053</x:v>
      </x:c>
      <x:c r="K12" t="n">
        <x:v>520</x:v>
      </x:c>
      <x:c r="L12" t="n">
        <x:v>170</x:v>
      </x:c>
      <x:c r="M12" t="n">
        <x:v>40</x:v>
      </x:c>
      <x:c r="N12" t="n">
        <x:v>110</x:v>
      </x:c>
      <x:c r="O12" t="n">
        <x:f>SUM(K12:N12)</x:f>
        <x:v>840</x:v>
      </x:c>
      <x:c r="P12" t="n">
        <x:v>1180</x:v>
      </x:c>
      <x:c r="Q12" s="22" t="n">
        <x:f>IF(P12=0,0,(P12-O12)/P12)</x:f>
        <x:v>0.288135593220339</x:v>
      </x:c>
      <x:c r="R12" t="str">
        <x:v>R-AUTO</x:v>
      </x:c>
    </x:row>
    <x:row r="13" ht="20" customHeight="1">
      <x:c r="A13" t="str">
        <x:v>AUTO-LG-B</x:v>
      </x:c>
      <x:c r="B13" t="str">
        <x:v>汽車精密零組件</x:v>
      </x:c>
      <x:c r="C13" t="str">
        <x:v>連桿支架-B</x:v>
      </x:c>
      <x:c r="D13" t="str">
        <x:v>汽車</x:v>
      </x:c>
      <x:c r="E13" t="str">
        <x:v>MTS</x:v>
      </x:c>
      <x:c r="F13" t="str">
        <x:v>件</x:v>
      </x:c>
      <x:c r="G13" t="n">
        <x:v>18</x:v>
      </x:c>
      <x:c r="H13" t="str">
        <x:v>停產</x:v>
      </x:c>
      <x:c r="I13" s="20" t="n">
        <x:v>44317</x:v>
      </x:c>
      <x:c r="J13" s="20" t="n">
        <x:v>46022</x:v>
      </x:c>
      <x:c r="K13" t="n">
        <x:v>580</x:v>
      </x:c>
      <x:c r="L13" t="n">
        <x:v>185</x:v>
      </x:c>
      <x:c r="M13" t="n">
        <x:v>45</x:v>
      </x:c>
      <x:c r="N13" t="n">
        <x:v>115</x:v>
      </x:c>
      <x:c r="O13" t="n">
        <x:f>SUM(K13:N13)</x:f>
        <x:v>925</x:v>
      </x:c>
      <x:c r="P13" t="n">
        <x:v>1290</x:v>
      </x:c>
      <x:c r="Q13" s="22" t="n">
        <x:f>IF(P13=0,0,(P13-O13)/P13)</x:f>
        <x:v>0.28294573643410853</x:v>
      </x:c>
      <x:c r="R13" t="str">
        <x:v>R-AUTO</x:v>
      </x:c>
    </x:row>
    <x:row r="14" ht="20" customHeight="1">
      <x:c r="A14" t="str">
        <x:v>PM-ALB-A</x:v>
      </x:c>
      <x:c r="B14" t="str">
        <x:v>精密金屬加工件</x:v>
      </x:c>
      <x:c r="C14" t="str">
        <x:v>鋁合金設備基座-A</x:v>
      </x:c>
      <x:c r="D14" t="str">
        <x:v>自動化設備</x:v>
      </x:c>
      <x:c r="E14" t="str">
        <x:v>MTO</x:v>
      </x:c>
      <x:c r="F14" t="str">
        <x:v>件</x:v>
      </x:c>
      <x:c r="G14" t="n">
        <x:v>25</x:v>
      </x:c>
      <x:c r="H14" t="str">
        <x:v>量產</x:v>
      </x:c>
      <x:c r="I14" s="20" t="n">
        <x:v>44562</x:v>
      </x:c>
      <x:c r="J14" s="20"/>
      <x:c r="K14" t="n">
        <x:v>5200</x:v>
      </x:c>
      <x:c r="L14" t="n">
        <x:v>1600</x:v>
      </x:c>
      <x:c r="M14" t="n">
        <x:v>300</x:v>
      </x:c>
      <x:c r="N14" t="n">
        <x:v>1000</x:v>
      </x:c>
      <x:c r="O14" t="n">
        <x:f>SUM(K14:N14)</x:f>
        <x:v>8100</x:v>
      </x:c>
      <x:c r="P14" t="n">
        <x:v>11800</x:v>
      </x:c>
      <x:c r="Q14" s="22" t="n">
        <x:f>IF(P14=0,0,(P14-O14)/P14)</x:f>
        <x:v>0.3135593220338983</x:v>
      </x:c>
      <x:c r="R14" t="str">
        <x:v>R-PREC</x:v>
      </x:c>
    </x:row>
    <x:row r="15" ht="20" customHeight="1">
      <x:c r="A15" t="str">
        <x:v>PM-ALB-B</x:v>
      </x:c>
      <x:c r="B15" t="str">
        <x:v>精密金屬加工件</x:v>
      </x:c>
      <x:c r="C15" t="str">
        <x:v>鋁合金設備基座-B</x:v>
      </x:c>
      <x:c r="D15" t="str">
        <x:v>半導體設備</x:v>
      </x:c>
      <x:c r="E15" t="str">
        <x:v>MTO</x:v>
      </x:c>
      <x:c r="F15" t="str">
        <x:v>件</x:v>
      </x:c>
      <x:c r="G15" t="n">
        <x:v>30</x:v>
      </x:c>
      <x:c r="H15" t="str">
        <x:v>量產</x:v>
      </x:c>
      <x:c r="I15" s="20" t="n">
        <x:v>44562</x:v>
      </x:c>
      <x:c r="J15" s="20"/>
      <x:c r="K15" t="n">
        <x:v>7800</x:v>
      </x:c>
      <x:c r="L15" t="n">
        <x:v>2100</x:v>
      </x:c>
      <x:c r="M15" t="n">
        <x:v>450</x:v>
      </x:c>
      <x:c r="N15" t="n">
        <x:v>1400</x:v>
      </x:c>
      <x:c r="O15" t="n">
        <x:f>SUM(K15:N15)</x:f>
        <x:v>11750</x:v>
      </x:c>
      <x:c r="P15" t="n">
        <x:v>16800</x:v>
      </x:c>
      <x:c r="Q15" s="22" t="n">
        <x:f>IF(P15=0,0,(P15-O15)/P15)</x:f>
        <x:v>0.3005952380952381</x:v>
      </x:c>
      <x:c r="R15" t="str">
        <x:v>R-PREC</x:v>
      </x:c>
    </x:row>
    <x:row r="16" ht="20" customHeight="1">
      <x:c r="A16" t="str">
        <x:v>PM-SUS-A</x:v>
      </x:c>
      <x:c r="B16" t="str">
        <x:v>精密金屬加工件</x:v>
      </x:c>
      <x:c r="C16" t="str">
        <x:v>不鏽鋼治具板-A</x:v>
      </x:c>
      <x:c r="D16" t="str">
        <x:v>電子製造</x:v>
      </x:c>
      <x:c r="E16" t="str">
        <x:v>MTO</x:v>
      </x:c>
      <x:c r="F16" t="str">
        <x:v>件</x:v>
      </x:c>
      <x:c r="G16" t="n">
        <x:v>24</x:v>
      </x:c>
      <x:c r="H16" t="str">
        <x:v>量產</x:v>
      </x:c>
      <x:c r="I16" s="20" t="n">
        <x:v>44562</x:v>
      </x:c>
      <x:c r="J16" s="20"/>
      <x:c r="K16" t="n">
        <x:v>4300</x:v>
      </x:c>
      <x:c r="L16" t="n">
        <x:v>1800</x:v>
      </x:c>
      <x:c r="M16" t="n">
        <x:v>500</x:v>
      </x:c>
      <x:c r="N16" t="n">
        <x:v>900</x:v>
      </x:c>
      <x:c r="O16" t="n">
        <x:f>SUM(K16:N16)</x:f>
        <x:v>7500</x:v>
      </x:c>
      <x:c r="P16" t="n">
        <x:v>11200</x:v>
      </x:c>
      <x:c r="Q16" s="22" t="n">
        <x:f>IF(P16=0,0,(P16-O16)/P16)</x:f>
        <x:v>0.33035714285714285</x:v>
      </x:c>
      <x:c r="R16" t="str">
        <x:v>R-PREC</x:v>
      </x:c>
    </x:row>
    <x:row r="17" ht="20" customHeight="1">
      <x:c r="A17" t="str">
        <x:v>PM-SUS-B</x:v>
      </x:c>
      <x:c r="B17" t="str">
        <x:v>精密金屬加工件</x:v>
      </x:c>
      <x:c r="C17" t="str">
        <x:v>不鏽鋼治具板-B</x:v>
      </x:c>
      <x:c r="D17" t="str">
        <x:v>半導體設備</x:v>
      </x:c>
      <x:c r="E17" t="str">
        <x:v>MTO</x:v>
      </x:c>
      <x:c r="F17" t="str">
        <x:v>件</x:v>
      </x:c>
      <x:c r="G17" t="n">
        <x:v>28</x:v>
      </x:c>
      <x:c r="H17" t="str">
        <x:v>量產</x:v>
      </x:c>
      <x:c r="I17" s="20" t="n">
        <x:v>44562</x:v>
      </x:c>
      <x:c r="J17" s="20"/>
      <x:c r="K17" t="n">
        <x:v>6800</x:v>
      </x:c>
      <x:c r="L17" t="n">
        <x:v>2400</x:v>
      </x:c>
      <x:c r="M17" t="n">
        <x:v>700</x:v>
      </x:c>
      <x:c r="N17" t="n">
        <x:v>1200</x:v>
      </x:c>
      <x:c r="O17" t="n">
        <x:f>SUM(K17:N17)</x:f>
        <x:v>11100</x:v>
      </x:c>
      <x:c r="P17" t="n">
        <x:v>15800</x:v>
      </x:c>
      <x:c r="Q17" s="22" t="n">
        <x:f>IF(P17=0,0,(P17-O17)/P17)</x:f>
        <x:v>0.2974683544303797</x:v>
      </x:c>
      <x:c r="R17" t="str">
        <x:v>R-PREC</x:v>
      </x:c>
    </x:row>
    <x:row r="18" ht="20" customHeight="1">
      <x:c r="A18" t="str">
        <x:v>PM-BRG-A</x:v>
      </x:c>
      <x:c r="B18" t="str">
        <x:v>精密金屬加工件</x:v>
      </x:c>
      <x:c r="C18" t="str">
        <x:v>精密軸承座-A</x:v>
      </x:c>
      <x:c r="D18" t="str">
        <x:v>自動化設備</x:v>
      </x:c>
      <x:c r="E18" t="str">
        <x:v>MTO</x:v>
      </x:c>
      <x:c r="F18" t="str">
        <x:v>件</x:v>
      </x:c>
      <x:c r="G18" t="n">
        <x:v>20</x:v>
      </x:c>
      <x:c r="H18" t="str">
        <x:v>量產</x:v>
      </x:c>
      <x:c r="I18" s="20" t="n">
        <x:v>44562</x:v>
      </x:c>
      <x:c r="J18" s="20"/>
      <x:c r="K18" t="n">
        <x:v>2500</x:v>
      </x:c>
      <x:c r="L18" t="n">
        <x:v>1100</x:v>
      </x:c>
      <x:c r="M18" t="n">
        <x:v>200</x:v>
      </x:c>
      <x:c r="N18" t="n">
        <x:v>650</x:v>
      </x:c>
      <x:c r="O18" t="n">
        <x:f>SUM(K18:N18)</x:f>
        <x:v>4450</x:v>
      </x:c>
      <x:c r="P18" t="n">
        <x:v>7200</x:v>
      </x:c>
      <x:c r="Q18" s="22" t="n">
        <x:f>IF(P18=0,0,(P18-O18)/P18)</x:f>
        <x:v>0.3819444444444444</x:v>
      </x:c>
      <x:c r="R18" t="str">
        <x:v>R-PREC</x:v>
      </x:c>
    </x:row>
    <x:row r="19" ht="20" customHeight="1">
      <x:c r="A19" t="str">
        <x:v>PM-BRG-B</x:v>
      </x:c>
      <x:c r="B19" t="str">
        <x:v>精密金屬加工件</x:v>
      </x:c>
      <x:c r="C19" t="str">
        <x:v>精密軸承座-B</x:v>
      </x:c>
      <x:c r="D19" t="str">
        <x:v>汽車設備</x:v>
      </x:c>
      <x:c r="E19" t="str">
        <x:v>MTO</x:v>
      </x:c>
      <x:c r="F19" t="str">
        <x:v>件</x:v>
      </x:c>
      <x:c r="G19" t="n">
        <x:v>22</x:v>
      </x:c>
      <x:c r="H19" t="str">
        <x:v>量產</x:v>
      </x:c>
      <x:c r="I19" s="20" t="n">
        <x:v>44562</x:v>
      </x:c>
      <x:c r="J19" s="20"/>
      <x:c r="K19" t="n">
        <x:v>3100</x:v>
      </x:c>
      <x:c r="L19" t="n">
        <x:v>1300</x:v>
      </x:c>
      <x:c r="M19" t="n">
        <x:v>250</x:v>
      </x:c>
      <x:c r="N19" t="n">
        <x:v>750</x:v>
      </x:c>
      <x:c r="O19" t="n">
        <x:f>SUM(K19:N19)</x:f>
        <x:v>5400</x:v>
      </x:c>
      <x:c r="P19" t="n">
        <x:v>8400</x:v>
      </x:c>
      <x:c r="Q19" s="22" t="n">
        <x:f>IF(P19=0,0,(P19-O19)/P19)</x:f>
        <x:v>0.35714285714285715</x:v>
      </x:c>
      <x:c r="R19" t="str">
        <x:v>R-PREC</x:v>
      </x:c>
    </x:row>
    <x:row r="20" ht="20" customHeight="1">
      <x:c r="A20" t="str">
        <x:v>PM-VAC-A</x:v>
      </x:c>
      <x:c r="B20" t="str">
        <x:v>精密金屬加工件</x:v>
      </x:c>
      <x:c r="C20" t="str">
        <x:v>真空接頭座-A</x:v>
      </x:c>
      <x:c r="D20" t="str">
        <x:v>半導體設備</x:v>
      </x:c>
      <x:c r="E20" t="str">
        <x:v>MTO</x:v>
      </x:c>
      <x:c r="F20" t="str">
        <x:v>件</x:v>
      </x:c>
      <x:c r="G20" t="n">
        <x:v>30</x:v>
      </x:c>
      <x:c r="H20" t="str">
        <x:v>量產</x:v>
      </x:c>
      <x:c r="I20" s="20" t="n">
        <x:v>44562</x:v>
      </x:c>
      <x:c r="J20" s="20"/>
      <x:c r="K20" t="n">
        <x:v>6200</x:v>
      </x:c>
      <x:c r="L20" t="n">
        <x:v>2500</x:v>
      </x:c>
      <x:c r="M20" t="n">
        <x:v>800</x:v>
      </x:c>
      <x:c r="N20" t="n">
        <x:v>1300</x:v>
      </x:c>
      <x:c r="O20" t="n">
        <x:f>SUM(K20:N20)</x:f>
        <x:v>10800</x:v>
      </x:c>
      <x:c r="P20" t="n">
        <x:v>16800</x:v>
      </x:c>
      <x:c r="Q20" s="22" t="n">
        <x:f>IF(P20=0,0,(P20-O20)/P20)</x:f>
        <x:v>0.35714285714285715</x:v>
      </x:c>
      <x:c r="R20" t="str">
        <x:v>R-PREC</x:v>
      </x:c>
    </x:row>
    <x:row r="21" ht="20" customHeight="1">
      <x:c r="A21" t="str">
        <x:v>PM-VAC-B</x:v>
      </x:c>
      <x:c r="B21" t="str">
        <x:v>精密金屬加工件</x:v>
      </x:c>
      <x:c r="C21" t="str">
        <x:v>真空接頭座-B</x:v>
      </x:c>
      <x:c r="D21" t="str">
        <x:v>半導體設備</x:v>
      </x:c>
      <x:c r="E21" t="str">
        <x:v>MTO</x:v>
      </x:c>
      <x:c r="F21" t="str">
        <x:v>件</x:v>
      </x:c>
      <x:c r="G21" t="n">
        <x:v>35</x:v>
      </x:c>
      <x:c r="H21" t="str">
        <x:v>量產</x:v>
      </x:c>
      <x:c r="I21" s="20" t="n">
        <x:v>44562</x:v>
      </x:c>
      <x:c r="J21" s="20"/>
      <x:c r="K21" t="n">
        <x:v>9400</x:v>
      </x:c>
      <x:c r="L21" t="n">
        <x:v>3300</x:v>
      </x:c>
      <x:c r="M21" t="n">
        <x:v>1100</x:v>
      </x:c>
      <x:c r="N21" t="n">
        <x:v>1700</x:v>
      </x:c>
      <x:c r="O21" t="n">
        <x:f>SUM(K21:N21)</x:f>
        <x:v>15500</x:v>
      </x:c>
      <x:c r="P21" t="n">
        <x:v>23500</x:v>
      </x:c>
      <x:c r="Q21" s="22" t="n">
        <x:f>IF(P21=0,0,(P21-O21)/P21)</x:f>
        <x:v>0.3404255319148936</x:v>
      </x:c>
      <x:c r="R21" t="str">
        <x:v>R-PREC</x:v>
      </x:c>
    </x:row>
    <x:row r="22" ht="20" customHeight="1">
      <x:c r="A22" t="str">
        <x:v>MECH-STG-A</x:v>
      </x:c>
      <x:c r="B22" t="str">
        <x:v>機電／自動化模組</x:v>
      </x:c>
      <x:c r="C22" t="str">
        <x:v>精密定位平台-A</x:v>
      </x:c>
      <x:c r="D22" t="str">
        <x:v>自動化設備</x:v>
      </x:c>
      <x:c r="E22" t="str">
        <x:v>ATO</x:v>
      </x:c>
      <x:c r="F22" t="str">
        <x:v>套</x:v>
      </x:c>
      <x:c r="G22" t="n">
        <x:v>40</x:v>
      </x:c>
      <x:c r="H22" t="str">
        <x:v>量產</x:v>
      </x:c>
      <x:c r="I22" s="20" t="n">
        <x:v>44562</x:v>
      </x:c>
      <x:c r="J22" s="20"/>
      <x:c r="K22" t="n">
        <x:v>68000</x:v>
      </x:c>
      <x:c r="L22" t="n">
        <x:v>18000</x:v>
      </x:c>
      <x:c r="M22" t="n">
        <x:v>6000</x:v>
      </x:c>
      <x:c r="N22" t="n">
        <x:v>12000</x:v>
      </x:c>
      <x:c r="O22" t="n">
        <x:f>SUM(K22:N22)</x:f>
        <x:v>104000</x:v>
      </x:c>
      <x:c r="P22" t="n">
        <x:v>145000</x:v>
      </x:c>
      <x:c r="Q22" s="22" t="n">
        <x:f>IF(P22=0,0,(P22-O22)/P22)</x:f>
        <x:v>0.2827586206896552</x:v>
      </x:c>
      <x:c r="R22" t="str">
        <x:v>R-MECH</x:v>
      </x:c>
    </x:row>
    <x:row r="23" ht="20" customHeight="1">
      <x:c r="A23" t="str">
        <x:v>MECH-STG-B</x:v>
      </x:c>
      <x:c r="B23" t="str">
        <x:v>機電／自動化模組</x:v>
      </x:c>
      <x:c r="C23" t="str">
        <x:v>精密定位平台-B</x:v>
      </x:c>
      <x:c r="D23" t="str">
        <x:v>半導體設備</x:v>
      </x:c>
      <x:c r="E23" t="str">
        <x:v>ATO</x:v>
      </x:c>
      <x:c r="F23" t="str">
        <x:v>套</x:v>
      </x:c>
      <x:c r="G23" t="n">
        <x:v>50</x:v>
      </x:c>
      <x:c r="H23" t="str">
        <x:v>量產</x:v>
      </x:c>
      <x:c r="I23" s="20" t="n">
        <x:v>44562</x:v>
      </x:c>
      <x:c r="J23" s="20"/>
      <x:c r="K23" t="n">
        <x:v>98000</x:v>
      </x:c>
      <x:c r="L23" t="n">
        <x:v>26000</x:v>
      </x:c>
      <x:c r="M23" t="n">
        <x:v>9000</x:v>
      </x:c>
      <x:c r="N23" t="n">
        <x:v>18000</x:v>
      </x:c>
      <x:c r="O23" t="n">
        <x:f>SUM(K23:N23)</x:f>
        <x:v>151000</x:v>
      </x:c>
      <x:c r="P23" t="n">
        <x:v>205000</x:v>
      </x:c>
      <x:c r="Q23" s="22" t="n">
        <x:f>IF(P23=0,0,(P23-O23)/P23)</x:f>
        <x:v>0.2634146341463415</x:v>
      </x:c>
      <x:c r="R23" t="str">
        <x:v>R-MECH</x:v>
      </x:c>
    </x:row>
    <x:row r="24" ht="20" customHeight="1">
      <x:c r="A24" t="str">
        <x:v>MECH-CON-A</x:v>
      </x:c>
      <x:c r="B24" t="str">
        <x:v>機電／自動化模組</x:v>
      </x:c>
      <x:c r="C24" t="str">
        <x:v>輸送定位模組-A</x:v>
      </x:c>
      <x:c r="D24" t="str">
        <x:v>電子製造</x:v>
      </x:c>
      <x:c r="E24" t="str">
        <x:v>ATO</x:v>
      </x:c>
      <x:c r="F24" t="str">
        <x:v>套</x:v>
      </x:c>
      <x:c r="G24" t="n">
        <x:v>35</x:v>
      </x:c>
      <x:c r="H24" t="str">
        <x:v>量產</x:v>
      </x:c>
      <x:c r="I24" s="20" t="n">
        <x:v>44562</x:v>
      </x:c>
      <x:c r="J24" s="20"/>
      <x:c r="K24" t="n">
        <x:v>52000</x:v>
      </x:c>
      <x:c r="L24" t="n">
        <x:v>16000</x:v>
      </x:c>
      <x:c r="M24" t="n">
        <x:v>5000</x:v>
      </x:c>
      <x:c r="N24" t="n">
        <x:v>10000</x:v>
      </x:c>
      <x:c r="O24" t="n">
        <x:f>SUM(K24:N24)</x:f>
        <x:v>83000</x:v>
      </x:c>
      <x:c r="P24" t="n">
        <x:v>118000</x:v>
      </x:c>
      <x:c r="Q24" s="22" t="n">
        <x:f>IF(P24=0,0,(P24-O24)/P24)</x:f>
        <x:v>0.2966101694915254</x:v>
      </x:c>
      <x:c r="R24" t="str">
        <x:v>R-MECH</x:v>
      </x:c>
    </x:row>
    <x:row r="25" ht="20" customHeight="1">
      <x:c r="A25" t="str">
        <x:v>MECH-CON-B</x:v>
      </x:c>
      <x:c r="B25" t="str">
        <x:v>機電／自動化模組</x:v>
      </x:c>
      <x:c r="C25" t="str">
        <x:v>輸送定位模組-B</x:v>
      </x:c>
      <x:c r="D25" t="str">
        <x:v>自動化設備</x:v>
      </x:c>
      <x:c r="E25" t="str">
        <x:v>ATO</x:v>
      </x:c>
      <x:c r="F25" t="str">
        <x:v>套</x:v>
      </x:c>
      <x:c r="G25" t="n">
        <x:v>45</x:v>
      </x:c>
      <x:c r="H25" t="str">
        <x:v>量產</x:v>
      </x:c>
      <x:c r="I25" s="20" t="n">
        <x:v>44562</x:v>
      </x:c>
      <x:c r="J25" s="20"/>
      <x:c r="K25" t="n">
        <x:v>76000</x:v>
      </x:c>
      <x:c r="L25" t="n">
        <x:v>22000</x:v>
      </x:c>
      <x:c r="M25" t="n">
        <x:v>7000</x:v>
      </x:c>
      <x:c r="N25" t="n">
        <x:v>14000</x:v>
      </x:c>
      <x:c r="O25" t="n">
        <x:f>SUM(K25:N25)</x:f>
        <x:v>119000</x:v>
      </x:c>
      <x:c r="P25" t="n">
        <x:v>165000</x:v>
      </x:c>
      <x:c r="Q25" s="22" t="n">
        <x:f>IF(P25=0,0,(P25-O25)/P25)</x:f>
        <x:v>0.2787878787878788</x:v>
      </x:c>
      <x:c r="R25" t="str">
        <x:v>R-MECH</x:v>
      </x:c>
    </x:row>
    <x:row r="26" ht="20" customHeight="1">
      <x:c r="A26" t="str">
        <x:v>SEMI-CHB-A</x:v>
      </x:c>
      <x:c r="B26" t="str">
        <x:v>半導體設備零組件</x:v>
      </x:c>
      <x:c r="C26" t="str">
        <x:v>真空腔體基座環-A</x:v>
      </x:c>
      <x:c r="D26" t="str">
        <x:v>半導體設備</x:v>
      </x:c>
      <x:c r="E26" t="str">
        <x:v>MTO</x:v>
      </x:c>
      <x:c r="F26" t="str">
        <x:v>件</x:v>
      </x:c>
      <x:c r="G26" t="n">
        <x:v>45</x:v>
      </x:c>
      <x:c r="H26" t="str">
        <x:v>量產</x:v>
      </x:c>
      <x:c r="I26" s="20" t="n">
        <x:v>44562</x:v>
      </x:c>
      <x:c r="J26" s="20"/>
      <x:c r="K26" t="n">
        <x:v>42000</x:v>
      </x:c>
      <x:c r="L26" t="n">
        <x:v>14000</x:v>
      </x:c>
      <x:c r="M26" t="n">
        <x:v>5000</x:v>
      </x:c>
      <x:c r="N26" t="n">
        <x:v>9000</x:v>
      </x:c>
      <x:c r="O26" t="n">
        <x:f>SUM(K26:N26)</x:f>
        <x:v>70000</x:v>
      </x:c>
      <x:c r="P26" t="n">
        <x:v>98000</x:v>
      </x:c>
      <x:c r="Q26" s="22" t="n">
        <x:f>IF(P26=0,0,(P26-O26)/P26)</x:f>
        <x:v>0.2857142857142857</x:v>
      </x:c>
      <x:c r="R26" t="str">
        <x:v>R-SEMI</x:v>
      </x:c>
    </x:row>
    <x:row r="27" ht="20" customHeight="1">
      <x:c r="A27" t="str">
        <x:v>SEMI-CHB-B</x:v>
      </x:c>
      <x:c r="B27" t="str">
        <x:v>半導體設備零組件</x:v>
      </x:c>
      <x:c r="C27" t="str">
        <x:v>真空腔體基座環-B</x:v>
      </x:c>
      <x:c r="D27" t="str">
        <x:v>半導體設備</x:v>
      </x:c>
      <x:c r="E27" t="str">
        <x:v>MTO</x:v>
      </x:c>
      <x:c r="F27" t="str">
        <x:v>件</x:v>
      </x:c>
      <x:c r="G27" t="n">
        <x:v>55</x:v>
      </x:c>
      <x:c r="H27" t="str">
        <x:v>量產</x:v>
      </x:c>
      <x:c r="I27" s="20" t="n">
        <x:v>44562</x:v>
      </x:c>
      <x:c r="J27" s="20"/>
      <x:c r="K27" t="n">
        <x:v>68000</x:v>
      </x:c>
      <x:c r="L27" t="n">
        <x:v>21000</x:v>
      </x:c>
      <x:c r="M27" t="n">
        <x:v>8000</x:v>
      </x:c>
      <x:c r="N27" t="n">
        <x:v>14000</x:v>
      </x:c>
      <x:c r="O27" t="n">
        <x:f>SUM(K27:N27)</x:f>
        <x:v>111000</x:v>
      </x:c>
      <x:c r="P27" t="n">
        <x:v>148000</x:v>
      </x:c>
      <x:c r="Q27" s="22" t="n">
        <x:f>IF(P27=0,0,(P27-O27)/P27)</x:f>
        <x:v>0.25</x:v>
      </x:c>
      <x:c r="R27" t="str">
        <x:v>R-SEMI</x:v>
      </x:c>
    </x:row>
    <x:row r="28" ht="20" customHeight="1">
      <x:c r="A28" t="str">
        <x:v>SEMI-WH-A</x:v>
      </x:c>
      <x:c r="B28" t="str">
        <x:v>半導體設備零組件</x:v>
      </x:c>
      <x:c r="C28" t="str">
        <x:v>晶圓搬送機構基座-A</x:v>
      </x:c>
      <x:c r="D28" t="str">
        <x:v>半導體設備</x:v>
      </x:c>
      <x:c r="E28" t="str">
        <x:v>MTO</x:v>
      </x:c>
      <x:c r="F28" t="str">
        <x:v>件</x:v>
      </x:c>
      <x:c r="G28" t="n">
        <x:v>50</x:v>
      </x:c>
      <x:c r="H28" t="str">
        <x:v>量產</x:v>
      </x:c>
      <x:c r="I28" s="20" t="n">
        <x:v>44562</x:v>
      </x:c>
      <x:c r="J28" s="20"/>
      <x:c r="K28" t="n">
        <x:v>52000</x:v>
      </x:c>
      <x:c r="L28" t="n">
        <x:v>18000</x:v>
      </x:c>
      <x:c r="M28" t="n">
        <x:v>7000</x:v>
      </x:c>
      <x:c r="N28" t="n">
        <x:v>11000</x:v>
      </x:c>
      <x:c r="O28" t="n">
        <x:f>SUM(K28:N28)</x:f>
        <x:v>88000</x:v>
      </x:c>
      <x:c r="P28" t="n">
        <x:v>120000</x:v>
      </x:c>
      <x:c r="Q28" s="22" t="n">
        <x:f>IF(P28=0,0,(P28-O28)/P28)</x:f>
        <x:v>0.26666666666666666</x:v>
      </x:c>
      <x:c r="R28" t="str">
        <x:v>R-SEMI</x:v>
      </x:c>
    </x:row>
    <x:row r="29" ht="20" customHeight="1">
      <x:c r="A29" t="str">
        <x:v>SEMI-WH-B</x:v>
      </x:c>
      <x:c r="B29" t="str">
        <x:v>半導體設備零組件</x:v>
      </x:c>
      <x:c r="C29" t="str">
        <x:v>晶圓搬送機構基座-B</x:v>
      </x:c>
      <x:c r="D29" t="str">
        <x:v>半導體設備</x:v>
      </x:c>
      <x:c r="E29" t="str">
        <x:v>MTO</x:v>
      </x:c>
      <x:c r="F29" t="str">
        <x:v>件</x:v>
      </x:c>
      <x:c r="G29" t="n">
        <x:v>60</x:v>
      </x:c>
      <x:c r="H29" t="str">
        <x:v>量產</x:v>
      </x:c>
      <x:c r="I29" s="20" t="n">
        <x:v>44562</x:v>
      </x:c>
      <x:c r="J29" s="20"/>
      <x:c r="K29" t="n">
        <x:v>78000</x:v>
      </x:c>
      <x:c r="L29" t="n">
        <x:v>26000</x:v>
      </x:c>
      <x:c r="M29" t="n">
        <x:v>10000</x:v>
      </x:c>
      <x:c r="N29" t="n">
        <x:v>16000</x:v>
      </x:c>
      <x:c r="O29" t="n">
        <x:f>SUM(K29:N29)</x:f>
        <x:v>130000</x:v>
      </x:c>
      <x:c r="P29" t="n">
        <x:v>178000</x:v>
      </x:c>
      <x:c r="Q29" s="22" t="n">
        <x:f>IF(P29=0,0,(P29-O29)/P29)</x:f>
        <x:v>0.2696629213483146</x:v>
      </x:c>
      <x:c r="R29" t="str">
        <x:v>R-SEMI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0" customHeight="1">
      <x:c r="A1" s="14" t="str">
        <x:v>物料ID</x:v>
      </x:c>
      <x:c r="B1" s="14" t="str">
        <x:v>物料名稱</x:v>
      </x:c>
      <x:c r="C1" s="14" t="str">
        <x:v>物料類別</x:v>
      </x:c>
      <x:c r="D1" s="14" t="str">
        <x:v>規格</x:v>
      </x:c>
      <x:c r="E1" s="14" t="str">
        <x:v>單位</x:v>
      </x:c>
      <x:c r="F1" s="14" t="str">
        <x:v>主要供應商ID</x:v>
      </x:c>
      <x:c r="G1" s="14" t="str">
        <x:v>供應商名稱</x:v>
      </x:c>
      <x:c r="H1" s="14" t="str">
        <x:v>標準單價_TWD</x:v>
      </x:c>
      <x:c r="I1" s="14" t="str">
        <x:v>標準採購交期_天</x:v>
      </x:c>
      <x:c r="J1" s="14" t="str">
        <x:v>最小採購量</x:v>
      </x:c>
      <x:c r="K1" s="14" t="str">
        <x:v>安全庫存</x:v>
      </x:c>
      <x:c r="L1" s="14" t="str">
        <x:v>共用性</x:v>
      </x:c>
      <x:c r="M1" s="14" t="str">
        <x:v>狀態</x:v>
      </x:c>
    </x:row>
    <x:row r="2" ht="20" customHeight="1">
      <x:c r="A2" t="str">
        <x:v>MAT-PKG-01</x:v>
      </x:c>
      <x:c r="B2" t="str">
        <x:v>一般包裝組</x:v>
      </x:c>
      <x:c r="C2" t="str">
        <x:v>包材</x:v>
      </x:c>
      <x:c r="D2" t="str">
        <x:v>一般包裝組</x:v>
      </x:c>
      <x:c r="E2" t="str">
        <x:v>組</x:v>
      </x:c>
      <x:c r="F2" t="str">
        <x:v>SUP01</x:v>
      </x:c>
      <x:c r="G2" t="str">
        <x:v>聯鋁材料股份有限公司</x:v>
      </x:c>
      <x:c r="H2" t="n">
        <x:v>35</x:v>
      </x:c>
      <x:c r="I2" t="n">
        <x:v>5</x:v>
      </x:c>
      <x:c r="J2" t="n">
        <x:v>50</x:v>
      </x:c>
      <x:c r="K2" t="n">
        <x:v>200</x:v>
      </x:c>
      <x:c r="L2" t="str">
        <x:v>共用</x:v>
      </x:c>
      <x:c r="M2" t="str">
        <x:v>使用中</x:v>
      </x:c>
    </x:row>
    <x:row r="3" ht="20" customHeight="1">
      <x:c r="A3" t="str">
        <x:v>MAT-BOLT-01</x:v>
      </x:c>
      <x:c r="B3" t="str">
        <x:v>精密螺栓組</x:v>
      </x:c>
      <x:c r="C3" t="str">
        <x:v>標準件</x:v>
      </x:c>
      <x:c r="D3" t="str">
        <x:v>精密螺栓組</x:v>
      </x:c>
      <x:c r="E3" t="str">
        <x:v>組</x:v>
      </x:c>
      <x:c r="F3" t="str">
        <x:v>SUP02</x:v>
      </x:c>
      <x:c r="G3" t="str">
        <x:v>東岳鋼材有限公司</x:v>
      </x:c>
      <x:c r="H3" t="n">
        <x:v>95</x:v>
      </x:c>
      <x:c r="I3" t="n">
        <x:v>7</x:v>
      </x:c>
      <x:c r="J3" t="n">
        <x:v>37</x:v>
      </x:c>
      <x:c r="K3" t="n">
        <x:v>150</x:v>
      </x:c>
      <x:c r="L3" t="str">
        <x:v>共用</x:v>
      </x:c>
      <x:c r="M3" t="str">
        <x:v>使用中</x:v>
      </x:c>
    </x:row>
    <x:row r="4" ht="20" customHeight="1">
      <x:c r="A4" t="str">
        <x:v>MAT-BUSH-01</x:v>
      </x:c>
      <x:c r="B4" t="str">
        <x:v>耐磨襯套組</x:v>
      </x:c>
      <x:c r="C4" t="str">
        <x:v>標準件</x:v>
      </x:c>
      <x:c r="D4" t="str">
        <x:v>耐磨襯套組</x:v>
      </x:c>
      <x:c r="E4" t="str">
        <x:v>組</x:v>
      </x:c>
      <x:c r="F4" t="str">
        <x:v>SUP03</x:v>
      </x:c>
      <x:c r="G4" t="str">
        <x:v>精承五金工業股份有限公司</x:v>
      </x:c>
      <x:c r="H4" t="n">
        <x:v>220</x:v>
      </x:c>
      <x:c r="I4" t="n">
        <x:v>12</x:v>
      </x:c>
      <x:c r="J4" t="n">
        <x:v>25</x:v>
      </x:c>
      <x:c r="K4" t="n">
        <x:v>100</x:v>
      </x:c>
      <x:c r="L4" t="str">
        <x:v>共用</x:v>
      </x:c>
      <x:c r="M4" t="str">
        <x:v>使用中</x:v>
      </x:c>
    </x:row>
    <x:row r="5" ht="20" customHeight="1">
      <x:c r="A5" t="str">
        <x:v>MAT-BRG-01</x:v>
      </x:c>
      <x:c r="B5" t="str">
        <x:v>精密軸承組</x:v>
      </x:c>
      <x:c r="C5" t="str">
        <x:v>標準件</x:v>
      </x:c>
      <x:c r="D5" t="str">
        <x:v>精密軸承組</x:v>
      </x:c>
      <x:c r="E5" t="str">
        <x:v>組</x:v>
      </x:c>
      <x:c r="F5" t="str">
        <x:v>SUP04</x:v>
      </x:c>
      <x:c r="G5" t="str">
        <x:v>宏泰軸承有限公司</x:v>
      </x:c>
      <x:c r="H5" t="n">
        <x:v>480</x:v>
      </x:c>
      <x:c r="I5" t="n">
        <x:v>14</x:v>
      </x:c>
      <x:c r="J5" t="n">
        <x:v>20</x:v>
      </x:c>
      <x:c r="K5" t="n">
        <x:v>80</x:v>
      </x:c>
      <x:c r="L5" t="str">
        <x:v>共用</x:v>
      </x:c>
      <x:c r="M5" t="str">
        <x:v>使用中</x:v>
      </x:c>
    </x:row>
    <x:row r="6" ht="20" customHeight="1">
      <x:c r="A6" t="str">
        <x:v>MAT-VAC-01</x:v>
      </x:c>
      <x:c r="B6" t="str">
        <x:v>真空密封組</x:v>
      </x:c>
      <x:c r="C6" t="str">
        <x:v>半導體件</x:v>
      </x:c>
      <x:c r="D6" t="str">
        <x:v>真空密封組</x:v>
      </x:c>
      <x:c r="E6" t="str">
        <x:v>組</x:v>
      </x:c>
      <x:c r="F6" t="str">
        <x:v>SUP05</x:v>
      </x:c>
      <x:c r="G6" t="str">
        <x:v>鼎盛密封科技有限公司</x:v>
      </x:c>
      <x:c r="H6" t="n">
        <x:v>2800</x:v>
      </x:c>
      <x:c r="I6" t="n">
        <x:v>21</x:v>
      </x:c>
      <x:c r="J6" t="n">
        <x:v>7</x:v>
      </x:c>
      <x:c r="K6" t="n">
        <x:v>30</x:v>
      </x:c>
      <x:c r="L6" t="str">
        <x:v>共用</x:v>
      </x:c>
      <x:c r="M6" t="str">
        <x:v>使用中</x:v>
      </x:c>
    </x:row>
    <x:row r="7" ht="20" customHeight="1">
      <x:c r="A7" t="str">
        <x:v>MAT-LG-01</x:v>
      </x:c>
      <x:c r="B7" t="str">
        <x:v>線性滑軌組</x:v>
      </x:c>
      <x:c r="C7" t="str">
        <x:v>機電件</x:v>
      </x:c>
      <x:c r="D7" t="str">
        <x:v>線性滑軌組</x:v>
      </x:c>
      <x:c r="E7" t="str">
        <x:v>組</x:v>
      </x:c>
      <x:c r="F7" t="str">
        <x:v>SUP06</x:v>
      </x:c>
      <x:c r="G7" t="str">
        <x:v>真空技研股份有限公司</x:v>
      </x:c>
      <x:c r="H7" t="n">
        <x:v>9200</x:v>
      </x:c>
      <x:c r="I7" t="n">
        <x:v>21</x:v>
      </x:c>
      <x:c r="J7" t="n">
        <x:v>5</x:v>
      </x:c>
      <x:c r="K7" t="n">
        <x:v>20</x:v>
      </x:c>
      <x:c r="L7" t="str">
        <x:v>共用</x:v>
      </x:c>
      <x:c r="M7" t="str">
        <x:v>使用中</x:v>
      </x:c>
    </x:row>
    <x:row r="8" ht="20" customHeight="1">
      <x:c r="A8" t="str">
        <x:v>MAT-SERVO-01</x:v>
      </x:c>
      <x:c r="B8" t="str">
        <x:v>伺服馬達</x:v>
      </x:c>
      <x:c r="C8" t="str">
        <x:v>機電件</x:v>
      </x:c>
      <x:c r="D8" t="str">
        <x:v>伺服馬達</x:v>
      </x:c>
      <x:c r="E8" t="str">
        <x:v>顆</x:v>
      </x:c>
      <x:c r="F8" t="str">
        <x:v>SUP07</x:v>
      </x:c>
      <x:c r="G8" t="str">
        <x:v>亞太線性科技有限公司</x:v>
      </x:c>
      <x:c r="H8" t="n">
        <x:v>22500</x:v>
      </x:c>
      <x:c r="I8" t="n">
        <x:v>30</x:v>
      </x:c>
      <x:c r="J8" t="n">
        <x:v>3</x:v>
      </x:c>
      <x:c r="K8" t="n">
        <x:v>15</x:v>
      </x:c>
      <x:c r="L8" t="str">
        <x:v>共用</x:v>
      </x:c>
      <x:c r="M8" t="str">
        <x:v>使用中</x:v>
      </x:c>
    </x:row>
    <x:row r="9" ht="20" customHeight="1">
      <x:c r="A9" t="str">
        <x:v>MAT-SENSOR-01</x:v>
      </x:c>
      <x:c r="B9" t="str">
        <x:v>感測器組</x:v>
      </x:c>
      <x:c r="C9" t="str">
        <x:v>機電件</x:v>
      </x:c>
      <x:c r="D9" t="str">
        <x:v>感測器組</x:v>
      </x:c>
      <x:c r="E9" t="str">
        <x:v>組</x:v>
      </x:c>
      <x:c r="F9" t="str">
        <x:v>SUP08</x:v>
      </x:c>
      <x:c r="G9" t="str">
        <x:v>精動馬達股份有限公司</x:v>
      </x:c>
      <x:c r="H9" t="n">
        <x:v>6200</x:v>
      </x:c>
      <x:c r="I9" t="n">
        <x:v>21</x:v>
      </x:c>
      <x:c r="J9" t="n">
        <x:v>5</x:v>
      </x:c>
      <x:c r="K9" t="n">
        <x:v>20</x:v>
      </x:c>
      <x:c r="L9" t="str">
        <x:v>共用</x:v>
      </x:c>
      <x:c r="M9" t="str">
        <x:v>使用中</x:v>
      </x:c>
    </x:row>
    <x:row r="10" ht="20" customHeight="1">
      <x:c r="A10" t="str">
        <x:v>MAT-CABLE-01</x:v>
      </x:c>
      <x:c r="B10" t="str">
        <x:v>配線線材組</x:v>
      </x:c>
      <x:c r="C10" t="str">
        <x:v>機電件</x:v>
      </x:c>
      <x:c r="D10" t="str">
        <x:v>配線線材組</x:v>
      </x:c>
      <x:c r="E10" t="str">
        <x:v>組</x:v>
      </x:c>
      <x:c r="F10" t="str">
        <x:v>SUP09</x:v>
      </x:c>
      <x:c r="G10" t="str">
        <x:v>感智元件有限公司</x:v>
      </x:c>
      <x:c r="H10" t="n">
        <x:v>2600</x:v>
      </x:c>
      <x:c r="I10" t="n">
        <x:v>14</x:v>
      </x:c>
      <x:c r="J10" t="n">
        <x:v>5</x:v>
      </x:c>
      <x:c r="K10" t="n">
        <x:v>20</x:v>
      </x:c>
      <x:c r="L10" t="str">
        <x:v>共用</x:v>
      </x:c>
      <x:c r="M10" t="str">
        <x:v>使用中</x:v>
      </x:c>
    </x:row>
    <x:row r="11" ht="20" customHeight="1">
      <x:c r="A11" t="str">
        <x:v>MAT-CTRL-01</x:v>
      </x:c>
      <x:c r="B11" t="str">
        <x:v>控制器模組</x:v>
      </x:c>
      <x:c r="C11" t="str">
        <x:v>機電件</x:v>
      </x:c>
      <x:c r="D11" t="str">
        <x:v>控制器模組</x:v>
      </x:c>
      <x:c r="E11" t="str">
        <x:v>組</x:v>
      </x:c>
      <x:c r="F11" t="str">
        <x:v>SUP10</x:v>
      </x:c>
      <x:c r="G11" t="str">
        <x:v>聯成線材科技有限公司</x:v>
      </x:c>
      <x:c r="H11" t="n">
        <x:v>18500</x:v>
      </x:c>
      <x:c r="I11" t="n">
        <x:v>30</x:v>
      </x:c>
      <x:c r="J11" t="n">
        <x:v>3</x:v>
      </x:c>
      <x:c r="K11" t="n">
        <x:v>15</x:v>
      </x:c>
      <x:c r="L11" t="str">
        <x:v>共用</x:v>
      </x:c>
      <x:c r="M11" t="str">
        <x:v>使用中</x:v>
      </x:c>
    </x:row>
    <x:row r="12" ht="20" customHeight="1">
      <x:c r="A12" t="str">
        <x:v>MAT-CLEAN-01</x:v>
      </x:c>
      <x:c r="B12" t="str">
        <x:v>潔淨包裝耗材</x:v>
      </x:c>
      <x:c r="C12" t="str">
        <x:v>半導體件</x:v>
      </x:c>
      <x:c r="D12" t="str">
        <x:v>潔淨包裝耗材</x:v>
      </x:c>
      <x:c r="E12" t="str">
        <x:v>組</x:v>
      </x:c>
      <x:c r="F12" t="str">
        <x:v>SUP11</x:v>
      </x:c>
      <x:c r="G12" t="str">
        <x:v>智控機電股份有限公司</x:v>
      </x:c>
      <x:c r="H12" t="n">
        <x:v>850</x:v>
      </x:c>
      <x:c r="I12" t="n">
        <x:v>10</x:v>
      </x:c>
      <x:c r="J12" t="n">
        <x:v>10</x:v>
      </x:c>
      <x:c r="K12" t="n">
        <x:v>40</x:v>
      </x:c>
      <x:c r="L12" t="str">
        <x:v>共用</x:v>
      </x:c>
      <x:c r="M12" t="str">
        <x:v>使用中</x:v>
      </x:c>
    </x:row>
    <x:row r="13" ht="20" customHeight="1">
      <x:c r="A13" t="str">
        <x:v>RAW-AUTO-BRK-A</x:v>
      </x:c>
      <x:c r="B13" t="str">
        <x:v>制動卡鉗支架-A專用毛胚</x:v>
      </x:c>
      <x:c r="C13" t="str">
        <x:v>專用毛胚</x:v>
      </x:c>
      <x:c r="D13" t="str">
        <x:v>AUTO-BRK-A 專用規格</x:v>
      </x:c>
      <x:c r="E13" t="str">
        <x:v>件</x:v>
      </x:c>
      <x:c r="F13" t="str">
        <x:v>SUP08</x:v>
      </x:c>
      <x:c r="G13" t="str">
        <x:v>精動馬達股份有限公司</x:v>
      </x:c>
      <x:c r="H13" t="n">
        <x:v>290</x:v>
      </x:c>
      <x:c r="I13" t="n">
        <x:v>21</x:v>
      </x:c>
      <x:c r="J13" t="n">
        <x:v>500</x:v>
      </x:c>
      <x:c r="K13" t="n">
        <x:v>1000</x:v>
      </x:c>
      <x:c r="L13" t="str">
        <x:v>專用</x:v>
      </x:c>
      <x:c r="M13" t="str">
        <x:v>使用中</x:v>
      </x:c>
    </x:row>
    <x:row r="14" ht="20" customHeight="1">
      <x:c r="A14" t="str">
        <x:v>RAW-AUTO-BRK-B</x:v>
      </x:c>
      <x:c r="B14" t="str">
        <x:v>制動卡鉗支架-B專用毛胚</x:v>
      </x:c>
      <x:c r="C14" t="str">
        <x:v>專用毛胚</x:v>
      </x:c>
      <x:c r="D14" t="str">
        <x:v>AUTO-BRK-B 專用規格</x:v>
      </x:c>
      <x:c r="E14" t="str">
        <x:v>件</x:v>
      </x:c>
      <x:c r="F14" t="str">
        <x:v>SUP09</x:v>
      </x:c>
      <x:c r="G14" t="str">
        <x:v>感智元件有限公司</x:v>
      </x:c>
      <x:c r="H14" t="n">
        <x:v>490</x:v>
      </x:c>
      <x:c r="I14" t="n">
        <x:v>18</x:v>
      </x:c>
      <x:c r="J14" t="n">
        <x:v>500</x:v>
      </x:c>
      <x:c r="K14" t="n">
        <x:v>1000</x:v>
      </x:c>
      <x:c r="L14" t="str">
        <x:v>專用</x:v>
      </x:c>
      <x:c r="M14" t="str">
        <x:v>使用中</x:v>
      </x:c>
    </x:row>
    <x:row r="15" ht="20" customHeight="1">
      <x:c r="A15" t="str">
        <x:v>RAW-AUTO-MH-A</x:v>
      </x:c>
      <x:c r="B15" t="str">
        <x:v>驅動馬達外殼-A專用毛胚</x:v>
      </x:c>
      <x:c r="C15" t="str">
        <x:v>專用毛胚</x:v>
      </x:c>
      <x:c r="D15" t="str">
        <x:v>AUTO-MH-A 專用規格</x:v>
      </x:c>
      <x:c r="E15" t="str">
        <x:v>件</x:v>
      </x:c>
      <x:c r="F15" t="str">
        <x:v>SUP03</x:v>
      </x:c>
      <x:c r="G15" t="str">
        <x:v>精承五金工業股份有限公司</x:v>
      </x:c>
      <x:c r="H15" t="n">
        <x:v>740</x:v>
      </x:c>
      <x:c r="I15" t="n">
        <x:v>25</x:v>
      </x:c>
      <x:c r="J15" t="n">
        <x:v>500</x:v>
      </x:c>
      <x:c r="K15" t="n">
        <x:v>1000</x:v>
      </x:c>
      <x:c r="L15" t="str">
        <x:v>專用</x:v>
      </x:c>
      <x:c r="M15" t="str">
        <x:v>使用中</x:v>
      </x:c>
    </x:row>
    <x:row r="16" ht="20" customHeight="1">
      <x:c r="A16" t="str">
        <x:v>RAW-AUTO-MH-B</x:v>
      </x:c>
      <x:c r="B16" t="str">
        <x:v>驅動馬達外殼-B專用毛胚</x:v>
      </x:c>
      <x:c r="C16" t="str">
        <x:v>專用毛胚</x:v>
      </x:c>
      <x:c r="D16" t="str">
        <x:v>AUTO-MH-B 專用規格</x:v>
      </x:c>
      <x:c r="E16" t="str">
        <x:v>件</x:v>
      </x:c>
      <x:c r="F16" t="str">
        <x:v>SUP05</x:v>
      </x:c>
      <x:c r="G16" t="str">
        <x:v>鼎盛密封科技有限公司</x:v>
      </x:c>
      <x:c r="H16" t="n">
        <x:v>990</x:v>
      </x:c>
      <x:c r="I16" t="n">
        <x:v>14</x:v>
      </x:c>
      <x:c r="J16" t="n">
        <x:v>500</x:v>
      </x:c>
      <x:c r="K16" t="n">
        <x:v>1000</x:v>
      </x:c>
      <x:c r="L16" t="str">
        <x:v>專用</x:v>
      </x:c>
      <x:c r="M16" t="str">
        <x:v>使用中</x:v>
      </x:c>
    </x:row>
    <x:row r="17" ht="20" customHeight="1">
      <x:c r="A17" t="str">
        <x:v>RAW-AUTO-KN-A</x:v>
      </x:c>
      <x:c r="B17" t="str">
        <x:v>轉向節-A專用毛胚</x:v>
      </x:c>
      <x:c r="C17" t="str">
        <x:v>專用毛胚</x:v>
      </x:c>
      <x:c r="D17" t="str">
        <x:v>AUTO-KN-A 專用規格</x:v>
      </x:c>
      <x:c r="E17" t="str">
        <x:v>件</x:v>
      </x:c>
      <x:c r="F17" t="str">
        <x:v>SUP03</x:v>
      </x:c>
      <x:c r="G17" t="str">
        <x:v>精承五金工業股份有限公司</x:v>
      </x:c>
      <x:c r="H17" t="n">
        <x:v>840</x:v>
      </x:c>
      <x:c r="I17" t="n">
        <x:v>14</x:v>
      </x:c>
      <x:c r="J17" t="n">
        <x:v>500</x:v>
      </x:c>
      <x:c r="K17" t="n">
        <x:v>1000</x:v>
      </x:c>
      <x:c r="L17" t="str">
        <x:v>專用</x:v>
      </x:c>
      <x:c r="M17" t="str">
        <x:v>使用中</x:v>
      </x:c>
    </x:row>
    <x:row r="18" ht="20" customHeight="1">
      <x:c r="A18" t="str">
        <x:v>RAW-AUTO-KN-B</x:v>
      </x:c>
      <x:c r="B18" t="str">
        <x:v>轉向節-B專用毛胚</x:v>
      </x:c>
      <x:c r="C18" t="str">
        <x:v>專用毛胚</x:v>
      </x:c>
      <x:c r="D18" t="str">
        <x:v>AUTO-KN-B 專用規格</x:v>
      </x:c>
      <x:c r="E18" t="str">
        <x:v>件</x:v>
      </x:c>
      <x:c r="F18" t="str">
        <x:v>SUP04</x:v>
      </x:c>
      <x:c r="G18" t="str">
        <x:v>宏泰軸承有限公司</x:v>
      </x:c>
      <x:c r="H18" t="n">
        <x:v>1110</x:v>
      </x:c>
      <x:c r="I18" t="n">
        <x:v>25</x:v>
      </x:c>
      <x:c r="J18" t="n">
        <x:v>500</x:v>
      </x:c>
      <x:c r="K18" t="n">
        <x:v>1000</x:v>
      </x:c>
      <x:c r="L18" t="str">
        <x:v>專用</x:v>
      </x:c>
      <x:c r="M18" t="str">
        <x:v>使用中</x:v>
      </x:c>
    </x:row>
    <x:row r="19" ht="20" customHeight="1">
      <x:c r="A19" t="str">
        <x:v>RAW-AUTO-FL-A</x:v>
      </x:c>
      <x:c r="B19" t="str">
        <x:v>傳動法蘭-A專用毛胚</x:v>
      </x:c>
      <x:c r="C19" t="str">
        <x:v>專用毛胚</x:v>
      </x:c>
      <x:c r="D19" t="str">
        <x:v>AUTO-FL-A 專用規格</x:v>
      </x:c>
      <x:c r="E19" t="str">
        <x:v>件</x:v>
      </x:c>
      <x:c r="F19" t="str">
        <x:v>SUP10</x:v>
      </x:c>
      <x:c r="G19" t="str">
        <x:v>聯成線材科技有限公司</x:v>
      </x:c>
      <x:c r="H19" t="n">
        <x:v>80</x:v>
      </x:c>
      <x:c r="I19" t="n">
        <x:v>30</x:v>
      </x:c>
      <x:c r="J19" t="n">
        <x:v>500</x:v>
      </x:c>
      <x:c r="K19" t="n">
        <x:v>1000</x:v>
      </x:c>
      <x:c r="L19" t="str">
        <x:v>專用</x:v>
      </x:c>
      <x:c r="M19" t="str">
        <x:v>使用中</x:v>
      </x:c>
    </x:row>
    <x:row r="20" ht="20" customHeight="1">
      <x:c r="A20" t="str">
        <x:v>RAW-AUTO-FL-B</x:v>
      </x:c>
      <x:c r="B20" t="str">
        <x:v>傳動法蘭-B專用毛胚</x:v>
      </x:c>
      <x:c r="C20" t="str">
        <x:v>專用毛胚</x:v>
      </x:c>
      <x:c r="D20" t="str">
        <x:v>AUTO-FL-B 專用規格</x:v>
      </x:c>
      <x:c r="E20" t="str">
        <x:v>件</x:v>
      </x:c>
      <x:c r="F20" t="str">
        <x:v>SUP05</x:v>
      </x:c>
      <x:c r="G20" t="str">
        <x:v>鼎盛密封科技有限公司</x:v>
      </x:c>
      <x:c r="H20" t="n">
        <x:v>150</x:v>
      </x:c>
      <x:c r="I20" t="n">
        <x:v>18</x:v>
      </x:c>
      <x:c r="J20" t="n">
        <x:v>500</x:v>
      </x:c>
      <x:c r="K20" t="n">
        <x:v>1000</x:v>
      </x:c>
      <x:c r="L20" t="str">
        <x:v>專用</x:v>
      </x:c>
      <x:c r="M20" t="str">
        <x:v>使用中</x:v>
      </x:c>
    </x:row>
    <x:row r="21" ht="20" customHeight="1">
      <x:c r="A21" t="str">
        <x:v>RAW-AUTO-BS-A</x:v>
      </x:c>
      <x:c r="B21" t="str">
        <x:v>軸套組-A專用毛胚</x:v>
      </x:c>
      <x:c r="C21" t="str">
        <x:v>專用毛胚</x:v>
      </x:c>
      <x:c r="D21" t="str">
        <x:v>AUTO-BS-A 專用規格</x:v>
      </x:c>
      <x:c r="E21" t="str">
        <x:v>件</x:v>
      </x:c>
      <x:c r="F21" t="str">
        <x:v>SUP05</x:v>
      </x:c>
      <x:c r="G21" t="str">
        <x:v>鼎盛密封科技有限公司</x:v>
      </x:c>
      <x:c r="H21" t="n">
        <x:v>80</x:v>
      </x:c>
      <x:c r="I21" t="n">
        <x:v>14</x:v>
      </x:c>
      <x:c r="J21" t="n">
        <x:v>500</x:v>
      </x:c>
      <x:c r="K21" t="n">
        <x:v>1000</x:v>
      </x:c>
      <x:c r="L21" t="str">
        <x:v>專用</x:v>
      </x:c>
      <x:c r="M21" t="str">
        <x:v>使用中</x:v>
      </x:c>
    </x:row>
    <x:row r="22" ht="20" customHeight="1">
      <x:c r="A22" t="str">
        <x:v>RAW-AUTO-BS-B</x:v>
      </x:c>
      <x:c r="B22" t="str">
        <x:v>軸套組-B專用毛胚</x:v>
      </x:c>
      <x:c r="C22" t="str">
        <x:v>專用毛胚</x:v>
      </x:c>
      <x:c r="D22" t="str">
        <x:v>AUTO-BS-B 專用規格</x:v>
      </x:c>
      <x:c r="E22" t="str">
        <x:v>件</x:v>
      </x:c>
      <x:c r="F22" t="str">
        <x:v>SUP10</x:v>
      </x:c>
      <x:c r="G22" t="str">
        <x:v>聯成線材科技有限公司</x:v>
      </x:c>
      <x:c r="H22" t="n">
        <x:v>80</x:v>
      </x:c>
      <x:c r="I22" t="n">
        <x:v>14</x:v>
      </x:c>
      <x:c r="J22" t="n">
        <x:v>500</x:v>
      </x:c>
      <x:c r="K22" t="n">
        <x:v>1000</x:v>
      </x:c>
      <x:c r="L22" t="str">
        <x:v>專用</x:v>
      </x:c>
      <x:c r="M22" t="str">
        <x:v>使用中</x:v>
      </x:c>
    </x:row>
    <x:row r="23" ht="20" customHeight="1">
      <x:c r="A23" t="str">
        <x:v>RAW-AUTO-LG-A</x:v>
      </x:c>
      <x:c r="B23" t="str">
        <x:v>連桿支架-A專用毛胚</x:v>
      </x:c>
      <x:c r="C23" t="str">
        <x:v>專用毛胚</x:v>
      </x:c>
      <x:c r="D23" t="str">
        <x:v>AUTO-LG-A 專用規格</x:v>
      </x:c>
      <x:c r="E23" t="str">
        <x:v>件</x:v>
      </x:c>
      <x:c r="F23" t="str">
        <x:v>SUP11</x:v>
      </x:c>
      <x:c r="G23" t="str">
        <x:v>智控機電股份有限公司</x:v>
      </x:c>
      <x:c r="H23" t="n">
        <x:v>80</x:v>
      </x:c>
      <x:c r="I23" t="n">
        <x:v>18</x:v>
      </x:c>
      <x:c r="J23" t="n">
        <x:v>500</x:v>
      </x:c>
      <x:c r="K23" t="n">
        <x:v>1000</x:v>
      </x:c>
      <x:c r="L23" t="str">
        <x:v>專用</x:v>
      </x:c>
      <x:c r="M23" t="str">
        <x:v>停用</x:v>
      </x:c>
    </x:row>
    <x:row r="24" ht="20" customHeight="1">
      <x:c r="A24" t="str">
        <x:v>RAW-AUTO-LG-B</x:v>
      </x:c>
      <x:c r="B24" t="str">
        <x:v>連桿支架-B專用毛胚</x:v>
      </x:c>
      <x:c r="C24" t="str">
        <x:v>專用毛胚</x:v>
      </x:c>
      <x:c r="D24" t="str">
        <x:v>AUTO-LG-B 專用規格</x:v>
      </x:c>
      <x:c r="E24" t="str">
        <x:v>件</x:v>
      </x:c>
      <x:c r="F24" t="str">
        <x:v>SUP04</x:v>
      </x:c>
      <x:c r="G24" t="str">
        <x:v>宏泰軸承有限公司</x:v>
      </x:c>
      <x:c r="H24" t="n">
        <x:v>80</x:v>
      </x:c>
      <x:c r="I24" t="n">
        <x:v>30</x:v>
      </x:c>
      <x:c r="J24" t="n">
        <x:v>500</x:v>
      </x:c>
      <x:c r="K24" t="n">
        <x:v>1000</x:v>
      </x:c>
      <x:c r="L24" t="str">
        <x:v>專用</x:v>
      </x:c>
      <x:c r="M24" t="str">
        <x:v>停用</x:v>
      </x:c>
    </x:row>
    <x:row r="25" ht="20" customHeight="1">
      <x:c r="A25" t="str">
        <x:v>RAW-PM-ALB-A</x:v>
      </x:c>
      <x:c r="B25" t="str">
        <x:v>鋁合金設備基座-A專用毛胚</x:v>
      </x:c>
      <x:c r="C25" t="str">
        <x:v>專用毛胚</x:v>
      </x:c>
      <x:c r="D25" t="str">
        <x:v>PM-ALB-A 專用規格</x:v>
      </x:c>
      <x:c r="E25" t="str">
        <x:v>件</x:v>
      </x:c>
      <x:c r="F25" t="str">
        <x:v>SUP04</x:v>
      </x:c>
      <x:c r="G25" t="str">
        <x:v>宏泰軸承有限公司</x:v>
      </x:c>
      <x:c r="H25" t="n">
        <x:v>5070</x:v>
      </x:c>
      <x:c r="I25" t="n">
        <x:v>14</x:v>
      </x:c>
      <x:c r="J25" t="n">
        <x:v>10</x:v>
      </x:c>
      <x:c r="K25" t="n">
        <x:v>0</x:v>
      </x:c>
      <x:c r="L25" t="str">
        <x:v>專用</x:v>
      </x:c>
      <x:c r="M25" t="str">
        <x:v>使用中</x:v>
      </x:c>
    </x:row>
    <x:row r="26" ht="20" customHeight="1">
      <x:c r="A26" t="str">
        <x:v>RAW-PM-ALB-B</x:v>
      </x:c>
      <x:c r="B26" t="str">
        <x:v>鋁合金設備基座-B專用毛胚</x:v>
      </x:c>
      <x:c r="C26" t="str">
        <x:v>專用毛胚</x:v>
      </x:c>
      <x:c r="D26" t="str">
        <x:v>PM-ALB-B 專用規格</x:v>
      </x:c>
      <x:c r="E26" t="str">
        <x:v>件</x:v>
      </x:c>
      <x:c r="F26" t="str">
        <x:v>SUP01</x:v>
      </x:c>
      <x:c r="G26" t="str">
        <x:v>聯鋁材料股份有限公司</x:v>
      </x:c>
      <x:c r="H26" t="n">
        <x:v>7670</x:v>
      </x:c>
      <x:c r="I26" t="n">
        <x:v>21</x:v>
      </x:c>
      <x:c r="J26" t="n">
        <x:v>10</x:v>
      </x:c>
      <x:c r="K26" t="n">
        <x:v>0</x:v>
      </x:c>
      <x:c r="L26" t="str">
        <x:v>專用</x:v>
      </x:c>
      <x:c r="M26" t="str">
        <x:v>使用中</x:v>
      </x:c>
    </x:row>
    <x:row r="27" ht="20" customHeight="1">
      <x:c r="A27" t="str">
        <x:v>RAW-PM-SUS-A</x:v>
      </x:c>
      <x:c r="B27" t="str">
        <x:v>不鏽鋼治具板-A專用毛胚</x:v>
      </x:c>
      <x:c r="C27" t="str">
        <x:v>專用毛胚</x:v>
      </x:c>
      <x:c r="D27" t="str">
        <x:v>PM-SUS-A 專用規格</x:v>
      </x:c>
      <x:c r="E27" t="str">
        <x:v>件</x:v>
      </x:c>
      <x:c r="F27" t="str">
        <x:v>SUP02</x:v>
      </x:c>
      <x:c r="G27" t="str">
        <x:v>東岳鋼材有限公司</x:v>
      </x:c>
      <x:c r="H27" t="n">
        <x:v>4170</x:v>
      </x:c>
      <x:c r="I27" t="n">
        <x:v>14</x:v>
      </x:c>
      <x:c r="J27" t="n">
        <x:v>10</x:v>
      </x:c>
      <x:c r="K27" t="n">
        <x:v>0</x:v>
      </x:c>
      <x:c r="L27" t="str">
        <x:v>專用</x:v>
      </x:c>
      <x:c r="M27" t="str">
        <x:v>使用中</x:v>
      </x:c>
    </x:row>
    <x:row r="28" ht="20" customHeight="1">
      <x:c r="A28" t="str">
        <x:v>RAW-PM-SUS-B</x:v>
      </x:c>
      <x:c r="B28" t="str">
        <x:v>不鏽鋼治具板-B專用毛胚</x:v>
      </x:c>
      <x:c r="C28" t="str">
        <x:v>專用毛胚</x:v>
      </x:c>
      <x:c r="D28" t="str">
        <x:v>PM-SUS-B 專用規格</x:v>
      </x:c>
      <x:c r="E28" t="str">
        <x:v>件</x:v>
      </x:c>
      <x:c r="F28" t="str">
        <x:v>SUP01</x:v>
      </x:c>
      <x:c r="G28" t="str">
        <x:v>聯鋁材料股份有限公司</x:v>
      </x:c>
      <x:c r="H28" t="n">
        <x:v>6670</x:v>
      </x:c>
      <x:c r="I28" t="n">
        <x:v>21</x:v>
      </x:c>
      <x:c r="J28" t="n">
        <x:v>10</x:v>
      </x:c>
      <x:c r="K28" t="n">
        <x:v>0</x:v>
      </x:c>
      <x:c r="L28" t="str">
        <x:v>專用</x:v>
      </x:c>
      <x:c r="M28" t="str">
        <x:v>使用中</x:v>
      </x:c>
    </x:row>
    <x:row r="29" ht="20" customHeight="1">
      <x:c r="A29" t="str">
        <x:v>RAW-PM-BRG-A</x:v>
      </x:c>
      <x:c r="B29" t="str">
        <x:v>精密軸承座-A專用毛胚</x:v>
      </x:c>
      <x:c r="C29" t="str">
        <x:v>專用毛胚</x:v>
      </x:c>
      <x:c r="D29" t="str">
        <x:v>PM-BRG-A 專用規格</x:v>
      </x:c>
      <x:c r="E29" t="str">
        <x:v>件</x:v>
      </x:c>
      <x:c r="F29" t="str">
        <x:v>SUP12</x:v>
      </x:c>
      <x:c r="G29" t="str">
        <x:v>潔淨材料科技有限公司</x:v>
      </x:c>
      <x:c r="H29" t="n">
        <x:v>2370</x:v>
      </x:c>
      <x:c r="I29" t="n">
        <x:v>14</x:v>
      </x:c>
      <x:c r="J29" t="n">
        <x:v>10</x:v>
      </x:c>
      <x:c r="K29" t="n">
        <x:v>0</x:v>
      </x:c>
      <x:c r="L29" t="str">
        <x:v>專用</x:v>
      </x:c>
      <x:c r="M29" t="str">
        <x:v>使用中</x:v>
      </x:c>
    </x:row>
    <x:row r="30" ht="20" customHeight="1">
      <x:c r="A30" t="str">
        <x:v>RAW-PM-BRG-B</x:v>
      </x:c>
      <x:c r="B30" t="str">
        <x:v>精密軸承座-B專用毛胚</x:v>
      </x:c>
      <x:c r="C30" t="str">
        <x:v>專用毛胚</x:v>
      </x:c>
      <x:c r="D30" t="str">
        <x:v>PM-BRG-B 專用規格</x:v>
      </x:c>
      <x:c r="E30" t="str">
        <x:v>件</x:v>
      </x:c>
      <x:c r="F30" t="str">
        <x:v>SUP01</x:v>
      </x:c>
      <x:c r="G30" t="str">
        <x:v>聯鋁材料股份有限公司</x:v>
      </x:c>
      <x:c r="H30" t="n">
        <x:v>2970</x:v>
      </x:c>
      <x:c r="I30" t="n">
        <x:v>21</x:v>
      </x:c>
      <x:c r="J30" t="n">
        <x:v>10</x:v>
      </x:c>
      <x:c r="K30" t="n">
        <x:v>0</x:v>
      </x:c>
      <x:c r="L30" t="str">
        <x:v>專用</x:v>
      </x:c>
      <x:c r="M30" t="str">
        <x:v>使用中</x:v>
      </x:c>
    </x:row>
    <x:row r="31" ht="20" customHeight="1">
      <x:c r="A31" t="str">
        <x:v>RAW-PM-VAC-A</x:v>
      </x:c>
      <x:c r="B31" t="str">
        <x:v>真空接頭座-A專用毛胚</x:v>
      </x:c>
      <x:c r="C31" t="str">
        <x:v>專用毛胚</x:v>
      </x:c>
      <x:c r="D31" t="str">
        <x:v>PM-VAC-A 專用規格</x:v>
      </x:c>
      <x:c r="E31" t="str">
        <x:v>件</x:v>
      </x:c>
      <x:c r="F31" t="str">
        <x:v>SUP11</x:v>
      </x:c>
      <x:c r="G31" t="str">
        <x:v>智控機電股份有限公司</x:v>
      </x:c>
      <x:c r="H31" t="n">
        <x:v>6070</x:v>
      </x:c>
      <x:c r="I31" t="n">
        <x:v>14</x:v>
      </x:c>
      <x:c r="J31" t="n">
        <x:v>10</x:v>
      </x:c>
      <x:c r="K31" t="n">
        <x:v>0</x:v>
      </x:c>
      <x:c r="L31" t="str">
        <x:v>專用</x:v>
      </x:c>
      <x:c r="M31" t="str">
        <x:v>使用中</x:v>
      </x:c>
    </x:row>
    <x:row r="32" ht="20" customHeight="1">
      <x:c r="A32" t="str">
        <x:v>RAW-PM-VAC-B</x:v>
      </x:c>
      <x:c r="B32" t="str">
        <x:v>真空接頭座-B專用毛胚</x:v>
      </x:c>
      <x:c r="C32" t="str">
        <x:v>專用毛胚</x:v>
      </x:c>
      <x:c r="D32" t="str">
        <x:v>PM-VAC-B 專用規格</x:v>
      </x:c>
      <x:c r="E32" t="str">
        <x:v>件</x:v>
      </x:c>
      <x:c r="F32" t="str">
        <x:v>SUP03</x:v>
      </x:c>
      <x:c r="G32" t="str">
        <x:v>精承五金工業股份有限公司</x:v>
      </x:c>
      <x:c r="H32" t="n">
        <x:v>9270</x:v>
      </x:c>
      <x:c r="I32" t="n">
        <x:v>21</x:v>
      </x:c>
      <x:c r="J32" t="n">
        <x:v>10</x:v>
      </x:c>
      <x:c r="K32" t="n">
        <x:v>0</x:v>
      </x:c>
      <x:c r="L32" t="str">
        <x:v>專用</x:v>
      </x:c>
      <x:c r="M32" t="str">
        <x:v>使用中</x:v>
      </x:c>
    </x:row>
    <x:row r="33" ht="20" customHeight="1">
      <x:c r="A33" t="str">
        <x:v>RAW-MECH-STG-A</x:v>
      </x:c>
      <x:c r="B33" t="str">
        <x:v>精密定位平台-A專用毛胚</x:v>
      </x:c>
      <x:c r="C33" t="str">
        <x:v>專用毛胚</x:v>
      </x:c>
      <x:c r="D33" t="str">
        <x:v>MECH-STG-A 專用規格</x:v>
      </x:c>
      <x:c r="E33" t="str">
        <x:v>件</x:v>
      </x:c>
      <x:c r="F33" t="str">
        <x:v>SUP08</x:v>
      </x:c>
      <x:c r="G33" t="str">
        <x:v>精動馬達股份有限公司</x:v>
      </x:c>
      <x:c r="H33" t="n">
        <x:v>8965</x:v>
      </x:c>
      <x:c r="I33" t="n">
        <x:v>21</x:v>
      </x:c>
      <x:c r="J33" t="n">
        <x:v>10</x:v>
      </x:c>
      <x:c r="K33" t="n">
        <x:v>0</x:v>
      </x:c>
      <x:c r="L33" t="str">
        <x:v>專用</x:v>
      </x:c>
      <x:c r="M33" t="str">
        <x:v>使用中</x:v>
      </x:c>
    </x:row>
    <x:row r="34" ht="20" customHeight="1">
      <x:c r="A34" t="str">
        <x:v>RAW-MECH-STG-B</x:v>
      </x:c>
      <x:c r="B34" t="str">
        <x:v>精密定位平台-B專用毛胚</x:v>
      </x:c>
      <x:c r="C34" t="str">
        <x:v>專用毛胚</x:v>
      </x:c>
      <x:c r="D34" t="str">
        <x:v>MECH-STG-B 專用規格</x:v>
      </x:c>
      <x:c r="E34" t="str">
        <x:v>件</x:v>
      </x:c>
      <x:c r="F34" t="str">
        <x:v>SUP04</x:v>
      </x:c>
      <x:c r="G34" t="str">
        <x:v>宏泰軸承有限公司</x:v>
      </x:c>
      <x:c r="H34" t="n">
        <x:v>38965</x:v>
      </x:c>
      <x:c r="I34" t="n">
        <x:v>30</x:v>
      </x:c>
      <x:c r="J34" t="n">
        <x:v>10</x:v>
      </x:c>
      <x:c r="K34" t="n">
        <x:v>0</x:v>
      </x:c>
      <x:c r="L34" t="str">
        <x:v>專用</x:v>
      </x:c>
      <x:c r="M34" t="str">
        <x:v>使用中</x:v>
      </x:c>
    </x:row>
    <x:row r="35" ht="20" customHeight="1">
      <x:c r="A35" t="str">
        <x:v>RAW-MECH-CON-A</x:v>
      </x:c>
      <x:c r="B35" t="str">
        <x:v>輸送定位模組-A專用毛胚</x:v>
      </x:c>
      <x:c r="C35" t="str">
        <x:v>專用毛胚</x:v>
      </x:c>
      <x:c r="D35" t="str">
        <x:v>MECH-CON-A 專用規格</x:v>
      </x:c>
      <x:c r="E35" t="str">
        <x:v>件</x:v>
      </x:c>
      <x:c r="F35" t="str">
        <x:v>SUP03</x:v>
      </x:c>
      <x:c r="G35" t="str">
        <x:v>精承五金工業股份有限公司</x:v>
      </x:c>
      <x:c r="H35" t="n">
        <x:v>80</x:v>
      </x:c>
      <x:c r="I35" t="n">
        <x:v>25</x:v>
      </x:c>
      <x:c r="J35" t="n">
        <x:v>10</x:v>
      </x:c>
      <x:c r="K35" t="n">
        <x:v>0</x:v>
      </x:c>
      <x:c r="L35" t="str">
        <x:v>專用</x:v>
      </x:c>
      <x:c r="M35" t="str">
        <x:v>使用中</x:v>
      </x:c>
    </x:row>
    <x:row r="36" ht="20" customHeight="1">
      <x:c r="A36" t="str">
        <x:v>RAW-MECH-CON-B</x:v>
      </x:c>
      <x:c r="B36" t="str">
        <x:v>輸送定位模組-B專用毛胚</x:v>
      </x:c>
      <x:c r="C36" t="str">
        <x:v>專用毛胚</x:v>
      </x:c>
      <x:c r="D36" t="str">
        <x:v>MECH-CON-B 專用規格</x:v>
      </x:c>
      <x:c r="E36" t="str">
        <x:v>件</x:v>
      </x:c>
      <x:c r="F36" t="str">
        <x:v>SUP11</x:v>
      </x:c>
      <x:c r="G36" t="str">
        <x:v>智控機電股份有限公司</x:v>
      </x:c>
      <x:c r="H36" t="n">
        <x:v>16965</x:v>
      </x:c>
      <x:c r="I36" t="n">
        <x:v>30</x:v>
      </x:c>
      <x:c r="J36" t="n">
        <x:v>10</x:v>
      </x:c>
      <x:c r="K36" t="n">
        <x:v>0</x:v>
      </x:c>
      <x:c r="L36" t="str">
        <x:v>專用</x:v>
      </x:c>
      <x:c r="M36" t="str">
        <x:v>使用中</x:v>
      </x:c>
    </x:row>
    <x:row r="37" ht="20" customHeight="1">
      <x:c r="A37" t="str">
        <x:v>RAW-SEMI-CHB-A</x:v>
      </x:c>
      <x:c r="B37" t="str">
        <x:v>真空腔體基座環-A專用毛胚</x:v>
      </x:c>
      <x:c r="C37" t="str">
        <x:v>專用毛胚</x:v>
      </x:c>
      <x:c r="D37" t="str">
        <x:v>SEMI-CHB-A 專用規格</x:v>
      </x:c>
      <x:c r="E37" t="str">
        <x:v>件</x:v>
      </x:c>
      <x:c r="F37" t="str">
        <x:v>SUP10</x:v>
      </x:c>
      <x:c r="G37" t="str">
        <x:v>聯成線材科技有限公司</x:v>
      </x:c>
      <x:c r="H37" t="n">
        <x:v>38255</x:v>
      </x:c>
      <x:c r="I37" t="n">
        <x:v>18</x:v>
      </x:c>
      <x:c r="J37" t="n">
        <x:v>10</x:v>
      </x:c>
      <x:c r="K37" t="n">
        <x:v>0</x:v>
      </x:c>
      <x:c r="L37" t="str">
        <x:v>專用</x:v>
      </x:c>
      <x:c r="M37" t="str">
        <x:v>使用中</x:v>
      </x:c>
    </x:row>
    <x:row r="38" ht="20" customHeight="1">
      <x:c r="A38" t="str">
        <x:v>RAW-SEMI-CHB-B</x:v>
      </x:c>
      <x:c r="B38" t="str">
        <x:v>真空腔體基座環-B專用毛胚</x:v>
      </x:c>
      <x:c r="C38" t="str">
        <x:v>專用毛胚</x:v>
      </x:c>
      <x:c r="D38" t="str">
        <x:v>SEMI-CHB-B 專用規格</x:v>
      </x:c>
      <x:c r="E38" t="str">
        <x:v>件</x:v>
      </x:c>
      <x:c r="F38" t="str">
        <x:v>SUP04</x:v>
      </x:c>
      <x:c r="G38" t="str">
        <x:v>宏泰軸承有限公司</x:v>
      </x:c>
      <x:c r="H38" t="n">
        <x:v>64255</x:v>
      </x:c>
      <x:c r="I38" t="n">
        <x:v>18</x:v>
      </x:c>
      <x:c r="J38" t="n">
        <x:v>10</x:v>
      </x:c>
      <x:c r="K38" t="n">
        <x:v>0</x:v>
      </x:c>
      <x:c r="L38" t="str">
        <x:v>專用</x:v>
      </x:c>
      <x:c r="M38" t="str">
        <x:v>使用中</x:v>
      </x:c>
    </x:row>
    <x:row r="39" ht="20" customHeight="1">
      <x:c r="A39" t="str">
        <x:v>RAW-SEMI-WH-A</x:v>
      </x:c>
      <x:c r="B39" t="str">
        <x:v>晶圓搬送機構基座-A專用毛胚</x:v>
      </x:c>
      <x:c r="C39" t="str">
        <x:v>專用毛胚</x:v>
      </x:c>
      <x:c r="D39" t="str">
        <x:v>SEMI-WH-A 專用規格</x:v>
      </x:c>
      <x:c r="E39" t="str">
        <x:v>件</x:v>
      </x:c>
      <x:c r="F39" t="str">
        <x:v>SUP12</x:v>
      </x:c>
      <x:c r="G39" t="str">
        <x:v>潔淨材料科技有限公司</x:v>
      </x:c>
      <x:c r="H39" t="n">
        <x:v>48255</x:v>
      </x:c>
      <x:c r="I39" t="n">
        <x:v>21</x:v>
      </x:c>
      <x:c r="J39" t="n">
        <x:v>10</x:v>
      </x:c>
      <x:c r="K39" t="n">
        <x:v>0</x:v>
      </x:c>
      <x:c r="L39" t="str">
        <x:v>專用</x:v>
      </x:c>
      <x:c r="M39" t="str">
        <x:v>使用中</x:v>
      </x:c>
    </x:row>
    <x:row r="40" ht="20" customHeight="1">
      <x:c r="A40" t="str">
        <x:v>RAW-SEMI-WH-B</x:v>
      </x:c>
      <x:c r="B40" t="str">
        <x:v>晶圓搬送機構基座-B專用毛胚</x:v>
      </x:c>
      <x:c r="C40" t="str">
        <x:v>專用毛胚</x:v>
      </x:c>
      <x:c r="D40" t="str">
        <x:v>SEMI-WH-B 專用規格</x:v>
      </x:c>
      <x:c r="E40" t="str">
        <x:v>件</x:v>
      </x:c>
      <x:c r="F40" t="str">
        <x:v>SUP02</x:v>
      </x:c>
      <x:c r="G40" t="str">
        <x:v>東岳鋼材有限公司</x:v>
      </x:c>
      <x:c r="H40" t="n">
        <x:v>74255</x:v>
      </x:c>
      <x:c r="I40" t="n">
        <x:v>21</x:v>
      </x:c>
      <x:c r="J40" t="n">
        <x:v>10</x:v>
      </x:c>
      <x:c r="K40" t="n">
        <x:v>0</x:v>
      </x:c>
      <x:c r="L40" t="str">
        <x:v>專用</x:v>
      </x:c>
      <x:c r="M40" t="str">
        <x:v>使用中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0" customHeight="1">
      <x:c r="A1" s="14" t="str">
        <x:v>BOM明細ID</x:v>
      </x:c>
      <x:c r="B1" s="14" t="str">
        <x:v>SKU</x:v>
      </x:c>
      <x:c r="C1" s="14" t="str">
        <x:v>BOM版本</x:v>
      </x:c>
      <x:c r="D1" s="14" t="str">
        <x:v>物料ID</x:v>
      </x:c>
      <x:c r="E1" s="14" t="str">
        <x:v>單件用量</x:v>
      </x:c>
      <x:c r="F1" s="14" t="str">
        <x:v>單位</x:v>
      </x:c>
      <x:c r="G1" s="14" t="str">
        <x:v>損耗率</x:v>
      </x:c>
      <x:c r="H1" s="14" t="str">
        <x:v>生效日期</x:v>
      </x:c>
    </x:row>
    <x:row r="2" ht="20" customHeight="1">
      <x:c r="A2" t="str">
        <x:v>BOM0001</x:v>
      </x:c>
      <x:c r="B2" t="str">
        <x:v>AUTO-BRK-A</x:v>
      </x:c>
      <x:c r="C2" t="str">
        <x:v>B01</x:v>
      </x:c>
      <x:c r="D2" t="str">
        <x:v>RAW-AUTO-BRK-A</x:v>
      </x:c>
      <x:c r="E2" t="n">
        <x:v>1</x:v>
      </x:c>
      <x:c r="F2" t="str">
        <x:v>件</x:v>
      </x:c>
      <x:c r="G2" s="22" t="n">
        <x:v>0.015</x:v>
      </x:c>
      <x:c r="H2" s="20" t="n">
        <x:v>44562</x:v>
      </x:c>
    </x:row>
    <x:row r="3" ht="20" customHeight="1">
      <x:c r="A3" t="str">
        <x:v>BOM0002</x:v>
      </x:c>
      <x:c r="B3" t="str">
        <x:v>AUTO-BRK-A</x:v>
      </x:c>
      <x:c r="C3" t="str">
        <x:v>B01</x:v>
      </x:c>
      <x:c r="D3" t="str">
        <x:v>MAT-BOLT-01</x:v>
      </x:c>
      <x:c r="E3" t="n">
        <x:v>1</x:v>
      </x:c>
      <x:c r="F3" t="str">
        <x:v>組</x:v>
      </x:c>
      <x:c r="G3" s="22" t="n">
        <x:v>0.015</x:v>
      </x:c>
      <x:c r="H3" s="20" t="n">
        <x:v>44562</x:v>
      </x:c>
    </x:row>
    <x:row r="4" ht="20" customHeight="1">
      <x:c r="A4" t="str">
        <x:v>BOM0003</x:v>
      </x:c>
      <x:c r="B4" t="str">
        <x:v>AUTO-BRK-A</x:v>
      </x:c>
      <x:c r="C4" t="str">
        <x:v>B01</x:v>
      </x:c>
      <x:c r="D4" t="str">
        <x:v>MAT-PKG-01</x:v>
      </x:c>
      <x:c r="E4" t="n">
        <x:v>1</x:v>
      </x:c>
      <x:c r="F4" t="str">
        <x:v>組</x:v>
      </x:c>
      <x:c r="G4" s="22" t="n">
        <x:v>0.015</x:v>
      </x:c>
      <x:c r="H4" s="20" t="n">
        <x:v>44562</x:v>
      </x:c>
    </x:row>
    <x:row r="5" ht="20" customHeight="1">
      <x:c r="A5" t="str">
        <x:v>BOM0004</x:v>
      </x:c>
      <x:c r="B5" t="str">
        <x:v>AUTO-BRK-A</x:v>
      </x:c>
      <x:c r="C5" t="str">
        <x:v>B01</x:v>
      </x:c>
      <x:c r="D5" t="str">
        <x:v>MAT-BRG-01</x:v>
      </x:c>
      <x:c r="E5" t="n">
        <x:v>1</x:v>
      </x:c>
      <x:c r="F5" t="str">
        <x:v>組</x:v>
      </x:c>
      <x:c r="G5" s="22" t="n">
        <x:v>0.015</x:v>
      </x:c>
      <x:c r="H5" s="20" t="n">
        <x:v>44562</x:v>
      </x:c>
    </x:row>
    <x:row r="6" ht="20" customHeight="1">
      <x:c r="A6" t="str">
        <x:v>BOM0005</x:v>
      </x:c>
      <x:c r="B6" t="str">
        <x:v>AUTO-BRK-B</x:v>
      </x:c>
      <x:c r="C6" t="str">
        <x:v>B01</x:v>
      </x:c>
      <x:c r="D6" t="str">
        <x:v>RAW-AUTO-BRK-B</x:v>
      </x:c>
      <x:c r="E6" t="n">
        <x:v>1</x:v>
      </x:c>
      <x:c r="F6" t="str">
        <x:v>件</x:v>
      </x:c>
      <x:c r="G6" s="22" t="n">
        <x:v>0.015</x:v>
      </x:c>
      <x:c r="H6" s="20" t="n">
        <x:v>44562</x:v>
      </x:c>
    </x:row>
    <x:row r="7" ht="20" customHeight="1">
      <x:c r="A7" t="str">
        <x:v>BOM0006</x:v>
      </x:c>
      <x:c r="B7" t="str">
        <x:v>AUTO-BRK-B</x:v>
      </x:c>
      <x:c r="C7" t="str">
        <x:v>B01</x:v>
      </x:c>
      <x:c r="D7" t="str">
        <x:v>MAT-BOLT-01</x:v>
      </x:c>
      <x:c r="E7" t="n">
        <x:v>1</x:v>
      </x:c>
      <x:c r="F7" t="str">
        <x:v>組</x:v>
      </x:c>
      <x:c r="G7" s="22" t="n">
        <x:v>0.015</x:v>
      </x:c>
      <x:c r="H7" s="20" t="n">
        <x:v>44562</x:v>
      </x:c>
    </x:row>
    <x:row r="8" ht="20" customHeight="1">
      <x:c r="A8" t="str">
        <x:v>BOM0007</x:v>
      </x:c>
      <x:c r="B8" t="str">
        <x:v>AUTO-BRK-B</x:v>
      </x:c>
      <x:c r="C8" t="str">
        <x:v>B01</x:v>
      </x:c>
      <x:c r="D8" t="str">
        <x:v>MAT-PKG-01</x:v>
      </x:c>
      <x:c r="E8" t="n">
        <x:v>1</x:v>
      </x:c>
      <x:c r="F8" t="str">
        <x:v>組</x:v>
      </x:c>
      <x:c r="G8" s="22" t="n">
        <x:v>0.015</x:v>
      </x:c>
      <x:c r="H8" s="20" t="n">
        <x:v>44562</x:v>
      </x:c>
    </x:row>
    <x:row r="9" ht="20" customHeight="1">
      <x:c r="A9" t="str">
        <x:v>BOM0008</x:v>
      </x:c>
      <x:c r="B9" t="str">
        <x:v>AUTO-BRK-B</x:v>
      </x:c>
      <x:c r="C9" t="str">
        <x:v>B01</x:v>
      </x:c>
      <x:c r="D9" t="str">
        <x:v>MAT-BRG-01</x:v>
      </x:c>
      <x:c r="E9" t="n">
        <x:v>1</x:v>
      </x:c>
      <x:c r="F9" t="str">
        <x:v>組</x:v>
      </x:c>
      <x:c r="G9" s="22" t="n">
        <x:v>0.015</x:v>
      </x:c>
      <x:c r="H9" s="20" t="n">
        <x:v>44562</x:v>
      </x:c>
    </x:row>
    <x:row r="10" ht="20" customHeight="1">
      <x:c r="A10" t="str">
        <x:v>BOM0009</x:v>
      </x:c>
      <x:c r="B10" t="str">
        <x:v>AUTO-MH-A</x:v>
      </x:c>
      <x:c r="C10" t="str">
        <x:v>B01</x:v>
      </x:c>
      <x:c r="D10" t="str">
        <x:v>RAW-AUTO-MH-A</x:v>
      </x:c>
      <x:c r="E10" t="n">
        <x:v>1</x:v>
      </x:c>
      <x:c r="F10" t="str">
        <x:v>件</x:v>
      </x:c>
      <x:c r="G10" s="22" t="n">
        <x:v>0.015</x:v>
      </x:c>
      <x:c r="H10" s="20" t="n">
        <x:v>44562</x:v>
      </x:c>
    </x:row>
    <x:row r="11" ht="20" customHeight="1">
      <x:c r="A11" t="str">
        <x:v>BOM0010</x:v>
      </x:c>
      <x:c r="B11" t="str">
        <x:v>AUTO-MH-A</x:v>
      </x:c>
      <x:c r="C11" t="str">
        <x:v>B01</x:v>
      </x:c>
      <x:c r="D11" t="str">
        <x:v>MAT-BOLT-01</x:v>
      </x:c>
      <x:c r="E11" t="n">
        <x:v>1</x:v>
      </x:c>
      <x:c r="F11" t="str">
        <x:v>組</x:v>
      </x:c>
      <x:c r="G11" s="22" t="n">
        <x:v>0.015</x:v>
      </x:c>
      <x:c r="H11" s="20" t="n">
        <x:v>44562</x:v>
      </x:c>
    </x:row>
    <x:row r="12" ht="20" customHeight="1">
      <x:c r="A12" t="str">
        <x:v>BOM0011</x:v>
      </x:c>
      <x:c r="B12" t="str">
        <x:v>AUTO-MH-A</x:v>
      </x:c>
      <x:c r="C12" t="str">
        <x:v>B01</x:v>
      </x:c>
      <x:c r="D12" t="str">
        <x:v>MAT-PKG-01</x:v>
      </x:c>
      <x:c r="E12" t="n">
        <x:v>1</x:v>
      </x:c>
      <x:c r="F12" t="str">
        <x:v>組</x:v>
      </x:c>
      <x:c r="G12" s="22" t="n">
        <x:v>0.015</x:v>
      </x:c>
      <x:c r="H12" s="20" t="n">
        <x:v>44562</x:v>
      </x:c>
    </x:row>
    <x:row r="13" ht="20" customHeight="1">
      <x:c r="A13" t="str">
        <x:v>BOM0012</x:v>
      </x:c>
      <x:c r="B13" t="str">
        <x:v>AUTO-MH-A</x:v>
      </x:c>
      <x:c r="C13" t="str">
        <x:v>B01</x:v>
      </x:c>
      <x:c r="D13" t="str">
        <x:v>MAT-BRG-01</x:v>
      </x:c>
      <x:c r="E13" t="n">
        <x:v>1</x:v>
      </x:c>
      <x:c r="F13" t="str">
        <x:v>組</x:v>
      </x:c>
      <x:c r="G13" s="22" t="n">
        <x:v>0.015</x:v>
      </x:c>
      <x:c r="H13" s="20" t="n">
        <x:v>44562</x:v>
      </x:c>
    </x:row>
    <x:row r="14" ht="20" customHeight="1">
      <x:c r="A14" t="str">
        <x:v>BOM0013</x:v>
      </x:c>
      <x:c r="B14" t="str">
        <x:v>AUTO-MH-B</x:v>
      </x:c>
      <x:c r="C14" t="str">
        <x:v>B01</x:v>
      </x:c>
      <x:c r="D14" t="str">
        <x:v>RAW-AUTO-MH-B</x:v>
      </x:c>
      <x:c r="E14" t="n">
        <x:v>1</x:v>
      </x:c>
      <x:c r="F14" t="str">
        <x:v>件</x:v>
      </x:c>
      <x:c r="G14" s="22" t="n">
        <x:v>0.015</x:v>
      </x:c>
      <x:c r="H14" s="20" t="n">
        <x:v>44562</x:v>
      </x:c>
    </x:row>
    <x:row r="15" ht="20" customHeight="1">
      <x:c r="A15" t="str">
        <x:v>BOM0014</x:v>
      </x:c>
      <x:c r="B15" t="str">
        <x:v>AUTO-MH-B</x:v>
      </x:c>
      <x:c r="C15" t="str">
        <x:v>B01</x:v>
      </x:c>
      <x:c r="D15" t="str">
        <x:v>MAT-BOLT-01</x:v>
      </x:c>
      <x:c r="E15" t="n">
        <x:v>1</x:v>
      </x:c>
      <x:c r="F15" t="str">
        <x:v>組</x:v>
      </x:c>
      <x:c r="G15" s="22" t="n">
        <x:v>0.015</x:v>
      </x:c>
      <x:c r="H15" s="20" t="n">
        <x:v>44562</x:v>
      </x:c>
    </x:row>
    <x:row r="16" ht="20" customHeight="1">
      <x:c r="A16" t="str">
        <x:v>BOM0015</x:v>
      </x:c>
      <x:c r="B16" t="str">
        <x:v>AUTO-MH-B</x:v>
      </x:c>
      <x:c r="C16" t="str">
        <x:v>B01</x:v>
      </x:c>
      <x:c r="D16" t="str">
        <x:v>MAT-PKG-01</x:v>
      </x:c>
      <x:c r="E16" t="n">
        <x:v>1</x:v>
      </x:c>
      <x:c r="F16" t="str">
        <x:v>組</x:v>
      </x:c>
      <x:c r="G16" s="22" t="n">
        <x:v>0.015</x:v>
      </x:c>
      <x:c r="H16" s="20" t="n">
        <x:v>44562</x:v>
      </x:c>
    </x:row>
    <x:row r="17" ht="20" customHeight="1">
      <x:c r="A17" t="str">
        <x:v>BOM0016</x:v>
      </x:c>
      <x:c r="B17" t="str">
        <x:v>AUTO-MH-B</x:v>
      </x:c>
      <x:c r="C17" t="str">
        <x:v>B01</x:v>
      </x:c>
      <x:c r="D17" t="str">
        <x:v>MAT-BRG-01</x:v>
      </x:c>
      <x:c r="E17" t="n">
        <x:v>1</x:v>
      </x:c>
      <x:c r="F17" t="str">
        <x:v>組</x:v>
      </x:c>
      <x:c r="G17" s="22" t="n">
        <x:v>0.015</x:v>
      </x:c>
      <x:c r="H17" s="20" t="n">
        <x:v>44562</x:v>
      </x:c>
    </x:row>
    <x:row r="18" ht="20" customHeight="1">
      <x:c r="A18" t="str">
        <x:v>BOM0017</x:v>
      </x:c>
      <x:c r="B18" t="str">
        <x:v>AUTO-KN-A</x:v>
      </x:c>
      <x:c r="C18" t="str">
        <x:v>B01</x:v>
      </x:c>
      <x:c r="D18" t="str">
        <x:v>RAW-AUTO-KN-A</x:v>
      </x:c>
      <x:c r="E18" t="n">
        <x:v>1</x:v>
      </x:c>
      <x:c r="F18" t="str">
        <x:v>件</x:v>
      </x:c>
      <x:c r="G18" s="22" t="n">
        <x:v>0.015</x:v>
      </x:c>
      <x:c r="H18" s="20" t="n">
        <x:v>44562</x:v>
      </x:c>
    </x:row>
    <x:row r="19" ht="20" customHeight="1">
      <x:c r="A19" t="str">
        <x:v>BOM0018</x:v>
      </x:c>
      <x:c r="B19" t="str">
        <x:v>AUTO-KN-A</x:v>
      </x:c>
      <x:c r="C19" t="str">
        <x:v>B01</x:v>
      </x:c>
      <x:c r="D19" t="str">
        <x:v>MAT-BOLT-01</x:v>
      </x:c>
      <x:c r="E19" t="n">
        <x:v>1</x:v>
      </x:c>
      <x:c r="F19" t="str">
        <x:v>組</x:v>
      </x:c>
      <x:c r="G19" s="22" t="n">
        <x:v>0.015</x:v>
      </x:c>
      <x:c r="H19" s="20" t="n">
        <x:v>44562</x:v>
      </x:c>
    </x:row>
    <x:row r="20" ht="20" customHeight="1">
      <x:c r="A20" t="str">
        <x:v>BOM0019</x:v>
      </x:c>
      <x:c r="B20" t="str">
        <x:v>AUTO-KN-A</x:v>
      </x:c>
      <x:c r="C20" t="str">
        <x:v>B01</x:v>
      </x:c>
      <x:c r="D20" t="str">
        <x:v>MAT-PKG-01</x:v>
      </x:c>
      <x:c r="E20" t="n">
        <x:v>1</x:v>
      </x:c>
      <x:c r="F20" t="str">
        <x:v>組</x:v>
      </x:c>
      <x:c r="G20" s="22" t="n">
        <x:v>0.015</x:v>
      </x:c>
      <x:c r="H20" s="20" t="n">
        <x:v>44562</x:v>
      </x:c>
    </x:row>
    <x:row r="21" ht="20" customHeight="1">
      <x:c r="A21" t="str">
        <x:v>BOM0020</x:v>
      </x:c>
      <x:c r="B21" t="str">
        <x:v>AUTO-KN-A</x:v>
      </x:c>
      <x:c r="C21" t="str">
        <x:v>B01</x:v>
      </x:c>
      <x:c r="D21" t="str">
        <x:v>MAT-BRG-01</x:v>
      </x:c>
      <x:c r="E21" t="n">
        <x:v>1</x:v>
      </x:c>
      <x:c r="F21" t="str">
        <x:v>組</x:v>
      </x:c>
      <x:c r="G21" s="22" t="n">
        <x:v>0.015</x:v>
      </x:c>
      <x:c r="H21" s="20" t="n">
        <x:v>44562</x:v>
      </x:c>
    </x:row>
    <x:row r="22" ht="20" customHeight="1">
      <x:c r="A22" t="str">
        <x:v>BOM0021</x:v>
      </x:c>
      <x:c r="B22" t="str">
        <x:v>AUTO-KN-B</x:v>
      </x:c>
      <x:c r="C22" t="str">
        <x:v>B01</x:v>
      </x:c>
      <x:c r="D22" t="str">
        <x:v>RAW-AUTO-KN-B</x:v>
      </x:c>
      <x:c r="E22" t="n">
        <x:v>1</x:v>
      </x:c>
      <x:c r="F22" t="str">
        <x:v>件</x:v>
      </x:c>
      <x:c r="G22" s="22" t="n">
        <x:v>0.015</x:v>
      </x:c>
      <x:c r="H22" s="20" t="n">
        <x:v>44562</x:v>
      </x:c>
    </x:row>
    <x:row r="23" ht="20" customHeight="1">
      <x:c r="A23" t="str">
        <x:v>BOM0022</x:v>
      </x:c>
      <x:c r="B23" t="str">
        <x:v>AUTO-KN-B</x:v>
      </x:c>
      <x:c r="C23" t="str">
        <x:v>B01</x:v>
      </x:c>
      <x:c r="D23" t="str">
        <x:v>MAT-BOLT-01</x:v>
      </x:c>
      <x:c r="E23" t="n">
        <x:v>1</x:v>
      </x:c>
      <x:c r="F23" t="str">
        <x:v>組</x:v>
      </x:c>
      <x:c r="G23" s="22" t="n">
        <x:v>0.015</x:v>
      </x:c>
      <x:c r="H23" s="20" t="n">
        <x:v>44562</x:v>
      </x:c>
    </x:row>
    <x:row r="24" ht="20" customHeight="1">
      <x:c r="A24" t="str">
        <x:v>BOM0023</x:v>
      </x:c>
      <x:c r="B24" t="str">
        <x:v>AUTO-KN-B</x:v>
      </x:c>
      <x:c r="C24" t="str">
        <x:v>B01</x:v>
      </x:c>
      <x:c r="D24" t="str">
        <x:v>MAT-PKG-01</x:v>
      </x:c>
      <x:c r="E24" t="n">
        <x:v>1</x:v>
      </x:c>
      <x:c r="F24" t="str">
        <x:v>組</x:v>
      </x:c>
      <x:c r="G24" s="22" t="n">
        <x:v>0.015</x:v>
      </x:c>
      <x:c r="H24" s="20" t="n">
        <x:v>44562</x:v>
      </x:c>
    </x:row>
    <x:row r="25" ht="20" customHeight="1">
      <x:c r="A25" t="str">
        <x:v>BOM0024</x:v>
      </x:c>
      <x:c r="B25" t="str">
        <x:v>AUTO-KN-B</x:v>
      </x:c>
      <x:c r="C25" t="str">
        <x:v>B01</x:v>
      </x:c>
      <x:c r="D25" t="str">
        <x:v>MAT-BRG-01</x:v>
      </x:c>
      <x:c r="E25" t="n">
        <x:v>1</x:v>
      </x:c>
      <x:c r="F25" t="str">
        <x:v>組</x:v>
      </x:c>
      <x:c r="G25" s="22" t="n">
        <x:v>0.015</x:v>
      </x:c>
      <x:c r="H25" s="20" t="n">
        <x:v>44562</x:v>
      </x:c>
    </x:row>
    <x:row r="26" ht="20" customHeight="1">
      <x:c r="A26" t="str">
        <x:v>BOM0025</x:v>
      </x:c>
      <x:c r="B26" t="str">
        <x:v>AUTO-FL-A</x:v>
      </x:c>
      <x:c r="C26" t="str">
        <x:v>B01</x:v>
      </x:c>
      <x:c r="D26" t="str">
        <x:v>RAW-AUTO-FL-A</x:v>
      </x:c>
      <x:c r="E26" t="n">
        <x:v>1</x:v>
      </x:c>
      <x:c r="F26" t="str">
        <x:v>件</x:v>
      </x:c>
      <x:c r="G26" s="22" t="n">
        <x:v>0.015</x:v>
      </x:c>
      <x:c r="H26" s="20" t="n">
        <x:v>44562</x:v>
      </x:c>
    </x:row>
    <x:row r="27" ht="20" customHeight="1">
      <x:c r="A27" t="str">
        <x:v>BOM0026</x:v>
      </x:c>
      <x:c r="B27" t="str">
        <x:v>AUTO-FL-A</x:v>
      </x:c>
      <x:c r="C27" t="str">
        <x:v>B01</x:v>
      </x:c>
      <x:c r="D27" t="str">
        <x:v>MAT-BOLT-01</x:v>
      </x:c>
      <x:c r="E27" t="n">
        <x:v>1</x:v>
      </x:c>
      <x:c r="F27" t="str">
        <x:v>組</x:v>
      </x:c>
      <x:c r="G27" s="22" t="n">
        <x:v>0.015</x:v>
      </x:c>
      <x:c r="H27" s="20" t="n">
        <x:v>44562</x:v>
      </x:c>
    </x:row>
    <x:row r="28" ht="20" customHeight="1">
      <x:c r="A28" t="str">
        <x:v>BOM0027</x:v>
      </x:c>
      <x:c r="B28" t="str">
        <x:v>AUTO-FL-A</x:v>
      </x:c>
      <x:c r="C28" t="str">
        <x:v>B01</x:v>
      </x:c>
      <x:c r="D28" t="str">
        <x:v>MAT-PKG-01</x:v>
      </x:c>
      <x:c r="E28" t="n">
        <x:v>1</x:v>
      </x:c>
      <x:c r="F28" t="str">
        <x:v>組</x:v>
      </x:c>
      <x:c r="G28" s="22" t="n">
        <x:v>0.015</x:v>
      </x:c>
      <x:c r="H28" s="20" t="n">
        <x:v>44562</x:v>
      </x:c>
    </x:row>
    <x:row r="29" ht="20" customHeight="1">
      <x:c r="A29" t="str">
        <x:v>BOM0028</x:v>
      </x:c>
      <x:c r="B29" t="str">
        <x:v>AUTO-FL-A</x:v>
      </x:c>
      <x:c r="C29" t="str">
        <x:v>B01</x:v>
      </x:c>
      <x:c r="D29" t="str">
        <x:v>MAT-BRG-01</x:v>
      </x:c>
      <x:c r="E29" t="n">
        <x:v>1</x:v>
      </x:c>
      <x:c r="F29" t="str">
        <x:v>組</x:v>
      </x:c>
      <x:c r="G29" s="22" t="n">
        <x:v>0.015</x:v>
      </x:c>
      <x:c r="H29" s="20" t="n">
        <x:v>44562</x:v>
      </x:c>
    </x:row>
    <x:row r="30" ht="20" customHeight="1">
      <x:c r="A30" t="str">
        <x:v>BOM0029</x:v>
      </x:c>
      <x:c r="B30" t="str">
        <x:v>AUTO-FL-B</x:v>
      </x:c>
      <x:c r="C30" t="str">
        <x:v>B01</x:v>
      </x:c>
      <x:c r="D30" t="str">
        <x:v>RAW-AUTO-FL-B</x:v>
      </x:c>
      <x:c r="E30" t="n">
        <x:v>1</x:v>
      </x:c>
      <x:c r="F30" t="str">
        <x:v>件</x:v>
      </x:c>
      <x:c r="G30" s="22" t="n">
        <x:v>0.015</x:v>
      </x:c>
      <x:c r="H30" s="20" t="n">
        <x:v>44562</x:v>
      </x:c>
    </x:row>
    <x:row r="31" ht="20" customHeight="1">
      <x:c r="A31" t="str">
        <x:v>BOM0030</x:v>
      </x:c>
      <x:c r="B31" t="str">
        <x:v>AUTO-FL-B</x:v>
      </x:c>
      <x:c r="C31" t="str">
        <x:v>B01</x:v>
      </x:c>
      <x:c r="D31" t="str">
        <x:v>MAT-BOLT-01</x:v>
      </x:c>
      <x:c r="E31" t="n">
        <x:v>1</x:v>
      </x:c>
      <x:c r="F31" t="str">
        <x:v>組</x:v>
      </x:c>
      <x:c r="G31" s="22" t="n">
        <x:v>0.015</x:v>
      </x:c>
      <x:c r="H31" s="20" t="n">
        <x:v>44562</x:v>
      </x:c>
    </x:row>
    <x:row r="32" ht="20" customHeight="1">
      <x:c r="A32" t="str">
        <x:v>BOM0031</x:v>
      </x:c>
      <x:c r="B32" t="str">
        <x:v>AUTO-FL-B</x:v>
      </x:c>
      <x:c r="C32" t="str">
        <x:v>B01</x:v>
      </x:c>
      <x:c r="D32" t="str">
        <x:v>MAT-PKG-01</x:v>
      </x:c>
      <x:c r="E32" t="n">
        <x:v>1</x:v>
      </x:c>
      <x:c r="F32" t="str">
        <x:v>組</x:v>
      </x:c>
      <x:c r="G32" s="22" t="n">
        <x:v>0.015</x:v>
      </x:c>
      <x:c r="H32" s="20" t="n">
        <x:v>44562</x:v>
      </x:c>
    </x:row>
    <x:row r="33" ht="20" customHeight="1">
      <x:c r="A33" t="str">
        <x:v>BOM0032</x:v>
      </x:c>
      <x:c r="B33" t="str">
        <x:v>AUTO-FL-B</x:v>
      </x:c>
      <x:c r="C33" t="str">
        <x:v>B01</x:v>
      </x:c>
      <x:c r="D33" t="str">
        <x:v>MAT-BRG-01</x:v>
      </x:c>
      <x:c r="E33" t="n">
        <x:v>1</x:v>
      </x:c>
      <x:c r="F33" t="str">
        <x:v>組</x:v>
      </x:c>
      <x:c r="G33" s="22" t="n">
        <x:v>0.015</x:v>
      </x:c>
      <x:c r="H33" s="20" t="n">
        <x:v>44562</x:v>
      </x:c>
    </x:row>
    <x:row r="34" ht="20" customHeight="1">
      <x:c r="A34" t="str">
        <x:v>BOM0033</x:v>
      </x:c>
      <x:c r="B34" t="str">
        <x:v>AUTO-BS-A</x:v>
      </x:c>
      <x:c r="C34" t="str">
        <x:v>B01</x:v>
      </x:c>
      <x:c r="D34" t="str">
        <x:v>RAW-AUTO-BS-A</x:v>
      </x:c>
      <x:c r="E34" t="n">
        <x:v>1</x:v>
      </x:c>
      <x:c r="F34" t="str">
        <x:v>件</x:v>
      </x:c>
      <x:c r="G34" s="22" t="n">
        <x:v>0.015</x:v>
      </x:c>
      <x:c r="H34" s="20" t="n">
        <x:v>44562</x:v>
      </x:c>
    </x:row>
    <x:row r="35" ht="20" customHeight="1">
      <x:c r="A35" t="str">
        <x:v>BOM0034</x:v>
      </x:c>
      <x:c r="B35" t="str">
        <x:v>AUTO-BS-A</x:v>
      </x:c>
      <x:c r="C35" t="str">
        <x:v>B01</x:v>
      </x:c>
      <x:c r="D35" t="str">
        <x:v>MAT-BOLT-01</x:v>
      </x:c>
      <x:c r="E35" t="n">
        <x:v>1</x:v>
      </x:c>
      <x:c r="F35" t="str">
        <x:v>組</x:v>
      </x:c>
      <x:c r="G35" s="22" t="n">
        <x:v>0.015</x:v>
      </x:c>
      <x:c r="H35" s="20" t="n">
        <x:v>44562</x:v>
      </x:c>
    </x:row>
    <x:row r="36" ht="20" customHeight="1">
      <x:c r="A36" t="str">
        <x:v>BOM0035</x:v>
      </x:c>
      <x:c r="B36" t="str">
        <x:v>AUTO-BS-A</x:v>
      </x:c>
      <x:c r="C36" t="str">
        <x:v>B01</x:v>
      </x:c>
      <x:c r="D36" t="str">
        <x:v>MAT-PKG-01</x:v>
      </x:c>
      <x:c r="E36" t="n">
        <x:v>1</x:v>
      </x:c>
      <x:c r="F36" t="str">
        <x:v>組</x:v>
      </x:c>
      <x:c r="G36" s="22" t="n">
        <x:v>0.015</x:v>
      </x:c>
      <x:c r="H36" s="20" t="n">
        <x:v>44562</x:v>
      </x:c>
    </x:row>
    <x:row r="37" ht="20" customHeight="1">
      <x:c r="A37" t="str">
        <x:v>BOM0036</x:v>
      </x:c>
      <x:c r="B37" t="str">
        <x:v>AUTO-BS-A</x:v>
      </x:c>
      <x:c r="C37" t="str">
        <x:v>B01</x:v>
      </x:c>
      <x:c r="D37" t="str">
        <x:v>MAT-BRG-01</x:v>
      </x:c>
      <x:c r="E37" t="n">
        <x:v>1</x:v>
      </x:c>
      <x:c r="F37" t="str">
        <x:v>組</x:v>
      </x:c>
      <x:c r="G37" s="22" t="n">
        <x:v>0.015</x:v>
      </x:c>
      <x:c r="H37" s="20" t="n">
        <x:v>44562</x:v>
      </x:c>
    </x:row>
    <x:row r="38" ht="20" customHeight="1">
      <x:c r="A38" t="str">
        <x:v>BOM0037</x:v>
      </x:c>
      <x:c r="B38" t="str">
        <x:v>AUTO-BS-B</x:v>
      </x:c>
      <x:c r="C38" t="str">
        <x:v>B01</x:v>
      </x:c>
      <x:c r="D38" t="str">
        <x:v>RAW-AUTO-BS-B</x:v>
      </x:c>
      <x:c r="E38" t="n">
        <x:v>1</x:v>
      </x:c>
      <x:c r="F38" t="str">
        <x:v>件</x:v>
      </x:c>
      <x:c r="G38" s="22" t="n">
        <x:v>0.015</x:v>
      </x:c>
      <x:c r="H38" s="20" t="n">
        <x:v>44562</x:v>
      </x:c>
    </x:row>
    <x:row r="39" ht="20" customHeight="1">
      <x:c r="A39" t="str">
        <x:v>BOM0038</x:v>
      </x:c>
      <x:c r="B39" t="str">
        <x:v>AUTO-BS-B</x:v>
      </x:c>
      <x:c r="C39" t="str">
        <x:v>B01</x:v>
      </x:c>
      <x:c r="D39" t="str">
        <x:v>MAT-BOLT-01</x:v>
      </x:c>
      <x:c r="E39" t="n">
        <x:v>1</x:v>
      </x:c>
      <x:c r="F39" t="str">
        <x:v>組</x:v>
      </x:c>
      <x:c r="G39" s="22" t="n">
        <x:v>0.015</x:v>
      </x:c>
      <x:c r="H39" s="20" t="n">
        <x:v>44562</x:v>
      </x:c>
    </x:row>
    <x:row r="40" ht="20" customHeight="1">
      <x:c r="A40" t="str">
        <x:v>BOM0039</x:v>
      </x:c>
      <x:c r="B40" t="str">
        <x:v>AUTO-BS-B</x:v>
      </x:c>
      <x:c r="C40" t="str">
        <x:v>B01</x:v>
      </x:c>
      <x:c r="D40" t="str">
        <x:v>MAT-PKG-01</x:v>
      </x:c>
      <x:c r="E40" t="n">
        <x:v>1</x:v>
      </x:c>
      <x:c r="F40" t="str">
        <x:v>組</x:v>
      </x:c>
      <x:c r="G40" s="22" t="n">
        <x:v>0.015</x:v>
      </x:c>
      <x:c r="H40" s="20" t="n">
        <x:v>44562</x:v>
      </x:c>
    </x:row>
    <x:row r="41" ht="20" customHeight="1">
      <x:c r="A41" t="str">
        <x:v>BOM0040</x:v>
      </x:c>
      <x:c r="B41" t="str">
        <x:v>AUTO-BS-B</x:v>
      </x:c>
      <x:c r="C41" t="str">
        <x:v>B01</x:v>
      </x:c>
      <x:c r="D41" t="str">
        <x:v>MAT-BRG-01</x:v>
      </x:c>
      <x:c r="E41" t="n">
        <x:v>1</x:v>
      </x:c>
      <x:c r="F41" t="str">
        <x:v>組</x:v>
      </x:c>
      <x:c r="G41" s="22" t="n">
        <x:v>0.015</x:v>
      </x:c>
      <x:c r="H41" s="20" t="n">
        <x:v>44562</x:v>
      </x:c>
    </x:row>
    <x:row r="42" ht="20" customHeight="1">
      <x:c r="A42" t="str">
        <x:v>BOM0041</x:v>
      </x:c>
      <x:c r="B42" t="str">
        <x:v>AUTO-LG-A</x:v>
      </x:c>
      <x:c r="C42" t="str">
        <x:v>B01</x:v>
      </x:c>
      <x:c r="D42" t="str">
        <x:v>RAW-AUTO-LG-A</x:v>
      </x:c>
      <x:c r="E42" t="n">
        <x:v>1</x:v>
      </x:c>
      <x:c r="F42" t="str">
        <x:v>件</x:v>
      </x:c>
      <x:c r="G42" s="22" t="n">
        <x:v>0.015</x:v>
      </x:c>
      <x:c r="H42" s="20" t="n">
        <x:v>44317</x:v>
      </x:c>
    </x:row>
    <x:row r="43" ht="20" customHeight="1">
      <x:c r="A43" t="str">
        <x:v>BOM0042</x:v>
      </x:c>
      <x:c r="B43" t="str">
        <x:v>AUTO-LG-A</x:v>
      </x:c>
      <x:c r="C43" t="str">
        <x:v>B01</x:v>
      </x:c>
      <x:c r="D43" t="str">
        <x:v>MAT-BOLT-01</x:v>
      </x:c>
      <x:c r="E43" t="n">
        <x:v>1</x:v>
      </x:c>
      <x:c r="F43" t="str">
        <x:v>組</x:v>
      </x:c>
      <x:c r="G43" s="22" t="n">
        <x:v>0.015</x:v>
      </x:c>
      <x:c r="H43" s="20" t="n">
        <x:v>44317</x:v>
      </x:c>
    </x:row>
    <x:row r="44" ht="20" customHeight="1">
      <x:c r="A44" t="str">
        <x:v>BOM0043</x:v>
      </x:c>
      <x:c r="B44" t="str">
        <x:v>AUTO-LG-A</x:v>
      </x:c>
      <x:c r="C44" t="str">
        <x:v>B01</x:v>
      </x:c>
      <x:c r="D44" t="str">
        <x:v>MAT-PKG-01</x:v>
      </x:c>
      <x:c r="E44" t="n">
        <x:v>1</x:v>
      </x:c>
      <x:c r="F44" t="str">
        <x:v>組</x:v>
      </x:c>
      <x:c r="G44" s="22" t="n">
        <x:v>0.015</x:v>
      </x:c>
      <x:c r="H44" s="20" t="n">
        <x:v>44317</x:v>
      </x:c>
    </x:row>
    <x:row r="45" ht="20" customHeight="1">
      <x:c r="A45" t="str">
        <x:v>BOM0044</x:v>
      </x:c>
      <x:c r="B45" t="str">
        <x:v>AUTO-LG-A</x:v>
      </x:c>
      <x:c r="C45" t="str">
        <x:v>B01</x:v>
      </x:c>
      <x:c r="D45" t="str">
        <x:v>MAT-BRG-01</x:v>
      </x:c>
      <x:c r="E45" t="n">
        <x:v>1</x:v>
      </x:c>
      <x:c r="F45" t="str">
        <x:v>組</x:v>
      </x:c>
      <x:c r="G45" s="22" t="n">
        <x:v>0.015</x:v>
      </x:c>
      <x:c r="H45" s="20" t="n">
        <x:v>44317</x:v>
      </x:c>
    </x:row>
    <x:row r="46" ht="20" customHeight="1">
      <x:c r="A46" t="str">
        <x:v>BOM0045</x:v>
      </x:c>
      <x:c r="B46" t="str">
        <x:v>AUTO-LG-B</x:v>
      </x:c>
      <x:c r="C46" t="str">
        <x:v>B01</x:v>
      </x:c>
      <x:c r="D46" t="str">
        <x:v>RAW-AUTO-LG-B</x:v>
      </x:c>
      <x:c r="E46" t="n">
        <x:v>1</x:v>
      </x:c>
      <x:c r="F46" t="str">
        <x:v>件</x:v>
      </x:c>
      <x:c r="G46" s="22" t="n">
        <x:v>0.015</x:v>
      </x:c>
      <x:c r="H46" s="20" t="n">
        <x:v>44317</x:v>
      </x:c>
    </x:row>
    <x:row r="47" ht="20" customHeight="1">
      <x:c r="A47" t="str">
        <x:v>BOM0046</x:v>
      </x:c>
      <x:c r="B47" t="str">
        <x:v>AUTO-LG-B</x:v>
      </x:c>
      <x:c r="C47" t="str">
        <x:v>B01</x:v>
      </x:c>
      <x:c r="D47" t="str">
        <x:v>MAT-BOLT-01</x:v>
      </x:c>
      <x:c r="E47" t="n">
        <x:v>1</x:v>
      </x:c>
      <x:c r="F47" t="str">
        <x:v>組</x:v>
      </x:c>
      <x:c r="G47" s="22" t="n">
        <x:v>0.015</x:v>
      </x:c>
      <x:c r="H47" s="20" t="n">
        <x:v>44317</x:v>
      </x:c>
    </x:row>
    <x:row r="48" ht="20" customHeight="1">
      <x:c r="A48" t="str">
        <x:v>BOM0047</x:v>
      </x:c>
      <x:c r="B48" t="str">
        <x:v>AUTO-LG-B</x:v>
      </x:c>
      <x:c r="C48" t="str">
        <x:v>B01</x:v>
      </x:c>
      <x:c r="D48" t="str">
        <x:v>MAT-PKG-01</x:v>
      </x:c>
      <x:c r="E48" t="n">
        <x:v>1</x:v>
      </x:c>
      <x:c r="F48" t="str">
        <x:v>組</x:v>
      </x:c>
      <x:c r="G48" s="22" t="n">
        <x:v>0.015</x:v>
      </x:c>
      <x:c r="H48" s="20" t="n">
        <x:v>44317</x:v>
      </x:c>
    </x:row>
    <x:row r="49" ht="20" customHeight="1">
      <x:c r="A49" t="str">
        <x:v>BOM0048</x:v>
      </x:c>
      <x:c r="B49" t="str">
        <x:v>AUTO-LG-B</x:v>
      </x:c>
      <x:c r="C49" t="str">
        <x:v>B01</x:v>
      </x:c>
      <x:c r="D49" t="str">
        <x:v>MAT-BRG-01</x:v>
      </x:c>
      <x:c r="E49" t="n">
        <x:v>1</x:v>
      </x:c>
      <x:c r="F49" t="str">
        <x:v>組</x:v>
      </x:c>
      <x:c r="G49" s="22" t="n">
        <x:v>0.015</x:v>
      </x:c>
      <x:c r="H49" s="20" t="n">
        <x:v>44317</x:v>
      </x:c>
    </x:row>
    <x:row r="50" ht="20" customHeight="1">
      <x:c r="A50" t="str">
        <x:v>BOM0049</x:v>
      </x:c>
      <x:c r="B50" t="str">
        <x:v>PM-ALB-A</x:v>
      </x:c>
      <x:c r="C50" t="str">
        <x:v>B01</x:v>
      </x:c>
      <x:c r="D50" t="str">
        <x:v>RAW-PM-ALB-A</x:v>
      </x:c>
      <x:c r="E50" t="n">
        <x:v>1</x:v>
      </x:c>
      <x:c r="F50" t="str">
        <x:v>件</x:v>
      </x:c>
      <x:c r="G50" s="22" t="n">
        <x:v>0.01</x:v>
      </x:c>
      <x:c r="H50" s="20" t="n">
        <x:v>44562</x:v>
      </x:c>
    </x:row>
    <x:row r="51" ht="20" customHeight="1">
      <x:c r="A51" t="str">
        <x:v>BOM0050</x:v>
      </x:c>
      <x:c r="B51" t="str">
        <x:v>PM-ALB-A</x:v>
      </x:c>
      <x:c r="C51" t="str">
        <x:v>B01</x:v>
      </x:c>
      <x:c r="D51" t="str">
        <x:v>MAT-BOLT-01</x:v>
      </x:c>
      <x:c r="E51" t="n">
        <x:v>1</x:v>
      </x:c>
      <x:c r="F51" t="str">
        <x:v>組</x:v>
      </x:c>
      <x:c r="G51" s="22" t="n">
        <x:v>0.01</x:v>
      </x:c>
      <x:c r="H51" s="20" t="n">
        <x:v>44562</x:v>
      </x:c>
    </x:row>
    <x:row r="52" ht="20" customHeight="1">
      <x:c r="A52" t="str">
        <x:v>BOM0051</x:v>
      </x:c>
      <x:c r="B52" t="str">
        <x:v>PM-ALB-A</x:v>
      </x:c>
      <x:c r="C52" t="str">
        <x:v>B01</x:v>
      </x:c>
      <x:c r="D52" t="str">
        <x:v>MAT-PKG-01</x:v>
      </x:c>
      <x:c r="E52" t="n">
        <x:v>1</x:v>
      </x:c>
      <x:c r="F52" t="str">
        <x:v>組</x:v>
      </x:c>
      <x:c r="G52" s="22" t="n">
        <x:v>0.01</x:v>
      </x:c>
      <x:c r="H52" s="20" t="n">
        <x:v>44562</x:v>
      </x:c>
    </x:row>
    <x:row r="53" ht="20" customHeight="1">
      <x:c r="A53" t="str">
        <x:v>BOM0052</x:v>
      </x:c>
      <x:c r="B53" t="str">
        <x:v>PM-ALB-B</x:v>
      </x:c>
      <x:c r="C53" t="str">
        <x:v>B01</x:v>
      </x:c>
      <x:c r="D53" t="str">
        <x:v>RAW-PM-ALB-B</x:v>
      </x:c>
      <x:c r="E53" t="n">
        <x:v>1</x:v>
      </x:c>
      <x:c r="F53" t="str">
        <x:v>件</x:v>
      </x:c>
      <x:c r="G53" s="22" t="n">
        <x:v>0.01</x:v>
      </x:c>
      <x:c r="H53" s="20" t="n">
        <x:v>44562</x:v>
      </x:c>
    </x:row>
    <x:row r="54" ht="20" customHeight="1">
      <x:c r="A54" t="str">
        <x:v>BOM0053</x:v>
      </x:c>
      <x:c r="B54" t="str">
        <x:v>PM-ALB-B</x:v>
      </x:c>
      <x:c r="C54" t="str">
        <x:v>B01</x:v>
      </x:c>
      <x:c r="D54" t="str">
        <x:v>MAT-BOLT-01</x:v>
      </x:c>
      <x:c r="E54" t="n">
        <x:v>1</x:v>
      </x:c>
      <x:c r="F54" t="str">
        <x:v>組</x:v>
      </x:c>
      <x:c r="G54" s="22" t="n">
        <x:v>0.01</x:v>
      </x:c>
      <x:c r="H54" s="20" t="n">
        <x:v>44562</x:v>
      </x:c>
    </x:row>
    <x:row r="55" ht="20" customHeight="1">
      <x:c r="A55" t="str">
        <x:v>BOM0054</x:v>
      </x:c>
      <x:c r="B55" t="str">
        <x:v>PM-ALB-B</x:v>
      </x:c>
      <x:c r="C55" t="str">
        <x:v>B01</x:v>
      </x:c>
      <x:c r="D55" t="str">
        <x:v>MAT-PKG-01</x:v>
      </x:c>
      <x:c r="E55" t="n">
        <x:v>1</x:v>
      </x:c>
      <x:c r="F55" t="str">
        <x:v>組</x:v>
      </x:c>
      <x:c r="G55" s="22" t="n">
        <x:v>0.01</x:v>
      </x:c>
      <x:c r="H55" s="20" t="n">
        <x:v>44562</x:v>
      </x:c>
    </x:row>
    <x:row r="56" ht="20" customHeight="1">
      <x:c r="A56" t="str">
        <x:v>BOM0055</x:v>
      </x:c>
      <x:c r="B56" t="str">
        <x:v>PM-SUS-A</x:v>
      </x:c>
      <x:c r="C56" t="str">
        <x:v>B01</x:v>
      </x:c>
      <x:c r="D56" t="str">
        <x:v>RAW-PM-SUS-A</x:v>
      </x:c>
      <x:c r="E56" t="n">
        <x:v>1</x:v>
      </x:c>
      <x:c r="F56" t="str">
        <x:v>件</x:v>
      </x:c>
      <x:c r="G56" s="22" t="n">
        <x:v>0.01</x:v>
      </x:c>
      <x:c r="H56" s="20" t="n">
        <x:v>44562</x:v>
      </x:c>
    </x:row>
    <x:row r="57" ht="20" customHeight="1">
      <x:c r="A57" t="str">
        <x:v>BOM0056</x:v>
      </x:c>
      <x:c r="B57" t="str">
        <x:v>PM-SUS-A</x:v>
      </x:c>
      <x:c r="C57" t="str">
        <x:v>B01</x:v>
      </x:c>
      <x:c r="D57" t="str">
        <x:v>MAT-BOLT-01</x:v>
      </x:c>
      <x:c r="E57" t="n">
        <x:v>1</x:v>
      </x:c>
      <x:c r="F57" t="str">
        <x:v>組</x:v>
      </x:c>
      <x:c r="G57" s="22" t="n">
        <x:v>0.01</x:v>
      </x:c>
      <x:c r="H57" s="20" t="n">
        <x:v>44562</x:v>
      </x:c>
    </x:row>
    <x:row r="58" ht="20" customHeight="1">
      <x:c r="A58" t="str">
        <x:v>BOM0057</x:v>
      </x:c>
      <x:c r="B58" t="str">
        <x:v>PM-SUS-A</x:v>
      </x:c>
      <x:c r="C58" t="str">
        <x:v>B01</x:v>
      </x:c>
      <x:c r="D58" t="str">
        <x:v>MAT-PKG-01</x:v>
      </x:c>
      <x:c r="E58" t="n">
        <x:v>1</x:v>
      </x:c>
      <x:c r="F58" t="str">
        <x:v>組</x:v>
      </x:c>
      <x:c r="G58" s="22" t="n">
        <x:v>0.01</x:v>
      </x:c>
      <x:c r="H58" s="20" t="n">
        <x:v>44562</x:v>
      </x:c>
    </x:row>
    <x:row r="59" ht="20" customHeight="1">
      <x:c r="A59" t="str">
        <x:v>BOM0058</x:v>
      </x:c>
      <x:c r="B59" t="str">
        <x:v>PM-SUS-B</x:v>
      </x:c>
      <x:c r="C59" t="str">
        <x:v>B01</x:v>
      </x:c>
      <x:c r="D59" t="str">
        <x:v>RAW-PM-SUS-B</x:v>
      </x:c>
      <x:c r="E59" t="n">
        <x:v>1</x:v>
      </x:c>
      <x:c r="F59" t="str">
        <x:v>件</x:v>
      </x:c>
      <x:c r="G59" s="22" t="n">
        <x:v>0.01</x:v>
      </x:c>
      <x:c r="H59" s="20" t="n">
        <x:v>44562</x:v>
      </x:c>
    </x:row>
    <x:row r="60" ht="20" customHeight="1">
      <x:c r="A60" t="str">
        <x:v>BOM0059</x:v>
      </x:c>
      <x:c r="B60" t="str">
        <x:v>PM-SUS-B</x:v>
      </x:c>
      <x:c r="C60" t="str">
        <x:v>B01</x:v>
      </x:c>
      <x:c r="D60" t="str">
        <x:v>MAT-BOLT-01</x:v>
      </x:c>
      <x:c r="E60" t="n">
        <x:v>1</x:v>
      </x:c>
      <x:c r="F60" t="str">
        <x:v>組</x:v>
      </x:c>
      <x:c r="G60" s="22" t="n">
        <x:v>0.01</x:v>
      </x:c>
      <x:c r="H60" s="20" t="n">
        <x:v>44562</x:v>
      </x:c>
    </x:row>
    <x:row r="61" ht="20" customHeight="1">
      <x:c r="A61" t="str">
        <x:v>BOM0060</x:v>
      </x:c>
      <x:c r="B61" t="str">
        <x:v>PM-SUS-B</x:v>
      </x:c>
      <x:c r="C61" t="str">
        <x:v>B01</x:v>
      </x:c>
      <x:c r="D61" t="str">
        <x:v>MAT-PKG-01</x:v>
      </x:c>
      <x:c r="E61" t="n">
        <x:v>1</x:v>
      </x:c>
      <x:c r="F61" t="str">
        <x:v>組</x:v>
      </x:c>
      <x:c r="G61" s="22" t="n">
        <x:v>0.01</x:v>
      </x:c>
      <x:c r="H61" s="20" t="n">
        <x:v>44562</x:v>
      </x:c>
    </x:row>
    <x:row r="62" ht="20" customHeight="1">
      <x:c r="A62" t="str">
        <x:v>BOM0061</x:v>
      </x:c>
      <x:c r="B62" t="str">
        <x:v>PM-BRG-A</x:v>
      </x:c>
      <x:c r="C62" t="str">
        <x:v>B01</x:v>
      </x:c>
      <x:c r="D62" t="str">
        <x:v>RAW-PM-BRG-A</x:v>
      </x:c>
      <x:c r="E62" t="n">
        <x:v>1</x:v>
      </x:c>
      <x:c r="F62" t="str">
        <x:v>件</x:v>
      </x:c>
      <x:c r="G62" s="22" t="n">
        <x:v>0.01</x:v>
      </x:c>
      <x:c r="H62" s="20" t="n">
        <x:v>44562</x:v>
      </x:c>
    </x:row>
    <x:row r="63" ht="20" customHeight="1">
      <x:c r="A63" t="str">
        <x:v>BOM0062</x:v>
      </x:c>
      <x:c r="B63" t="str">
        <x:v>PM-BRG-A</x:v>
      </x:c>
      <x:c r="C63" t="str">
        <x:v>B01</x:v>
      </x:c>
      <x:c r="D63" t="str">
        <x:v>MAT-BOLT-01</x:v>
      </x:c>
      <x:c r="E63" t="n">
        <x:v>1</x:v>
      </x:c>
      <x:c r="F63" t="str">
        <x:v>組</x:v>
      </x:c>
      <x:c r="G63" s="22" t="n">
        <x:v>0.01</x:v>
      </x:c>
      <x:c r="H63" s="20" t="n">
        <x:v>44562</x:v>
      </x:c>
    </x:row>
    <x:row r="64" ht="20" customHeight="1">
      <x:c r="A64" t="str">
        <x:v>BOM0063</x:v>
      </x:c>
      <x:c r="B64" t="str">
        <x:v>PM-BRG-A</x:v>
      </x:c>
      <x:c r="C64" t="str">
        <x:v>B01</x:v>
      </x:c>
      <x:c r="D64" t="str">
        <x:v>MAT-PKG-01</x:v>
      </x:c>
      <x:c r="E64" t="n">
        <x:v>1</x:v>
      </x:c>
      <x:c r="F64" t="str">
        <x:v>組</x:v>
      </x:c>
      <x:c r="G64" s="22" t="n">
        <x:v>0.01</x:v>
      </x:c>
      <x:c r="H64" s="20" t="n">
        <x:v>44562</x:v>
      </x:c>
    </x:row>
    <x:row r="65" ht="20" customHeight="1">
      <x:c r="A65" t="str">
        <x:v>BOM0064</x:v>
      </x:c>
      <x:c r="B65" t="str">
        <x:v>PM-BRG-B</x:v>
      </x:c>
      <x:c r="C65" t="str">
        <x:v>B01</x:v>
      </x:c>
      <x:c r="D65" t="str">
        <x:v>RAW-PM-BRG-B</x:v>
      </x:c>
      <x:c r="E65" t="n">
        <x:v>1</x:v>
      </x:c>
      <x:c r="F65" t="str">
        <x:v>件</x:v>
      </x:c>
      <x:c r="G65" s="22" t="n">
        <x:v>0.01</x:v>
      </x:c>
      <x:c r="H65" s="20" t="n">
        <x:v>44562</x:v>
      </x:c>
    </x:row>
    <x:row r="66" ht="20" customHeight="1">
      <x:c r="A66" t="str">
        <x:v>BOM0065</x:v>
      </x:c>
      <x:c r="B66" t="str">
        <x:v>PM-BRG-B</x:v>
      </x:c>
      <x:c r="C66" t="str">
        <x:v>B01</x:v>
      </x:c>
      <x:c r="D66" t="str">
        <x:v>MAT-BOLT-01</x:v>
      </x:c>
      <x:c r="E66" t="n">
        <x:v>1</x:v>
      </x:c>
      <x:c r="F66" t="str">
        <x:v>組</x:v>
      </x:c>
      <x:c r="G66" s="22" t="n">
        <x:v>0.01</x:v>
      </x:c>
      <x:c r="H66" s="20" t="n">
        <x:v>44562</x:v>
      </x:c>
    </x:row>
    <x:row r="67" ht="20" customHeight="1">
      <x:c r="A67" t="str">
        <x:v>BOM0066</x:v>
      </x:c>
      <x:c r="B67" t="str">
        <x:v>PM-BRG-B</x:v>
      </x:c>
      <x:c r="C67" t="str">
        <x:v>B01</x:v>
      </x:c>
      <x:c r="D67" t="str">
        <x:v>MAT-PKG-01</x:v>
      </x:c>
      <x:c r="E67" t="n">
        <x:v>1</x:v>
      </x:c>
      <x:c r="F67" t="str">
        <x:v>組</x:v>
      </x:c>
      <x:c r="G67" s="22" t="n">
        <x:v>0.01</x:v>
      </x:c>
      <x:c r="H67" s="20" t="n">
        <x:v>44562</x:v>
      </x:c>
    </x:row>
    <x:row r="68" ht="20" customHeight="1">
      <x:c r="A68" t="str">
        <x:v>BOM0067</x:v>
      </x:c>
      <x:c r="B68" t="str">
        <x:v>PM-VAC-A</x:v>
      </x:c>
      <x:c r="C68" t="str">
        <x:v>B01</x:v>
      </x:c>
      <x:c r="D68" t="str">
        <x:v>RAW-PM-VAC-A</x:v>
      </x:c>
      <x:c r="E68" t="n">
        <x:v>1</x:v>
      </x:c>
      <x:c r="F68" t="str">
        <x:v>件</x:v>
      </x:c>
      <x:c r="G68" s="22" t="n">
        <x:v>0.01</x:v>
      </x:c>
      <x:c r="H68" s="20" t="n">
        <x:v>44562</x:v>
      </x:c>
    </x:row>
    <x:row r="69" ht="20" customHeight="1">
      <x:c r="A69" t="str">
        <x:v>BOM0068</x:v>
      </x:c>
      <x:c r="B69" t="str">
        <x:v>PM-VAC-A</x:v>
      </x:c>
      <x:c r="C69" t="str">
        <x:v>B01</x:v>
      </x:c>
      <x:c r="D69" t="str">
        <x:v>MAT-BOLT-01</x:v>
      </x:c>
      <x:c r="E69" t="n">
        <x:v>1</x:v>
      </x:c>
      <x:c r="F69" t="str">
        <x:v>組</x:v>
      </x:c>
      <x:c r="G69" s="22" t="n">
        <x:v>0.01</x:v>
      </x:c>
      <x:c r="H69" s="20" t="n">
        <x:v>44562</x:v>
      </x:c>
    </x:row>
    <x:row r="70" ht="20" customHeight="1">
      <x:c r="A70" t="str">
        <x:v>BOM0069</x:v>
      </x:c>
      <x:c r="B70" t="str">
        <x:v>PM-VAC-A</x:v>
      </x:c>
      <x:c r="C70" t="str">
        <x:v>B01</x:v>
      </x:c>
      <x:c r="D70" t="str">
        <x:v>MAT-PKG-01</x:v>
      </x:c>
      <x:c r="E70" t="n">
        <x:v>1</x:v>
      </x:c>
      <x:c r="F70" t="str">
        <x:v>組</x:v>
      </x:c>
      <x:c r="G70" s="22" t="n">
        <x:v>0.01</x:v>
      </x:c>
      <x:c r="H70" s="20" t="n">
        <x:v>44562</x:v>
      </x:c>
    </x:row>
    <x:row r="71" ht="20" customHeight="1">
      <x:c r="A71" t="str">
        <x:v>BOM0070</x:v>
      </x:c>
      <x:c r="B71" t="str">
        <x:v>PM-VAC-B</x:v>
      </x:c>
      <x:c r="C71" t="str">
        <x:v>B01</x:v>
      </x:c>
      <x:c r="D71" t="str">
        <x:v>RAW-PM-VAC-B</x:v>
      </x:c>
      <x:c r="E71" t="n">
        <x:v>1</x:v>
      </x:c>
      <x:c r="F71" t="str">
        <x:v>件</x:v>
      </x:c>
      <x:c r="G71" s="22" t="n">
        <x:v>0.01</x:v>
      </x:c>
      <x:c r="H71" s="20" t="n">
        <x:v>44562</x:v>
      </x:c>
    </x:row>
    <x:row r="72" ht="20" customHeight="1">
      <x:c r="A72" t="str">
        <x:v>BOM0071</x:v>
      </x:c>
      <x:c r="B72" t="str">
        <x:v>PM-VAC-B</x:v>
      </x:c>
      <x:c r="C72" t="str">
        <x:v>B01</x:v>
      </x:c>
      <x:c r="D72" t="str">
        <x:v>MAT-BOLT-01</x:v>
      </x:c>
      <x:c r="E72" t="n">
        <x:v>1</x:v>
      </x:c>
      <x:c r="F72" t="str">
        <x:v>組</x:v>
      </x:c>
      <x:c r="G72" s="22" t="n">
        <x:v>0.01</x:v>
      </x:c>
      <x:c r="H72" s="20" t="n">
        <x:v>44562</x:v>
      </x:c>
    </x:row>
    <x:row r="73" ht="20" customHeight="1">
      <x:c r="A73" t="str">
        <x:v>BOM0072</x:v>
      </x:c>
      <x:c r="B73" t="str">
        <x:v>PM-VAC-B</x:v>
      </x:c>
      <x:c r="C73" t="str">
        <x:v>B01</x:v>
      </x:c>
      <x:c r="D73" t="str">
        <x:v>MAT-PKG-01</x:v>
      </x:c>
      <x:c r="E73" t="n">
        <x:v>1</x:v>
      </x:c>
      <x:c r="F73" t="str">
        <x:v>組</x:v>
      </x:c>
      <x:c r="G73" s="22" t="n">
        <x:v>0.01</x:v>
      </x:c>
      <x:c r="H73" s="20" t="n">
        <x:v>44562</x:v>
      </x:c>
    </x:row>
    <x:row r="74" ht="20" customHeight="1">
      <x:c r="A74" t="str">
        <x:v>BOM0073</x:v>
      </x:c>
      <x:c r="B74" t="str">
        <x:v>MECH-STG-A</x:v>
      </x:c>
      <x:c r="C74" t="str">
        <x:v>B01</x:v>
      </x:c>
      <x:c r="D74" t="str">
        <x:v>RAW-MECH-STG-A</x:v>
      </x:c>
      <x:c r="E74" t="n">
        <x:v>1</x:v>
      </x:c>
      <x:c r="F74" t="str">
        <x:v>件</x:v>
      </x:c>
      <x:c r="G74" s="22" t="n">
        <x:v>0.01</x:v>
      </x:c>
      <x:c r="H74" s="20" t="n">
        <x:v>44562</x:v>
      </x:c>
    </x:row>
    <x:row r="75" ht="20" customHeight="1">
      <x:c r="A75" t="str">
        <x:v>BOM0074</x:v>
      </x:c>
      <x:c r="B75" t="str">
        <x:v>MECH-STG-A</x:v>
      </x:c>
      <x:c r="C75" t="str">
        <x:v>B01</x:v>
      </x:c>
      <x:c r="D75" t="str">
        <x:v>MAT-LG-01</x:v>
      </x:c>
      <x:c r="E75" t="n">
        <x:v>1</x:v>
      </x:c>
      <x:c r="F75" t="str">
        <x:v>組</x:v>
      </x:c>
      <x:c r="G75" s="22" t="n">
        <x:v>0.01</x:v>
      </x:c>
      <x:c r="H75" s="20" t="n">
        <x:v>44562</x:v>
      </x:c>
    </x:row>
    <x:row r="76" ht="20" customHeight="1">
      <x:c r="A76" t="str">
        <x:v>BOM0075</x:v>
      </x:c>
      <x:c r="B76" t="str">
        <x:v>MECH-STG-A</x:v>
      </x:c>
      <x:c r="C76" t="str">
        <x:v>B01</x:v>
      </x:c>
      <x:c r="D76" t="str">
        <x:v>MAT-SERVO-01</x:v>
      </x:c>
      <x:c r="E76" t="n">
        <x:v>1</x:v>
      </x:c>
      <x:c r="F76" t="str">
        <x:v>顆</x:v>
      </x:c>
      <x:c r="G76" s="22" t="n">
        <x:v>0.01</x:v>
      </x:c>
      <x:c r="H76" s="20" t="n">
        <x:v>44562</x:v>
      </x:c>
    </x:row>
    <x:row r="77" ht="20" customHeight="1">
      <x:c r="A77" t="str">
        <x:v>BOM0076</x:v>
      </x:c>
      <x:c r="B77" t="str">
        <x:v>MECH-STG-A</x:v>
      </x:c>
      <x:c r="C77" t="str">
        <x:v>B01</x:v>
      </x:c>
      <x:c r="D77" t="str">
        <x:v>MAT-SENSOR-01</x:v>
      </x:c>
      <x:c r="E77" t="n">
        <x:v>1</x:v>
      </x:c>
      <x:c r="F77" t="str">
        <x:v>組</x:v>
      </x:c>
      <x:c r="G77" s="22" t="n">
        <x:v>0.01</x:v>
      </x:c>
      <x:c r="H77" s="20" t="n">
        <x:v>44562</x:v>
      </x:c>
    </x:row>
    <x:row r="78" ht="20" customHeight="1">
      <x:c r="A78" t="str">
        <x:v>BOM0077</x:v>
      </x:c>
      <x:c r="B78" t="str">
        <x:v>MECH-STG-A</x:v>
      </x:c>
      <x:c r="C78" t="str">
        <x:v>B01</x:v>
      </x:c>
      <x:c r="D78" t="str">
        <x:v>MAT-CABLE-01</x:v>
      </x:c>
      <x:c r="E78" t="n">
        <x:v>1</x:v>
      </x:c>
      <x:c r="F78" t="str">
        <x:v>組</x:v>
      </x:c>
      <x:c r="G78" s="22" t="n">
        <x:v>0.01</x:v>
      </x:c>
      <x:c r="H78" s="20" t="n">
        <x:v>44562</x:v>
      </x:c>
    </x:row>
    <x:row r="79" ht="20" customHeight="1">
      <x:c r="A79" t="str">
        <x:v>BOM0078</x:v>
      </x:c>
      <x:c r="B79" t="str">
        <x:v>MECH-STG-A</x:v>
      </x:c>
      <x:c r="C79" t="str">
        <x:v>B01</x:v>
      </x:c>
      <x:c r="D79" t="str">
        <x:v>MAT-CTRL-01</x:v>
      </x:c>
      <x:c r="E79" t="n">
        <x:v>1</x:v>
      </x:c>
      <x:c r="F79" t="str">
        <x:v>組</x:v>
      </x:c>
      <x:c r="G79" s="22" t="n">
        <x:v>0.01</x:v>
      </x:c>
      <x:c r="H79" s="20" t="n">
        <x:v>44562</x:v>
      </x:c>
    </x:row>
    <x:row r="80" ht="20" customHeight="1">
      <x:c r="A80" t="str">
        <x:v>BOM0079</x:v>
      </x:c>
      <x:c r="B80" t="str">
        <x:v>MECH-STG-A</x:v>
      </x:c>
      <x:c r="C80" t="str">
        <x:v>B01</x:v>
      </x:c>
      <x:c r="D80" t="str">
        <x:v>MAT-PKG-01</x:v>
      </x:c>
      <x:c r="E80" t="n">
        <x:v>1</x:v>
      </x:c>
      <x:c r="F80" t="str">
        <x:v>組</x:v>
      </x:c>
      <x:c r="G80" s="22" t="n">
        <x:v>0.01</x:v>
      </x:c>
      <x:c r="H80" s="20" t="n">
        <x:v>44562</x:v>
      </x:c>
    </x:row>
    <x:row r="81" ht="20" customHeight="1">
      <x:c r="A81" t="str">
        <x:v>BOM0080</x:v>
      </x:c>
      <x:c r="B81" t="str">
        <x:v>MECH-STG-B</x:v>
      </x:c>
      <x:c r="C81" t="str">
        <x:v>B01</x:v>
      </x:c>
      <x:c r="D81" t="str">
        <x:v>RAW-MECH-STG-B</x:v>
      </x:c>
      <x:c r="E81" t="n">
        <x:v>1</x:v>
      </x:c>
      <x:c r="F81" t="str">
        <x:v>件</x:v>
      </x:c>
      <x:c r="G81" s="22" t="n">
        <x:v>0.01</x:v>
      </x:c>
      <x:c r="H81" s="20" t="n">
        <x:v>44562</x:v>
      </x:c>
    </x:row>
    <x:row r="82" ht="20" customHeight="1">
      <x:c r="A82" t="str">
        <x:v>BOM0081</x:v>
      </x:c>
      <x:c r="B82" t="str">
        <x:v>MECH-STG-B</x:v>
      </x:c>
      <x:c r="C82" t="str">
        <x:v>B01</x:v>
      </x:c>
      <x:c r="D82" t="str">
        <x:v>MAT-LG-01</x:v>
      </x:c>
      <x:c r="E82" t="n">
        <x:v>1</x:v>
      </x:c>
      <x:c r="F82" t="str">
        <x:v>組</x:v>
      </x:c>
      <x:c r="G82" s="22" t="n">
        <x:v>0.01</x:v>
      </x:c>
      <x:c r="H82" s="20" t="n">
        <x:v>44562</x:v>
      </x:c>
    </x:row>
    <x:row r="83" ht="20" customHeight="1">
      <x:c r="A83" t="str">
        <x:v>BOM0082</x:v>
      </x:c>
      <x:c r="B83" t="str">
        <x:v>MECH-STG-B</x:v>
      </x:c>
      <x:c r="C83" t="str">
        <x:v>B01</x:v>
      </x:c>
      <x:c r="D83" t="str">
        <x:v>MAT-SERVO-01</x:v>
      </x:c>
      <x:c r="E83" t="n">
        <x:v>1</x:v>
      </x:c>
      <x:c r="F83" t="str">
        <x:v>顆</x:v>
      </x:c>
      <x:c r="G83" s="22" t="n">
        <x:v>0.01</x:v>
      </x:c>
      <x:c r="H83" s="20" t="n">
        <x:v>44562</x:v>
      </x:c>
    </x:row>
    <x:row r="84" ht="20" customHeight="1">
      <x:c r="A84" t="str">
        <x:v>BOM0083</x:v>
      </x:c>
      <x:c r="B84" t="str">
        <x:v>MECH-STG-B</x:v>
      </x:c>
      <x:c r="C84" t="str">
        <x:v>B01</x:v>
      </x:c>
      <x:c r="D84" t="str">
        <x:v>MAT-SENSOR-01</x:v>
      </x:c>
      <x:c r="E84" t="n">
        <x:v>1</x:v>
      </x:c>
      <x:c r="F84" t="str">
        <x:v>組</x:v>
      </x:c>
      <x:c r="G84" s="22" t="n">
        <x:v>0.01</x:v>
      </x:c>
      <x:c r="H84" s="20" t="n">
        <x:v>44562</x:v>
      </x:c>
    </x:row>
    <x:row r="85" ht="20" customHeight="1">
      <x:c r="A85" t="str">
        <x:v>BOM0084</x:v>
      </x:c>
      <x:c r="B85" t="str">
        <x:v>MECH-STG-B</x:v>
      </x:c>
      <x:c r="C85" t="str">
        <x:v>B01</x:v>
      </x:c>
      <x:c r="D85" t="str">
        <x:v>MAT-CABLE-01</x:v>
      </x:c>
      <x:c r="E85" t="n">
        <x:v>1</x:v>
      </x:c>
      <x:c r="F85" t="str">
        <x:v>組</x:v>
      </x:c>
      <x:c r="G85" s="22" t="n">
        <x:v>0.01</x:v>
      </x:c>
      <x:c r="H85" s="20" t="n">
        <x:v>44562</x:v>
      </x:c>
    </x:row>
    <x:row r="86" ht="20" customHeight="1">
      <x:c r="A86" t="str">
        <x:v>BOM0085</x:v>
      </x:c>
      <x:c r="B86" t="str">
        <x:v>MECH-STG-B</x:v>
      </x:c>
      <x:c r="C86" t="str">
        <x:v>B01</x:v>
      </x:c>
      <x:c r="D86" t="str">
        <x:v>MAT-CTRL-01</x:v>
      </x:c>
      <x:c r="E86" t="n">
        <x:v>1</x:v>
      </x:c>
      <x:c r="F86" t="str">
        <x:v>組</x:v>
      </x:c>
      <x:c r="G86" s="22" t="n">
        <x:v>0.01</x:v>
      </x:c>
      <x:c r="H86" s="20" t="n">
        <x:v>44562</x:v>
      </x:c>
    </x:row>
    <x:row r="87" ht="20" customHeight="1">
      <x:c r="A87" t="str">
        <x:v>BOM0086</x:v>
      </x:c>
      <x:c r="B87" t="str">
        <x:v>MECH-STG-B</x:v>
      </x:c>
      <x:c r="C87" t="str">
        <x:v>B01</x:v>
      </x:c>
      <x:c r="D87" t="str">
        <x:v>MAT-PKG-01</x:v>
      </x:c>
      <x:c r="E87" t="n">
        <x:v>1</x:v>
      </x:c>
      <x:c r="F87" t="str">
        <x:v>組</x:v>
      </x:c>
      <x:c r="G87" s="22" t="n">
        <x:v>0.01</x:v>
      </x:c>
      <x:c r="H87" s="20" t="n">
        <x:v>44562</x:v>
      </x:c>
    </x:row>
    <x:row r="88" ht="20" customHeight="1">
      <x:c r="A88" t="str">
        <x:v>BOM0087</x:v>
      </x:c>
      <x:c r="B88" t="str">
        <x:v>MECH-CON-A</x:v>
      </x:c>
      <x:c r="C88" t="str">
        <x:v>B01</x:v>
      </x:c>
      <x:c r="D88" t="str">
        <x:v>RAW-MECH-CON-A</x:v>
      </x:c>
      <x:c r="E88" t="n">
        <x:v>1</x:v>
      </x:c>
      <x:c r="F88" t="str">
        <x:v>件</x:v>
      </x:c>
      <x:c r="G88" s="22" t="n">
        <x:v>0.01</x:v>
      </x:c>
      <x:c r="H88" s="20" t="n">
        <x:v>44562</x:v>
      </x:c>
    </x:row>
    <x:row r="89" ht="20" customHeight="1">
      <x:c r="A89" t="str">
        <x:v>BOM0088</x:v>
      </x:c>
      <x:c r="B89" t="str">
        <x:v>MECH-CON-A</x:v>
      </x:c>
      <x:c r="C89" t="str">
        <x:v>B01</x:v>
      </x:c>
      <x:c r="D89" t="str">
        <x:v>MAT-LG-01</x:v>
      </x:c>
      <x:c r="E89" t="n">
        <x:v>1</x:v>
      </x:c>
      <x:c r="F89" t="str">
        <x:v>組</x:v>
      </x:c>
      <x:c r="G89" s="22" t="n">
        <x:v>0.01</x:v>
      </x:c>
      <x:c r="H89" s="20" t="n">
        <x:v>44562</x:v>
      </x:c>
    </x:row>
    <x:row r="90" ht="20" customHeight="1">
      <x:c r="A90" t="str">
        <x:v>BOM0089</x:v>
      </x:c>
      <x:c r="B90" t="str">
        <x:v>MECH-CON-A</x:v>
      </x:c>
      <x:c r="C90" t="str">
        <x:v>B01</x:v>
      </x:c>
      <x:c r="D90" t="str">
        <x:v>MAT-SERVO-01</x:v>
      </x:c>
      <x:c r="E90" t="n">
        <x:v>1</x:v>
      </x:c>
      <x:c r="F90" t="str">
        <x:v>顆</x:v>
      </x:c>
      <x:c r="G90" s="22" t="n">
        <x:v>0.01</x:v>
      </x:c>
      <x:c r="H90" s="20" t="n">
        <x:v>44562</x:v>
      </x:c>
    </x:row>
    <x:row r="91" ht="20" customHeight="1">
      <x:c r="A91" t="str">
        <x:v>BOM0090</x:v>
      </x:c>
      <x:c r="B91" t="str">
        <x:v>MECH-CON-A</x:v>
      </x:c>
      <x:c r="C91" t="str">
        <x:v>B01</x:v>
      </x:c>
      <x:c r="D91" t="str">
        <x:v>MAT-SENSOR-01</x:v>
      </x:c>
      <x:c r="E91" t="n">
        <x:v>1</x:v>
      </x:c>
      <x:c r="F91" t="str">
        <x:v>組</x:v>
      </x:c>
      <x:c r="G91" s="22" t="n">
        <x:v>0.01</x:v>
      </x:c>
      <x:c r="H91" s="20" t="n">
        <x:v>44562</x:v>
      </x:c>
    </x:row>
    <x:row r="92" ht="20" customHeight="1">
      <x:c r="A92" t="str">
        <x:v>BOM0091</x:v>
      </x:c>
      <x:c r="B92" t="str">
        <x:v>MECH-CON-A</x:v>
      </x:c>
      <x:c r="C92" t="str">
        <x:v>B01</x:v>
      </x:c>
      <x:c r="D92" t="str">
        <x:v>MAT-CABLE-01</x:v>
      </x:c>
      <x:c r="E92" t="n">
        <x:v>1</x:v>
      </x:c>
      <x:c r="F92" t="str">
        <x:v>組</x:v>
      </x:c>
      <x:c r="G92" s="22" t="n">
        <x:v>0.01</x:v>
      </x:c>
      <x:c r="H92" s="20" t="n">
        <x:v>44562</x:v>
      </x:c>
    </x:row>
    <x:row r="93" ht="20" customHeight="1">
      <x:c r="A93" t="str">
        <x:v>BOM0092</x:v>
      </x:c>
      <x:c r="B93" t="str">
        <x:v>MECH-CON-A</x:v>
      </x:c>
      <x:c r="C93" t="str">
        <x:v>B01</x:v>
      </x:c>
      <x:c r="D93" t="str">
        <x:v>MAT-CTRL-01</x:v>
      </x:c>
      <x:c r="E93" t="n">
        <x:v>1</x:v>
      </x:c>
      <x:c r="F93" t="str">
        <x:v>組</x:v>
      </x:c>
      <x:c r="G93" s="22" t="n">
        <x:v>0.01</x:v>
      </x:c>
      <x:c r="H93" s="20" t="n">
        <x:v>44562</x:v>
      </x:c>
    </x:row>
    <x:row r="94" ht="20" customHeight="1">
      <x:c r="A94" t="str">
        <x:v>BOM0093</x:v>
      </x:c>
      <x:c r="B94" t="str">
        <x:v>MECH-CON-A</x:v>
      </x:c>
      <x:c r="C94" t="str">
        <x:v>B01</x:v>
      </x:c>
      <x:c r="D94" t="str">
        <x:v>MAT-PKG-01</x:v>
      </x:c>
      <x:c r="E94" t="n">
        <x:v>1</x:v>
      </x:c>
      <x:c r="F94" t="str">
        <x:v>組</x:v>
      </x:c>
      <x:c r="G94" s="22" t="n">
        <x:v>0.01</x:v>
      </x:c>
      <x:c r="H94" s="20" t="n">
        <x:v>44562</x:v>
      </x:c>
    </x:row>
    <x:row r="95" ht="20" customHeight="1">
      <x:c r="A95" t="str">
        <x:v>BOM0094</x:v>
      </x:c>
      <x:c r="B95" t="str">
        <x:v>MECH-CON-B</x:v>
      </x:c>
      <x:c r="C95" t="str">
        <x:v>B01</x:v>
      </x:c>
      <x:c r="D95" t="str">
        <x:v>RAW-MECH-CON-B</x:v>
      </x:c>
      <x:c r="E95" t="n">
        <x:v>1</x:v>
      </x:c>
      <x:c r="F95" t="str">
        <x:v>件</x:v>
      </x:c>
      <x:c r="G95" s="22" t="n">
        <x:v>0.01</x:v>
      </x:c>
      <x:c r="H95" s="20" t="n">
        <x:v>44562</x:v>
      </x:c>
    </x:row>
    <x:row r="96" ht="20" customHeight="1">
      <x:c r="A96" t="str">
        <x:v>BOM0095</x:v>
      </x:c>
      <x:c r="B96" t="str">
        <x:v>MECH-CON-B</x:v>
      </x:c>
      <x:c r="C96" t="str">
        <x:v>B01</x:v>
      </x:c>
      <x:c r="D96" t="str">
        <x:v>MAT-LG-01</x:v>
      </x:c>
      <x:c r="E96" t="n">
        <x:v>1</x:v>
      </x:c>
      <x:c r="F96" t="str">
        <x:v>組</x:v>
      </x:c>
      <x:c r="G96" s="22" t="n">
        <x:v>0.01</x:v>
      </x:c>
      <x:c r="H96" s="20" t="n">
        <x:v>44562</x:v>
      </x:c>
    </x:row>
    <x:row r="97" ht="20" customHeight="1">
      <x:c r="A97" t="str">
        <x:v>BOM0096</x:v>
      </x:c>
      <x:c r="B97" t="str">
        <x:v>MECH-CON-B</x:v>
      </x:c>
      <x:c r="C97" t="str">
        <x:v>B01</x:v>
      </x:c>
      <x:c r="D97" t="str">
        <x:v>MAT-SERVO-01</x:v>
      </x:c>
      <x:c r="E97" t="n">
        <x:v>1</x:v>
      </x:c>
      <x:c r="F97" t="str">
        <x:v>顆</x:v>
      </x:c>
      <x:c r="G97" s="22" t="n">
        <x:v>0.01</x:v>
      </x:c>
      <x:c r="H97" s="20" t="n">
        <x:v>44562</x:v>
      </x:c>
    </x:row>
    <x:row r="98" ht="20" customHeight="1">
      <x:c r="A98" t="str">
        <x:v>BOM0097</x:v>
      </x:c>
      <x:c r="B98" t="str">
        <x:v>MECH-CON-B</x:v>
      </x:c>
      <x:c r="C98" t="str">
        <x:v>B01</x:v>
      </x:c>
      <x:c r="D98" t="str">
        <x:v>MAT-SENSOR-01</x:v>
      </x:c>
      <x:c r="E98" t="n">
        <x:v>1</x:v>
      </x:c>
      <x:c r="F98" t="str">
        <x:v>組</x:v>
      </x:c>
      <x:c r="G98" s="22" t="n">
        <x:v>0.01</x:v>
      </x:c>
      <x:c r="H98" s="20" t="n">
        <x:v>44562</x:v>
      </x:c>
    </x:row>
    <x:row r="99" ht="20" customHeight="1">
      <x:c r="A99" t="str">
        <x:v>BOM0098</x:v>
      </x:c>
      <x:c r="B99" t="str">
        <x:v>MECH-CON-B</x:v>
      </x:c>
      <x:c r="C99" t="str">
        <x:v>B01</x:v>
      </x:c>
      <x:c r="D99" t="str">
        <x:v>MAT-CABLE-01</x:v>
      </x:c>
      <x:c r="E99" t="n">
        <x:v>1</x:v>
      </x:c>
      <x:c r="F99" t="str">
        <x:v>組</x:v>
      </x:c>
      <x:c r="G99" s="22" t="n">
        <x:v>0.01</x:v>
      </x:c>
      <x:c r="H99" s="20" t="n">
        <x:v>44562</x:v>
      </x:c>
    </x:row>
    <x:row r="100" ht="20" customHeight="1">
      <x:c r="A100" t="str">
        <x:v>BOM0099</x:v>
      </x:c>
      <x:c r="B100" t="str">
        <x:v>MECH-CON-B</x:v>
      </x:c>
      <x:c r="C100" t="str">
        <x:v>B01</x:v>
      </x:c>
      <x:c r="D100" t="str">
        <x:v>MAT-CTRL-01</x:v>
      </x:c>
      <x:c r="E100" t="n">
        <x:v>1</x:v>
      </x:c>
      <x:c r="F100" t="str">
        <x:v>組</x:v>
      </x:c>
      <x:c r="G100" s="22" t="n">
        <x:v>0.01</x:v>
      </x:c>
      <x:c r="H100" s="20" t="n">
        <x:v>44562</x:v>
      </x:c>
    </x:row>
    <x:row r="101" ht="20" customHeight="1">
      <x:c r="A101" t="str">
        <x:v>BOM0100</x:v>
      </x:c>
      <x:c r="B101" t="str">
        <x:v>MECH-CON-B</x:v>
      </x:c>
      <x:c r="C101" t="str">
        <x:v>B01</x:v>
      </x:c>
      <x:c r="D101" t="str">
        <x:v>MAT-PKG-01</x:v>
      </x:c>
      <x:c r="E101" t="n">
        <x:v>1</x:v>
      </x:c>
      <x:c r="F101" t="str">
        <x:v>組</x:v>
      </x:c>
      <x:c r="G101" s="22" t="n">
        <x:v>0.01</x:v>
      </x:c>
      <x:c r="H101" s="20" t="n">
        <x:v>44562</x:v>
      </x:c>
    </x:row>
    <x:row r="102" ht="20" customHeight="1">
      <x:c r="A102" t="str">
        <x:v>BOM0101</x:v>
      </x:c>
      <x:c r="B102" t="str">
        <x:v>SEMI-CHB-A</x:v>
      </x:c>
      <x:c r="C102" t="str">
        <x:v>B01</x:v>
      </x:c>
      <x:c r="D102" t="str">
        <x:v>RAW-SEMI-CHB-A</x:v>
      </x:c>
      <x:c r="E102" t="n">
        <x:v>1</x:v>
      </x:c>
      <x:c r="F102" t="str">
        <x:v>件</x:v>
      </x:c>
      <x:c r="G102" s="22" t="n">
        <x:v>0.01</x:v>
      </x:c>
      <x:c r="H102" s="20" t="n">
        <x:v>44562</x:v>
      </x:c>
    </x:row>
    <x:row r="103" ht="20" customHeight="1">
      <x:c r="A103" t="str">
        <x:v>BOM0102</x:v>
      </x:c>
      <x:c r="B103" t="str">
        <x:v>SEMI-CHB-A</x:v>
      </x:c>
      <x:c r="C103" t="str">
        <x:v>B01</x:v>
      </x:c>
      <x:c r="D103" t="str">
        <x:v>MAT-VAC-01</x:v>
      </x:c>
      <x:c r="E103" t="n">
        <x:v>1</x:v>
      </x:c>
      <x:c r="F103" t="str">
        <x:v>組</x:v>
      </x:c>
      <x:c r="G103" s="22" t="n">
        <x:v>0.01</x:v>
      </x:c>
      <x:c r="H103" s="20" t="n">
        <x:v>44562</x:v>
      </x:c>
    </x:row>
    <x:row r="104" ht="20" customHeight="1">
      <x:c r="A104" t="str">
        <x:v>BOM0103</x:v>
      </x:c>
      <x:c r="B104" t="str">
        <x:v>SEMI-CHB-A</x:v>
      </x:c>
      <x:c r="C104" t="str">
        <x:v>B01</x:v>
      </x:c>
      <x:c r="D104" t="str">
        <x:v>MAT-BOLT-01</x:v>
      </x:c>
      <x:c r="E104" t="n">
        <x:v>1</x:v>
      </x:c>
      <x:c r="F104" t="str">
        <x:v>組</x:v>
      </x:c>
      <x:c r="G104" s="22" t="n">
        <x:v>0.01</x:v>
      </x:c>
      <x:c r="H104" s="20" t="n">
        <x:v>44562</x:v>
      </x:c>
    </x:row>
    <x:row r="105" ht="20" customHeight="1">
      <x:c r="A105" t="str">
        <x:v>BOM0104</x:v>
      </x:c>
      <x:c r="B105" t="str">
        <x:v>SEMI-CHB-A</x:v>
      </x:c>
      <x:c r="C105" t="str">
        <x:v>B01</x:v>
      </x:c>
      <x:c r="D105" t="str">
        <x:v>MAT-CLEAN-01</x:v>
      </x:c>
      <x:c r="E105" t="n">
        <x:v>1</x:v>
      </x:c>
      <x:c r="F105" t="str">
        <x:v>組</x:v>
      </x:c>
      <x:c r="G105" s="22" t="n">
        <x:v>0.01</x:v>
      </x:c>
      <x:c r="H105" s="20" t="n">
        <x:v>44562</x:v>
      </x:c>
    </x:row>
    <x:row r="106" ht="20" customHeight="1">
      <x:c r="A106" t="str">
        <x:v>BOM0105</x:v>
      </x:c>
      <x:c r="B106" t="str">
        <x:v>SEMI-CHB-B</x:v>
      </x:c>
      <x:c r="C106" t="str">
        <x:v>B01</x:v>
      </x:c>
      <x:c r="D106" t="str">
        <x:v>RAW-SEMI-CHB-B</x:v>
      </x:c>
      <x:c r="E106" t="n">
        <x:v>1</x:v>
      </x:c>
      <x:c r="F106" t="str">
        <x:v>件</x:v>
      </x:c>
      <x:c r="G106" s="22" t="n">
        <x:v>0.01</x:v>
      </x:c>
      <x:c r="H106" s="20" t="n">
        <x:v>44562</x:v>
      </x:c>
    </x:row>
    <x:row r="107" ht="20" customHeight="1">
      <x:c r="A107" t="str">
        <x:v>BOM0106</x:v>
      </x:c>
      <x:c r="B107" t="str">
        <x:v>SEMI-CHB-B</x:v>
      </x:c>
      <x:c r="C107" t="str">
        <x:v>B01</x:v>
      </x:c>
      <x:c r="D107" t="str">
        <x:v>MAT-VAC-01</x:v>
      </x:c>
      <x:c r="E107" t="n">
        <x:v>1</x:v>
      </x:c>
      <x:c r="F107" t="str">
        <x:v>組</x:v>
      </x:c>
      <x:c r="G107" s="22" t="n">
        <x:v>0.01</x:v>
      </x:c>
      <x:c r="H107" s="20" t="n">
        <x:v>44562</x:v>
      </x:c>
    </x:row>
    <x:row r="108" ht="20" customHeight="1">
      <x:c r="A108" t="str">
        <x:v>BOM0107</x:v>
      </x:c>
      <x:c r="B108" t="str">
        <x:v>SEMI-CHB-B</x:v>
      </x:c>
      <x:c r="C108" t="str">
        <x:v>B01</x:v>
      </x:c>
      <x:c r="D108" t="str">
        <x:v>MAT-BOLT-01</x:v>
      </x:c>
      <x:c r="E108" t="n">
        <x:v>1</x:v>
      </x:c>
      <x:c r="F108" t="str">
        <x:v>組</x:v>
      </x:c>
      <x:c r="G108" s="22" t="n">
        <x:v>0.01</x:v>
      </x:c>
      <x:c r="H108" s="20" t="n">
        <x:v>44562</x:v>
      </x:c>
    </x:row>
    <x:row r="109" ht="20" customHeight="1">
      <x:c r="A109" t="str">
        <x:v>BOM0108</x:v>
      </x:c>
      <x:c r="B109" t="str">
        <x:v>SEMI-CHB-B</x:v>
      </x:c>
      <x:c r="C109" t="str">
        <x:v>B01</x:v>
      </x:c>
      <x:c r="D109" t="str">
        <x:v>MAT-CLEAN-01</x:v>
      </x:c>
      <x:c r="E109" t="n">
        <x:v>1</x:v>
      </x:c>
      <x:c r="F109" t="str">
        <x:v>組</x:v>
      </x:c>
      <x:c r="G109" s="22" t="n">
        <x:v>0.01</x:v>
      </x:c>
      <x:c r="H109" s="20" t="n">
        <x:v>44562</x:v>
      </x:c>
    </x:row>
    <x:row r="110" ht="20" customHeight="1">
      <x:c r="A110" t="str">
        <x:v>BOM0109</x:v>
      </x:c>
      <x:c r="B110" t="str">
        <x:v>SEMI-WH-A</x:v>
      </x:c>
      <x:c r="C110" t="str">
        <x:v>B01</x:v>
      </x:c>
      <x:c r="D110" t="str">
        <x:v>RAW-SEMI-WH-A</x:v>
      </x:c>
      <x:c r="E110" t="n">
        <x:v>1</x:v>
      </x:c>
      <x:c r="F110" t="str">
        <x:v>件</x:v>
      </x:c>
      <x:c r="G110" s="22" t="n">
        <x:v>0.01</x:v>
      </x:c>
      <x:c r="H110" s="20" t="n">
        <x:v>44562</x:v>
      </x:c>
    </x:row>
    <x:row r="111" ht="20" customHeight="1">
      <x:c r="A111" t="str">
        <x:v>BOM0110</x:v>
      </x:c>
      <x:c r="B111" t="str">
        <x:v>SEMI-WH-A</x:v>
      </x:c>
      <x:c r="C111" t="str">
        <x:v>B01</x:v>
      </x:c>
      <x:c r="D111" t="str">
        <x:v>MAT-VAC-01</x:v>
      </x:c>
      <x:c r="E111" t="n">
        <x:v>1</x:v>
      </x:c>
      <x:c r="F111" t="str">
        <x:v>組</x:v>
      </x:c>
      <x:c r="G111" s="22" t="n">
        <x:v>0.01</x:v>
      </x:c>
      <x:c r="H111" s="20" t="n">
        <x:v>44562</x:v>
      </x:c>
    </x:row>
    <x:row r="112" ht="20" customHeight="1">
      <x:c r="A112" t="str">
        <x:v>BOM0111</x:v>
      </x:c>
      <x:c r="B112" t="str">
        <x:v>SEMI-WH-A</x:v>
      </x:c>
      <x:c r="C112" t="str">
        <x:v>B01</x:v>
      </x:c>
      <x:c r="D112" t="str">
        <x:v>MAT-BOLT-01</x:v>
      </x:c>
      <x:c r="E112" t="n">
        <x:v>1</x:v>
      </x:c>
      <x:c r="F112" t="str">
        <x:v>組</x:v>
      </x:c>
      <x:c r="G112" s="22" t="n">
        <x:v>0.01</x:v>
      </x:c>
      <x:c r="H112" s="20" t="n">
        <x:v>44562</x:v>
      </x:c>
    </x:row>
    <x:row r="113" ht="20" customHeight="1">
      <x:c r="A113" t="str">
        <x:v>BOM0112</x:v>
      </x:c>
      <x:c r="B113" t="str">
        <x:v>SEMI-WH-A</x:v>
      </x:c>
      <x:c r="C113" t="str">
        <x:v>B01</x:v>
      </x:c>
      <x:c r="D113" t="str">
        <x:v>MAT-CLEAN-01</x:v>
      </x:c>
      <x:c r="E113" t="n">
        <x:v>1</x:v>
      </x:c>
      <x:c r="F113" t="str">
        <x:v>組</x:v>
      </x:c>
      <x:c r="G113" s="22" t="n">
        <x:v>0.01</x:v>
      </x:c>
      <x:c r="H113" s="20" t="n">
        <x:v>44562</x:v>
      </x:c>
    </x:row>
    <x:row r="114" ht="20" customHeight="1">
      <x:c r="A114" t="str">
        <x:v>BOM0113</x:v>
      </x:c>
      <x:c r="B114" t="str">
        <x:v>SEMI-WH-B</x:v>
      </x:c>
      <x:c r="C114" t="str">
        <x:v>B01</x:v>
      </x:c>
      <x:c r="D114" t="str">
        <x:v>RAW-SEMI-WH-B</x:v>
      </x:c>
      <x:c r="E114" t="n">
        <x:v>1</x:v>
      </x:c>
      <x:c r="F114" t="str">
        <x:v>件</x:v>
      </x:c>
      <x:c r="G114" s="22" t="n">
        <x:v>0.01</x:v>
      </x:c>
      <x:c r="H114" s="20" t="n">
        <x:v>44562</x:v>
      </x:c>
    </x:row>
    <x:row r="115" ht="20" customHeight="1">
      <x:c r="A115" t="str">
        <x:v>BOM0114</x:v>
      </x:c>
      <x:c r="B115" t="str">
        <x:v>SEMI-WH-B</x:v>
      </x:c>
      <x:c r="C115" t="str">
        <x:v>B01</x:v>
      </x:c>
      <x:c r="D115" t="str">
        <x:v>MAT-VAC-01</x:v>
      </x:c>
      <x:c r="E115" t="n">
        <x:v>1</x:v>
      </x:c>
      <x:c r="F115" t="str">
        <x:v>組</x:v>
      </x:c>
      <x:c r="G115" s="22" t="n">
        <x:v>0.01</x:v>
      </x:c>
      <x:c r="H115" s="20" t="n">
        <x:v>44562</x:v>
      </x:c>
    </x:row>
    <x:row r="116" ht="20" customHeight="1">
      <x:c r="A116" t="str">
        <x:v>BOM0115</x:v>
      </x:c>
      <x:c r="B116" t="str">
        <x:v>SEMI-WH-B</x:v>
      </x:c>
      <x:c r="C116" t="str">
        <x:v>B01</x:v>
      </x:c>
      <x:c r="D116" t="str">
        <x:v>MAT-BOLT-01</x:v>
      </x:c>
      <x:c r="E116" t="n">
        <x:v>1</x:v>
      </x:c>
      <x:c r="F116" t="str">
        <x:v>組</x:v>
      </x:c>
      <x:c r="G116" s="22" t="n">
        <x:v>0.01</x:v>
      </x:c>
      <x:c r="H116" s="20" t="n">
        <x:v>44562</x:v>
      </x:c>
    </x:row>
    <x:row r="117" ht="20" customHeight="1">
      <x:c r="A117" t="str">
        <x:v>BOM0116</x:v>
      </x:c>
      <x:c r="B117" t="str">
        <x:v>SEMI-WH-B</x:v>
      </x:c>
      <x:c r="C117" t="str">
        <x:v>B01</x:v>
      </x:c>
      <x:c r="D117" t="str">
        <x:v>MAT-CLEAN-01</x:v>
      </x:c>
      <x:c r="E117" t="n">
        <x:v>1</x:v>
      </x:c>
      <x:c r="F117" t="str">
        <x:v>組</x:v>
      </x:c>
      <x:c r="G117" s="22" t="n">
        <x:v>0.01</x:v>
      </x:c>
      <x:c r="H117" s="20" t="n">
        <x:v>44562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1" ht="20" customHeight="1">
      <x:c r="A1" s="14" t="str">
        <x:v>報價ID</x:v>
      </x:c>
      <x:c r="B1" s="14" t="str">
        <x:v>報價日期</x:v>
      </x:c>
      <x:c r="C1" s="14" t="str">
        <x:v>客戶ID</x:v>
      </x:c>
      <x:c r="D1" s="14" t="str">
        <x:v>業務員ID</x:v>
      </x:c>
      <x:c r="E1" s="14" t="str">
        <x:v>SKU</x:v>
      </x:c>
      <x:c r="F1" s="14" t="str">
        <x:v>產品線</x:v>
      </x:c>
      <x:c r="G1" s="14" t="str">
        <x:v>報價數量</x:v>
      </x:c>
      <x:c r="H1" s="14" t="str">
        <x:v>報價單價_TWD</x:v>
      </x:c>
      <x:c r="I1" s="14" t="str">
        <x:v>預估單件成本_TWD</x:v>
      </x:c>
      <x:c r="J1" s="14" t="str">
        <x:v>預估毛利率</x:v>
      </x:c>
      <x:c r="K1" s="14" t="str">
        <x:v>折扣率</x:v>
      </x:c>
      <x:c r="L1" s="14" t="str">
        <x:v>要求交期_天</x:v>
      </x:c>
      <x:c r="M1" s="14" t="str">
        <x:v>結果</x:v>
      </x:c>
      <x:c r="N1" s="14" t="str">
        <x:v>結案日期</x:v>
      </x:c>
      <x:c r="O1" s="14" t="str">
        <x:v>未成交原因</x:v>
      </x:c>
    </x:row>
    <x:row r="2" ht="20" customHeight="1">
      <x:c r="A2" t="str">
        <x:v>Q00001</x:v>
      </x:c>
      <x:c r="B2" s="20" t="n">
        <x:v>45176</x:v>
      </x:c>
      <x:c r="C2" t="str">
        <x:v>IAT-006</x:v>
      </x:c>
      <x:c r="D2" t="str">
        <x:v>S01</x:v>
      </x:c>
      <x:c r="E2" t="str">
        <x:v>AUTO-LG-A</x:v>
      </x:c>
      <x:c r="F2" t="str">
        <x:v>汽車精密零組件</x:v>
      </x:c>
      <x:c r="G2" t="n">
        <x:v>10000</x:v>
      </x:c>
      <x:c r="H2" t="n">
        <x:v>1032.33</x:v>
      </x:c>
      <x:c r="I2" t="n">
        <x:v>817.51</x:v>
      </x:c>
      <x:c r="J2" s="22" t="n">
        <x:v>0.20809237356271731</x:v>
      </x:c>
      <x:c r="K2" s="22" t="n">
        <x:v>0.1389</x:v>
      </x:c>
      <x:c r="L2" t="n">
        <x:v>18</x:v>
      </x:c>
      <x:c r="M2" t="str">
        <x:v>未成交</x:v>
      </x:c>
      <x:c r="N2" s="20" t="n">
        <x:v>45185</x:v>
      </x:c>
      <x:c r="O2" t="str">
        <x:v>交期</x:v>
      </x:c>
    </x:row>
    <x:row r="3" ht="20" customHeight="1">
      <x:c r="A3" t="str">
        <x:v>Q00002</x:v>
      </x:c>
      <x:c r="B3" s="20" t="n">
        <x:v>45189</x:v>
      </x:c>
      <x:c r="C3" t="str">
        <x:v>AUT-004</x:v>
      </x:c>
      <x:c r="D3" t="str">
        <x:v>S03</x:v>
      </x:c>
      <x:c r="E3" t="str">
        <x:v>AUTO-KN-A</x:v>
      </x:c>
      <x:c r="F3" t="str">
        <x:v>汽車精密零組件</x:v>
      </x:c>
      <x:c r="G3" t="n">
        <x:v>13000</x:v>
      </x:c>
      <x:c r="H3" t="n">
        <x:v>3107.51</x:v>
      </x:c>
      <x:c r="I3" t="n">
        <x:v>2186.21</x:v>
      </x:c>
      <x:c r="J3" s="22" t="n">
        <x:v>0.2964753130319774</x:v>
      </x:c>
      <x:c r="K3" s="22" t="n">
        <x:v>0.0707</x:v>
      </x:c>
      <x:c r="L3" t="n">
        <x:v>27</x:v>
      </x:c>
      <x:c r="M3" t="str">
        <x:v>成交</x:v>
      </x:c>
      <x:c r="N3" s="20" t="n">
        <x:v>45199</x:v>
      </x:c>
      <x:c r="O3"/>
    </x:row>
    <x:row r="4" ht="20" customHeight="1">
      <x:c r="A4" t="str">
        <x:v>Q00003</x:v>
      </x:c>
      <x:c r="B4" s="20" t="n">
        <x:v>45186</x:v>
      </x:c>
      <x:c r="C4" t="str">
        <x:v>EMS-004</x:v>
      </x:c>
      <x:c r="D4" t="str">
        <x:v>S03</x:v>
      </x:c>
      <x:c r="E4" t="str">
        <x:v>MECH-STG-A</x:v>
      </x:c>
      <x:c r="F4" t="str">
        <x:v>機電／自動化模組</x:v>
      </x:c>
      <x:c r="G4" t="n">
        <x:v>20</x:v>
      </x:c>
      <x:c r="H4" t="n">
        <x:v>137710.98</x:v>
      </x:c>
      <x:c r="I4" t="n">
        <x:v>103135.4</x:v>
      </x:c>
      <x:c r="J4" s="22" t="n">
        <x:v>0.25107351643274933</x:v>
      </x:c>
      <x:c r="K4" s="22" t="n">
        <x:v>0.0384</x:v>
      </x:c>
      <x:c r="L4" t="n">
        <x:v>30</x:v>
      </x:c>
      <x:c r="M4" t="str">
        <x:v>未成交</x:v>
      </x:c>
      <x:c r="N4" s="20" t="n">
        <x:v>45191</x:v>
      </x:c>
      <x:c r="O4" t="str">
        <x:v>規格</x:v>
      </x:c>
    </x:row>
    <x:row r="5" ht="20" customHeight="1">
      <x:c r="A5" t="str">
        <x:v>Q00004</x:v>
      </x:c>
      <x:c r="B5" s="20" t="n">
        <x:v>45174</x:v>
      </x:c>
      <x:c r="C5" t="str">
        <x:v>IAT-002</x:v>
      </x:c>
      <x:c r="D5" t="str">
        <x:v>S01</x:v>
      </x:c>
      <x:c r="E5" t="str">
        <x:v>PM-SUS-A</x:v>
      </x:c>
      <x:c r="F5" t="str">
        <x:v>精密金屬加工件</x:v>
      </x:c>
      <x:c r="G5" t="n">
        <x:v>1200</x:v>
      </x:c>
      <x:c r="H5" t="n">
        <x:v>10604.36</x:v>
      </x:c>
      <x:c r="I5" t="n">
        <x:v>7761</x:v>
      </x:c>
      <x:c r="J5" s="22" t="n">
        <x:v>0.26813122149757274</x:v>
      </x:c>
      <x:c r="K5" s="22" t="n">
        <x:v>0.0661</x:v>
      </x:c>
      <x:c r="L5" t="n">
        <x:v>23</x:v>
      </x:c>
      <x:c r="M5" t="str">
        <x:v>成交</x:v>
      </x:c>
      <x:c r="N5" s="20" t="n">
        <x:v>45183</x:v>
      </x:c>
      <x:c r="O5"/>
    </x:row>
    <x:row r="6" ht="20" customHeight="1">
      <x:c r="A6" t="str">
        <x:v>Q00005</x:v>
      </x:c>
      <x:c r="B6" s="20" t="n">
        <x:v>45172</x:v>
      </x:c>
      <x:c r="C6" t="str">
        <x:v>AUT-003</x:v>
      </x:c>
      <x:c r="D6" t="str">
        <x:v>S03</x:v>
      </x:c>
      <x:c r="E6" t="str">
        <x:v>MECH-CON-B</x:v>
      </x:c>
      <x:c r="F6" t="str">
        <x:v>機電／自動化模組</x:v>
      </x:c>
      <x:c r="G6" t="n">
        <x:v>50</x:v>
      </x:c>
      <x:c r="H6" t="n">
        <x:v>155429.92</x:v>
      </x:c>
      <x:c r="I6" t="n">
        <x:v>117517.22</x:v>
      </x:c>
      <x:c r="J6" s="22" t="n">
        <x:v>0.24392150494576598</x:v>
      </x:c>
      <x:c r="K6" s="22" t="n">
        <x:v>0.069</x:v>
      </x:c>
      <x:c r="L6" t="n">
        <x:v>39</x:v>
      </x:c>
      <x:c r="M6" t="str">
        <x:v>未成交</x:v>
      </x:c>
      <x:c r="N6" s="20" t="n">
        <x:v>45177</x:v>
      </x:c>
      <x:c r="O6" t="str">
        <x:v>專案取消</x:v>
      </x:c>
    </x:row>
    <x:row r="7" ht="20" customHeight="1">
      <x:c r="A7" t="str">
        <x:v>Q00006</x:v>
      </x:c>
      <x:c r="B7" s="20" t="n">
        <x:v>45193</x:v>
      </x:c>
      <x:c r="C7" t="str">
        <x:v>AFT-004</x:v>
      </x:c>
      <x:c r="D7" t="str">
        <x:v>S02</x:v>
      </x:c>
      <x:c r="E7" t="str">
        <x:v>AUTO-FL-A</x:v>
      </x:c>
      <x:c r="F7" t="str">
        <x:v>汽車精密零組件</x:v>
      </x:c>
      <x:c r="G7" t="n">
        <x:v>7000</x:v>
      </x:c>
      <x:c r="H7" t="n">
        <x:v>1230.88</x:v>
      </x:c>
      <x:c r="I7" t="n">
        <x:v>969.36</x:v>
      </x:c>
      <x:c r="J7" s="22" t="n">
        <x:v>0.21246587807097367</x:v>
      </x:c>
      <x:c r="K7" s="22" t="n">
        <x:v>0.1132</x:v>
      </x:c>
      <x:c r="L7" t="n">
        <x:v>17</x:v>
      </x:c>
      <x:c r="M7" t="str">
        <x:v>成交</x:v>
      </x:c>
      <x:c r="N7" s="20" t="n">
        <x:v>45198</x:v>
      </x:c>
      <x:c r="O7"/>
    </x:row>
    <x:row r="8" ht="20" customHeight="1">
      <x:c r="A8" t="str">
        <x:v>Q00007</x:v>
      </x:c>
      <x:c r="B8" s="20" t="n">
        <x:v>45199</x:v>
      </x:c>
      <x:c r="C8" t="str">
        <x:v>AFT-003</x:v>
      </x:c>
      <x:c r="D8" t="str">
        <x:v>S01</x:v>
      </x:c>
      <x:c r="E8" t="str">
        <x:v>AUTO-LG-B</x:v>
      </x:c>
      <x:c r="F8" t="str">
        <x:v>汽車精密零組件</x:v>
      </x:c>
      <x:c r="G8" t="n">
        <x:v>7000</x:v>
      </x:c>
      <x:c r="H8" t="n">
        <x:v>1260.23</x:v>
      </x:c>
      <x:c r="I8" t="n">
        <x:v>915.69</x:v>
      </x:c>
      <x:c r="J8" s="22" t="n">
        <x:v>0.27339453909207045</x:v>
      </x:c>
      <x:c r="K8" s="22" t="n">
        <x:v>0.0157</x:v>
      </x:c>
      <x:c r="L8" t="n">
        <x:v>16</x:v>
      </x:c>
      <x:c r="M8" t="str">
        <x:v>未成交</x:v>
      </x:c>
      <x:c r="N8" s="20" t="n">
        <x:v>45205</x:v>
      </x:c>
      <x:c r="O8" t="str">
        <x:v>規格</x:v>
      </x:c>
    </x:row>
    <x:row r="9" ht="20" customHeight="1">
      <x:c r="A9" t="str">
        <x:v>Q00008</x:v>
      </x:c>
      <x:c r="B9" s="20" t="n">
        <x:v>45173</x:v>
      </x:c>
      <x:c r="C9" t="str">
        <x:v>AUT-009</x:v>
      </x:c>
      <x:c r="D9" t="str">
        <x:v>S04</x:v>
      </x:c>
      <x:c r="E9" t="str">
        <x:v>PM-BRG-B</x:v>
      </x:c>
      <x:c r="F9" t="str">
        <x:v>精密金屬加工件</x:v>
      </x:c>
      <x:c r="G9" t="n">
        <x:v>1200</x:v>
      </x:c>
      <x:c r="H9" t="n">
        <x:v>8146.1</x:v>
      </x:c>
      <x:c r="I9" t="n">
        <x:v>5592.55</x:v>
      </x:c>
      <x:c r="J9" s="22" t="n">
        <x:v>0.31346902198598103</x:v>
      </x:c>
      <x:c r="K9" s="22" t="n">
        <x:v>0.0386</x:v>
      </x:c>
      <x:c r="L9" t="n">
        <x:v>24</x:v>
      </x:c>
      <x:c r="M9" t="str">
        <x:v>成交</x:v>
      </x:c>
      <x:c r="N9" s="20" t="n">
        <x:v>45178</x:v>
      </x:c>
      <x:c r="O9"/>
    </x:row>
    <x:row r="10" ht="20" customHeight="1">
      <x:c r="A10" t="str">
        <x:v>Q00009</x:v>
      </x:c>
      <x:c r="B10" s="20" t="n">
        <x:v>45194</x:v>
      </x:c>
      <x:c r="C10" t="str">
        <x:v>AFT-003</x:v>
      </x:c>
      <x:c r="D10" t="str">
        <x:v>S01</x:v>
      </x:c>
      <x:c r="E10" t="str">
        <x:v>AUTO-BRK-B</x:v>
      </x:c>
      <x:c r="F10" t="str">
        <x:v>汽車精密零組件</x:v>
      </x:c>
      <x:c r="G10" t="n">
        <x:v>13000</x:v>
      </x:c>
      <x:c r="H10" t="n">
        <x:v>2092.62</x:v>
      </x:c>
      <x:c r="I10" t="n">
        <x:v>1673.7</x:v>
      </x:c>
      <x:c r="J10" s="22" t="n">
        <x:v>0.2001892364595578</x:v>
      </x:c>
      <x:c r="K10" s="22" t="n">
        <x:v>0.0633</x:v>
      </x:c>
      <x:c r="L10" t="n">
        <x:v>22</x:v>
      </x:c>
      <x:c r="M10" t="str">
        <x:v>成交</x:v>
      </x:c>
      <x:c r="N10" s="20" t="n">
        <x:v>45206</x:v>
      </x:c>
      <x:c r="O10"/>
    </x:row>
    <x:row r="11" ht="20" customHeight="1">
      <x:c r="A11" t="str">
        <x:v>Q00010</x:v>
      </x:c>
      <x:c r="B11" s="20" t="n">
        <x:v>45193</x:v>
      </x:c>
      <x:c r="C11" t="str">
        <x:v>AUT-010</x:v>
      </x:c>
      <x:c r="D11" t="str">
        <x:v>S05</x:v>
      </x:c>
      <x:c r="E11" t="str">
        <x:v>AUTO-BRK-A</x:v>
      </x:c>
      <x:c r="F11" t="str">
        <x:v>汽車精密零組件</x:v>
      </x:c>
      <x:c r="G11" t="n">
        <x:v>13000</x:v>
      </x:c>
      <x:c r="H11" t="n">
        <x:v>1719.65</x:v>
      </x:c>
      <x:c r="I11" t="n">
        <x:v>1400.5</x:v>
      </x:c>
      <x:c r="J11" s="22" t="n">
        <x:v>0.18559009100689097</x:v>
      </x:c>
      <x:c r="K11" s="22" t="n">
        <x:v>0.07</x:v>
      </x:c>
      <x:c r="L11" t="n">
        <x:v>13</x:v>
      </x:c>
      <x:c r="M11" t="str">
        <x:v>成交</x:v>
      </x:c>
      <x:c r="N11" s="20" t="n">
        <x:v>45202</x:v>
      </x:c>
      <x:c r="O11"/>
    </x:row>
    <x:row r="12" ht="20" customHeight="1">
      <x:c r="A12" t="str">
        <x:v>Q00011</x:v>
      </x:c>
      <x:c r="B12" s="20" t="n">
        <x:v>45199</x:v>
      </x:c>
      <x:c r="C12" t="str">
        <x:v>EMS-008</x:v>
      </x:c>
      <x:c r="D12" t="str">
        <x:v>S02</x:v>
      </x:c>
      <x:c r="E12" t="str">
        <x:v>AUTO-KN-A</x:v>
      </x:c>
      <x:c r="F12" t="str">
        <x:v>汽車精密零組件</x:v>
      </x:c>
      <x:c r="G12" t="n">
        <x:v>13000</x:v>
      </x:c>
      <x:c r="H12" t="n">
        <x:v>3194.96</x:v>
      </x:c>
      <x:c r="I12" t="n">
        <x:v>2245.23</x:v>
      </x:c>
      <x:c r="J12" s="22" t="n">
        <x:v>0.2972588076220047</x:v>
      </x:c>
      <x:c r="K12" s="22" t="n">
        <x:v>0.0482</x:v>
      </x:c>
      <x:c r="L12" t="n">
        <x:v>20</x:v>
      </x:c>
      <x:c r="M12" t="str">
        <x:v>未成交</x:v>
      </x:c>
      <x:c r="N12" s="20" t="n">
        <x:v>45210</x:v>
      </x:c>
      <x:c r="O12" t="str">
        <x:v>競品</x:v>
      </x:c>
    </x:row>
    <x:row r="13" ht="20" customHeight="1">
      <x:c r="A13" t="str">
        <x:v>Q00012</x:v>
      </x:c>
      <x:c r="B13" s="20" t="n">
        <x:v>45170</x:v>
      </x:c>
      <x:c r="C13" t="str">
        <x:v>AUT-008</x:v>
      </x:c>
      <x:c r="D13" t="str">
        <x:v>S01</x:v>
      </x:c>
      <x:c r="E13" t="str">
        <x:v>AUTO-KN-B</x:v>
      </x:c>
      <x:c r="F13" t="str">
        <x:v>汽車精密零組件</x:v>
      </x:c>
      <x:c r="G13" t="n">
        <x:v>5000</x:v>
      </x:c>
      <x:c r="H13" t="n">
        <x:v>3655.19</x:v>
      </x:c>
      <x:c r="I13" t="n">
        <x:v>2558.44</x:v>
      </x:c>
      <x:c r="J13" s="22" t="n">
        <x:v>0.30005280163274684</x:v>
      </x:c>
      <x:c r="K13" s="22" t="n">
        <x:v>0.0877</x:v>
      </x:c>
      <x:c r="L13" t="n">
        <x:v>28</x:v>
      </x:c>
      <x:c r="M13" t="str">
        <x:v>未成交</x:v>
      </x:c>
      <x:c r="N13" s="20" t="n">
        <x:v>45175</x:v>
      </x:c>
      <x:c r="O13" t="str">
        <x:v>交期</x:v>
      </x:c>
    </x:row>
    <x:row r="14" ht="20" customHeight="1">
      <x:c r="A14" t="str">
        <x:v>Q00013</x:v>
      </x:c>
      <x:c r="B14" s="20" t="n">
        <x:v>45188</x:v>
      </x:c>
      <x:c r="C14" t="str">
        <x:v>AUT-002</x:v>
      </x:c>
      <x:c r="D14" t="str">
        <x:v>S04</x:v>
      </x:c>
      <x:c r="E14" t="str">
        <x:v>PM-SUS-A</x:v>
      </x:c>
      <x:c r="F14" t="str">
        <x:v>精密金屬加工件</x:v>
      </x:c>
      <x:c r="G14" t="n">
        <x:v>1600</x:v>
      </x:c>
      <x:c r="H14" t="n">
        <x:v>9929.37</x:v>
      </x:c>
      <x:c r="I14" t="n">
        <x:v>7536.72</x:v>
      </x:c>
      <x:c r="J14" s="22" t="n">
        <x:v>0.24096694956477605</x:v>
      </x:c>
      <x:c r="K14" s="22" t="n">
        <x:v>0.1042</x:v>
      </x:c>
      <x:c r="L14" t="n">
        <x:v>21</x:v>
      </x:c>
      <x:c r="M14" t="str">
        <x:v>成交</x:v>
      </x:c>
      <x:c r="N14" s="20" t="n">
        <x:v>45195</x:v>
      </x:c>
      <x:c r="O14"/>
    </x:row>
    <x:row r="15" ht="20" customHeight="1">
      <x:c r="A15" t="str">
        <x:v>Q00014</x:v>
      </x:c>
      <x:c r="B15" s="20" t="n">
        <x:v>45197</x:v>
      </x:c>
      <x:c r="C15" t="str">
        <x:v>SEM-010</x:v>
      </x:c>
      <x:c r="D15" t="str">
        <x:v>S01</x:v>
      </x:c>
      <x:c r="E15" t="str">
        <x:v>SEMI-WH-A</x:v>
      </x:c>
      <x:c r="F15" t="str">
        <x:v>半導體設備零組件</x:v>
      </x:c>
      <x:c r="G15" t="n">
        <x:v>60</x:v>
      </x:c>
      <x:c r="H15" t="n">
        <x:v>113780.54</x:v>
      </x:c>
      <x:c r="I15" t="n">
        <x:v>88903.37</x:v>
      </x:c>
      <x:c r="J15" s="22" t="n">
        <x:v>0.21864169391356378</x:v>
      </x:c>
      <x:c r="K15" s="22" t="n">
        <x:v>0.052</x:v>
      </x:c>
      <x:c r="L15" t="n">
        <x:v>39</x:v>
      </x:c>
      <x:c r="M15" t="str">
        <x:v>成交</x:v>
      </x:c>
      <x:c r="N15" s="20" t="n">
        <x:v>45203</x:v>
      </x:c>
      <x:c r="O15"/>
    </x:row>
    <x:row r="16" ht="20" customHeight="1">
      <x:c r="A16" t="str">
        <x:v>Q00015</x:v>
      </x:c>
      <x:c r="B16" s="20" t="n">
        <x:v>45176</x:v>
      </x:c>
      <x:c r="C16" t="str">
        <x:v>AUT-008</x:v>
      </x:c>
      <x:c r="D16" t="str">
        <x:v>S01</x:v>
      </x:c>
      <x:c r="E16" t="str">
        <x:v>MECH-CON-B</x:v>
      </x:c>
      <x:c r="F16" t="str">
        <x:v>機電／自動化模組</x:v>
      </x:c>
      <x:c r="G16" t="n">
        <x:v>50</x:v>
      </x:c>
      <x:c r="H16" t="n">
        <x:v>150271.02</x:v>
      </x:c>
      <x:c r="I16" t="n">
        <x:v>121753.87</x:v>
      </x:c>
      <x:c r="J16" s="22" t="n">
        <x:v>0.18977145426975872</x:v>
      </x:c>
      <x:c r="K16" s="22" t="n">
        <x:v>0.0806</x:v>
      </x:c>
      <x:c r="L16" t="n">
        <x:v>46</x:v>
      </x:c>
      <x:c r="M16" t="str">
        <x:v>成交</x:v>
      </x:c>
      <x:c r="N16" s="20" t="n">
        <x:v>45186</x:v>
      </x:c>
      <x:c r="O16"/>
    </x:row>
    <x:row r="17" ht="20" customHeight="1">
      <x:c r="A17" t="str">
        <x:v>Q00016</x:v>
      </x:c>
      <x:c r="B17" s="20" t="n">
        <x:v>45178</x:v>
      </x:c>
      <x:c r="C17" t="str">
        <x:v>EMS-004</x:v>
      </x:c>
      <x:c r="D17" t="str">
        <x:v>S03</x:v>
      </x:c>
      <x:c r="E17" t="str">
        <x:v>AUTO-BS-B</x:v>
      </x:c>
      <x:c r="F17" t="str">
        <x:v>汽車精密零組件</x:v>
      </x:c>
      <x:c r="G17" t="n">
        <x:v>5000</x:v>
      </x:c>
      <x:c r="H17" t="n">
        <x:v>863.33</x:v>
      </x:c>
      <x:c r="I17" t="n">
        <x:v>660.39</x:v>
      </x:c>
      <x:c r="J17" s="22" t="n">
        <x:v>0.23506654465847363</x:v>
      </x:c>
      <x:c r="K17" s="22" t="n">
        <x:v>0.0979</x:v>
      </x:c>
      <x:c r="L17" t="n">
        <x:v>16</x:v>
      </x:c>
      <x:c r="M17" t="str">
        <x:v>成交</x:v>
      </x:c>
      <x:c r="N17" s="20" t="n">
        <x:v>45189</x:v>
      </x:c>
      <x:c r="O17"/>
    </x:row>
    <x:row r="18" ht="20" customHeight="1">
      <x:c r="A18" t="str">
        <x:v>Q00017</x:v>
      </x:c>
      <x:c r="B18" s="20" t="n">
        <x:v>45194</x:v>
      </x:c>
      <x:c r="C18" t="str">
        <x:v>AUT-009</x:v>
      </x:c>
      <x:c r="D18" t="str">
        <x:v>S04</x:v>
      </x:c>
      <x:c r="E18" t="str">
        <x:v>PM-ALB-B</x:v>
      </x:c>
      <x:c r="F18" t="str">
        <x:v>精密金屬加工件</x:v>
      </x:c>
      <x:c r="G18" t="n">
        <x:v>300</x:v>
      </x:c>
      <x:c r="H18" t="n">
        <x:v>15769.3</x:v>
      </x:c>
      <x:c r="I18" t="n">
        <x:v>11790.2</x:v>
      </x:c>
      <x:c r="J18" s="22" t="n">
        <x:v>0.25233206293240656</x:v>
      </x:c>
      <x:c r="K18" s="22" t="n">
        <x:v>0.0631</x:v>
      </x:c>
      <x:c r="L18" t="n">
        <x:v>25</x:v>
      </x:c>
      <x:c r="M18" t="str">
        <x:v>未成交</x:v>
      </x:c>
      <x:c r="N18" s="20" t="n">
        <x:v>45198</x:v>
      </x:c>
      <x:c r="O18" t="str">
        <x:v>規格</x:v>
      </x:c>
    </x:row>
    <x:row r="19" ht="20" customHeight="1">
      <x:c r="A19" t="str">
        <x:v>Q00018</x:v>
      </x:c>
      <x:c r="B19" s="20" t="n">
        <x:v>45176</x:v>
      </x:c>
      <x:c r="C19" t="str">
        <x:v>IAT-005</x:v>
      </x:c>
      <x:c r="D19" t="str">
        <x:v>S02</x:v>
      </x:c>
      <x:c r="E19" t="str">
        <x:v>MECH-STG-A</x:v>
      </x:c>
      <x:c r="F19" t="str">
        <x:v>機電／自動化模組</x:v>
      </x:c>
      <x:c r="G19" t="n">
        <x:v>50</x:v>
      </x:c>
      <x:c r="H19" t="n">
        <x:v>133755.46</x:v>
      </x:c>
      <x:c r="I19" t="n">
        <x:v>107709.72</x:v>
      </x:c>
      <x:c r="J19" s="22" t="n">
        <x:v>0.19472655546173587</x:v>
      </x:c>
      <x:c r="K19" s="22" t="n">
        <x:v>0.0939</x:v>
      </x:c>
      <x:c r="L19" t="n">
        <x:v>36</x:v>
      </x:c>
      <x:c r="M19" t="str">
        <x:v>成交</x:v>
      </x:c>
      <x:c r="N19" s="20" t="n">
        <x:v>45183</x:v>
      </x:c>
      <x:c r="O19"/>
    </x:row>
    <x:row r="20" ht="20" customHeight="1">
      <x:c r="A20" t="str">
        <x:v>Q00019</x:v>
      </x:c>
      <x:c r="B20" s="20" t="n">
        <x:v>45182</x:v>
      </x:c>
      <x:c r="C20" t="str">
        <x:v>SEM-008</x:v>
      </x:c>
      <x:c r="D20" t="str">
        <x:v>S04</x:v>
      </x:c>
      <x:c r="E20" t="str">
        <x:v>PM-SUS-A</x:v>
      </x:c>
      <x:c r="F20" t="str">
        <x:v>精密金屬加工件</x:v>
      </x:c>
      <x:c r="G20" t="n">
        <x:v>1200</x:v>
      </x:c>
      <x:c r="H20" t="n">
        <x:v>10701.06</x:v>
      </x:c>
      <x:c r="I20" t="n">
        <x:v>7616.1</x:v>
      </x:c>
      <x:c r="J20" s="22" t="n">
        <x:v>0.28828545957129476</x:v>
      </x:c>
      <x:c r="K20" s="22" t="n">
        <x:v>0.0314</x:v>
      </x:c>
      <x:c r="L20" t="n">
        <x:v>22</x:v>
      </x:c>
      <x:c r="M20" t="str">
        <x:v>未成交</x:v>
      </x:c>
      <x:c r="N20" s="20" t="n">
        <x:v>45186</x:v>
      </x:c>
      <x:c r="O20" t="str">
        <x:v>規格</x:v>
      </x:c>
    </x:row>
    <x:row r="21" ht="20" customHeight="1">
      <x:c r="A21" t="str">
        <x:v>Q00020</x:v>
      </x:c>
      <x:c r="B21" s="20" t="n">
        <x:v>45192</x:v>
      </x:c>
      <x:c r="C21" t="str">
        <x:v>SEM-005</x:v>
      </x:c>
      <x:c r="D21" t="str">
        <x:v>S06</x:v>
      </x:c>
      <x:c r="E21" t="str">
        <x:v>SEMI-WH-A</x:v>
      </x:c>
      <x:c r="F21" t="str">
        <x:v>半導體設備零組件</x:v>
      </x:c>
      <x:c r="G21" t="n">
        <x:v>80</x:v>
      </x:c>
      <x:c r="H21" t="n">
        <x:v>104532.33</x:v>
      </x:c>
      <x:c r="I21" t="n">
        <x:v>90499.81</x:v>
      </x:c>
      <x:c r="J21" s="22" t="n">
        <x:v>0.13424095684081666</x:v>
      </x:c>
      <x:c r="K21" s="22" t="n">
        <x:v>0.1279</x:v>
      </x:c>
      <x:c r="L21" t="n">
        <x:v>42</x:v>
      </x:c>
      <x:c r="M21" t="str">
        <x:v>成交</x:v>
      </x:c>
      <x:c r="N21" s="20" t="n">
        <x:v>45195</x:v>
      </x:c>
      <x:c r="O21"/>
    </x:row>
    <x:row r="22" ht="20" customHeight="1">
      <x:c r="A22" t="str">
        <x:v>Q00021</x:v>
      </x:c>
      <x:c r="B22" s="20" t="n">
        <x:v>45172</x:v>
      </x:c>
      <x:c r="C22" t="str">
        <x:v>IAT-001</x:v>
      </x:c>
      <x:c r="D22" t="str">
        <x:v>S05</x:v>
      </x:c>
      <x:c r="E22" t="str">
        <x:v>MECH-CON-A</x:v>
      </x:c>
      <x:c r="F22" t="str">
        <x:v>機電／自動化模組</x:v>
      </x:c>
      <x:c r="G22" t="n">
        <x:v>20</x:v>
      </x:c>
      <x:c r="H22" t="n">
        <x:v>113842.49</x:v>
      </x:c>
      <x:c r="I22" t="n">
        <x:v>84828.64</x:v>
      </x:c>
      <x:c r="J22" s="22" t="n">
        <x:v>0.25485958713657797</x:v>
      </x:c>
      <x:c r="K22" s="22" t="n">
        <x:v>0.0278</x:v>
      </x:c>
      <x:c r="L22" t="n">
        <x:v>39</x:v>
      </x:c>
      <x:c r="M22" t="str">
        <x:v>成交</x:v>
      </x:c>
      <x:c r="N22" s="20" t="n">
        <x:v>45175</x:v>
      </x:c>
      <x:c r="O22"/>
    </x:row>
    <x:row r="23" ht="20" customHeight="1">
      <x:c r="A23" t="str">
        <x:v>Q00022</x:v>
      </x:c>
      <x:c r="B23" s="20" t="n">
        <x:v>45187</x:v>
      </x:c>
      <x:c r="C23" t="str">
        <x:v>IAT-002</x:v>
      </x:c>
      <x:c r="D23" t="str">
        <x:v>S01</x:v>
      </x:c>
      <x:c r="E23" t="str">
        <x:v>AUTO-BS-B</x:v>
      </x:c>
      <x:c r="F23" t="str">
        <x:v>汽車精密零組件</x:v>
      </x:c>
      <x:c r="G23" t="n">
        <x:v>3000</x:v>
      </x:c>
      <x:c r="H23" t="n">
        <x:v>939.52</x:v>
      </x:c>
      <x:c r="I23" t="n">
        <x:v>647.29</x:v>
      </x:c>
      <x:c r="J23" s="22" t="n">
        <x:v>0.3110418085831063</x:v>
      </x:c>
      <x:c r="K23" s="22" t="n">
        <x:v>0.0279</x:v>
      </x:c>
      <x:c r="L23" t="n">
        <x:v>13</x:v>
      </x:c>
      <x:c r="M23" t="str">
        <x:v>成交</x:v>
      </x:c>
      <x:c r="N23" s="20" t="n">
        <x:v>45196</x:v>
      </x:c>
      <x:c r="O23"/>
    </x:row>
    <x:row r="24" ht="20" customHeight="1">
      <x:c r="A24" t="str">
        <x:v>Q00023</x:v>
      </x:c>
      <x:c r="B24" s="20" t="n">
        <x:v>45186</x:v>
      </x:c>
      <x:c r="C24" t="str">
        <x:v>AUT-011</x:v>
      </x:c>
      <x:c r="D24" t="str">
        <x:v>S02</x:v>
      </x:c>
      <x:c r="E24" t="str">
        <x:v>PM-VAC-B</x:v>
      </x:c>
      <x:c r="F24" t="str">
        <x:v>精密金屬加工件</x:v>
      </x:c>
      <x:c r="G24" t="n">
        <x:v>1200</x:v>
      </x:c>
      <x:c r="H24" t="n">
        <x:v>23174.35</x:v>
      </x:c>
      <x:c r="I24" t="n">
        <x:v>15193.03</x:v>
      </x:c>
      <x:c r="J24" s="22" t="n">
        <x:v>0.34440318714440743</x:v>
      </x:c>
      <x:c r="K24" s="22" t="n">
        <x:v>0.0219</x:v>
      </x:c>
      <x:c r="L24" t="n">
        <x:v>32</x:v>
      </x:c>
      <x:c r="M24" t="str">
        <x:v>成交</x:v>
      </x:c>
      <x:c r="N24" s="20" t="n">
        <x:v>45198</x:v>
      </x:c>
      <x:c r="O24"/>
    </x:row>
    <x:row r="25" ht="20" customHeight="1">
      <x:c r="A25" t="str">
        <x:v>Q00024</x:v>
      </x:c>
      <x:c r="B25" s="20" t="n">
        <x:v>45186</x:v>
      </x:c>
      <x:c r="C25" t="str">
        <x:v>SEM-010</x:v>
      </x:c>
      <x:c r="D25" t="str">
        <x:v>S01</x:v>
      </x:c>
      <x:c r="E25" t="str">
        <x:v>SEMI-WH-A</x:v>
      </x:c>
      <x:c r="F25" t="str">
        <x:v>半導體設備零組件</x:v>
      </x:c>
      <x:c r="G25" t="n">
        <x:v>60</x:v>
      </x:c>
      <x:c r="H25" t="n">
        <x:v>112200.79</x:v>
      </x:c>
      <x:c r="I25" t="n">
        <x:v>87480.2</x:v>
      </x:c>
      <x:c r="J25" s="22" t="n">
        <x:v>0.22032456277714263</x:v>
      </x:c>
      <x:c r="K25" s="22" t="n">
        <x:v>0.066</x:v>
      </x:c>
      <x:c r="L25" t="n">
        <x:v>38</x:v>
      </x:c>
      <x:c r="M25" t="str">
        <x:v>成交</x:v>
      </x:c>
      <x:c r="N25" s="20" t="n">
        <x:v>45190</x:v>
      </x:c>
      <x:c r="O25"/>
    </x:row>
    <x:row r="26" ht="20" customHeight="1">
      <x:c r="A26" t="str">
        <x:v>Q00025</x:v>
      </x:c>
      <x:c r="B26" s="20" t="n">
        <x:v>45193</x:v>
      </x:c>
      <x:c r="C26" t="str">
        <x:v>AUT-001</x:v>
      </x:c>
      <x:c r="D26" t="str">
        <x:v>S01</x:v>
      </x:c>
      <x:c r="E26" t="str">
        <x:v>AUTO-BRK-A</x:v>
      </x:c>
      <x:c r="F26" t="str">
        <x:v>汽車精密零組件</x:v>
      </x:c>
      <x:c r="G26" t="n">
        <x:v>7000</x:v>
      </x:c>
      <x:c r="H26" t="n">
        <x:v>1734.51</x:v>
      </x:c>
      <x:c r="I26" t="n">
        <x:v>1357.34</x:v>
      </x:c>
      <x:c r="J26" s="22" t="n">
        <x:v>0.21745046151362638</x:v>
      </x:c>
      <x:c r="K26" s="22" t="n">
        <x:v>0.0524</x:v>
      </x:c>
      <x:c r="L26" t="n">
        <x:v>15</x:v>
      </x:c>
      <x:c r="M26" t="str">
        <x:v>成交</x:v>
      </x:c>
      <x:c r="N26" s="20" t="n">
        <x:v>45205</x:v>
      </x:c>
      <x:c r="O26"/>
    </x:row>
    <x:row r="27" ht="20" customHeight="1">
      <x:c r="A27" t="str">
        <x:v>Q00026</x:v>
      </x:c>
      <x:c r="B27" s="20" t="n">
        <x:v>45198</x:v>
      </x:c>
      <x:c r="C27" t="str">
        <x:v>SEM-009</x:v>
      </x:c>
      <x:c r="D27" t="str">
        <x:v>S02</x:v>
      </x:c>
      <x:c r="E27" t="str">
        <x:v>SEMI-CHB-A</x:v>
      </x:c>
      <x:c r="F27" t="str">
        <x:v>半導體設備零組件</x:v>
      </x:c>
      <x:c r="G27" t="n">
        <x:v>60</x:v>
      </x:c>
      <x:c r="H27" t="n">
        <x:v>86756.7</x:v>
      </x:c>
      <x:c r="I27" t="n">
        <x:v>71365.09</x:v>
      </x:c>
      <x:c r="J27" s="22" t="n">
        <x:v>0.1774111970602847</x:v>
      </x:c>
      <x:c r="K27" s="22" t="n">
        <x:v>0.1098</x:v>
      </x:c>
      <x:c r="L27" t="n">
        <x:v>47</x:v>
      </x:c>
      <x:c r="M27" t="str">
        <x:v>未成交</x:v>
      </x:c>
      <x:c r="N27" s="20" t="n">
        <x:v>45207</x:v>
      </x:c>
      <x:c r="O27" t="str">
        <x:v>專案取消</x:v>
      </x:c>
    </x:row>
    <x:row r="28" ht="20" customHeight="1">
      <x:c r="A28" t="str">
        <x:v>Q00027</x:v>
      </x:c>
      <x:c r="B28" s="20" t="n">
        <x:v>45174</x:v>
      </x:c>
      <x:c r="C28" t="str">
        <x:v>SEM-006</x:v>
      </x:c>
      <x:c r="D28" t="str">
        <x:v>S06</x:v>
      </x:c>
      <x:c r="E28" t="str">
        <x:v>SEMI-WH-A</x:v>
      </x:c>
      <x:c r="F28" t="str">
        <x:v>半導體設備零組件</x:v>
      </x:c>
      <x:c r="G28" t="n">
        <x:v>160</x:v>
      </x:c>
      <x:c r="H28" t="n">
        <x:v>111793.72</x:v>
      </x:c>
      <x:c r="I28" t="n">
        <x:v>87583.2</x:v>
      </x:c>
      <x:c r="J28" s="22" t="n">
        <x:v>0.21656422203322337</x:v>
      </x:c>
      <x:c r="K28" s="22" t="n">
        <x:v>0.0727</x:v>
      </x:c>
      <x:c r="L28" t="n">
        <x:v>40</x:v>
      </x:c>
      <x:c r="M28" t="str">
        <x:v>成交</x:v>
      </x:c>
      <x:c r="N28" s="20" t="n">
        <x:v>45178</x:v>
      </x:c>
      <x:c r="O28"/>
    </x:row>
    <x:row r="29" ht="20" customHeight="1">
      <x:c r="A29" t="str">
        <x:v>Q00028</x:v>
      </x:c>
      <x:c r="B29" s="20" t="n">
        <x:v>45189</x:v>
      </x:c>
      <x:c r="C29" t="str">
        <x:v>IAT-002</x:v>
      </x:c>
      <x:c r="D29" t="str">
        <x:v>S01</x:v>
      </x:c>
      <x:c r="E29" t="str">
        <x:v>AUTO-KN-B</x:v>
      </x:c>
      <x:c r="F29" t="str">
        <x:v>汽車精密零組件</x:v>
      </x:c>
      <x:c r="G29" t="n">
        <x:v>7000</x:v>
      </x:c>
      <x:c r="H29" t="n">
        <x:v>3831.64</x:v>
      </x:c>
      <x:c r="I29" t="n">
        <x:v>2514.83</x:v>
      </x:c>
      <x:c r="J29" s="22" t="n">
        <x:v>0.3436674635404161</x:v>
      </x:c>
      <x:c r="K29" s="22" t="n">
        <x:v>0.0459</x:v>
      </x:c>
      <x:c r="L29" t="n">
        <x:v>19</x:v>
      </x:c>
      <x:c r="M29" t="str">
        <x:v>成交</x:v>
      </x:c>
      <x:c r="N29" s="20" t="n">
        <x:v>45194</x:v>
      </x:c>
      <x:c r="O29"/>
    </x:row>
    <x:row r="30" ht="20" customHeight="1">
      <x:c r="A30" t="str">
        <x:v>Q00029</x:v>
      </x:c>
      <x:c r="B30" s="20" t="n">
        <x:v>45172</x:v>
      </x:c>
      <x:c r="C30" t="str">
        <x:v>IAT-008</x:v>
      </x:c>
      <x:c r="D30" t="str">
        <x:v>S01</x:v>
      </x:c>
      <x:c r="E30" t="str">
        <x:v>MECH-STG-A</x:v>
      </x:c>
      <x:c r="F30" t="str">
        <x:v>機電／自動化模組</x:v>
      </x:c>
      <x:c r="G30" t="n">
        <x:v>40</x:v>
      </x:c>
      <x:c r="H30" t="n">
        <x:v>127077.16</x:v>
      </x:c>
      <x:c r="I30" t="n">
        <x:v>105180.04</x:v>
      </x:c>
      <x:c r="J30" s="22" t="n">
        <x:v>0.17231357704248354</x:v>
      </x:c>
      <x:c r="K30" s="22" t="n">
        <x:v>0.1403</x:v>
      </x:c>
      <x:c r="L30" t="n">
        <x:v>39</x:v>
      </x:c>
      <x:c r="M30" t="str">
        <x:v>未成交</x:v>
      </x:c>
      <x:c r="N30" s="20" t="n">
        <x:v>45184</x:v>
      </x:c>
      <x:c r="O30" t="str">
        <x:v>價格</x:v>
      </x:c>
    </x:row>
    <x:row r="31" ht="20" customHeight="1">
      <x:c r="A31" t="str">
        <x:v>Q00030</x:v>
      </x:c>
      <x:c r="B31" s="20" t="n">
        <x:v>45224</x:v>
      </x:c>
      <x:c r="C31" t="str">
        <x:v>EMS-008</x:v>
      </x:c>
      <x:c r="D31" t="str">
        <x:v>S02</x:v>
      </x:c>
      <x:c r="E31" t="str">
        <x:v>AUTO-FL-B</x:v>
      </x:c>
      <x:c r="F31" t="str">
        <x:v>汽車精密零組件</x:v>
      </x:c>
      <x:c r="G31" t="n">
        <x:v>10000</x:v>
      </x:c>
      <x:c r="H31" t="n">
        <x:v>1558.43</x:v>
      </x:c>
      <x:c r="I31" t="n">
        <x:v>1190.78</x:v>
      </x:c>
      <x:c r="J31" s="22" t="n">
        <x:v>0.23591049966953925</x:v>
      </x:c>
      <x:c r="K31" s="22" t="n">
        <x:v>0.0372</x:v>
      </x:c>
      <x:c r="L31" t="n">
        <x:v>16</x:v>
      </x:c>
      <x:c r="M31" t="str">
        <x:v>未成交</x:v>
      </x:c>
      <x:c r="N31" s="20" t="n">
        <x:v>45232</x:v>
      </x:c>
      <x:c r="O31" t="str">
        <x:v>價格</x:v>
      </x:c>
    </x:row>
    <x:row r="32" ht="20" customHeight="1">
      <x:c r="A32" t="str">
        <x:v>Q00031</x:v>
      </x:c>
      <x:c r="B32" s="20" t="n">
        <x:v>45227</x:v>
      </x:c>
      <x:c r="C32" t="str">
        <x:v>AFT-005</x:v>
      </x:c>
      <x:c r="D32" t="str">
        <x:v>S05</x:v>
      </x:c>
      <x:c r="E32" t="str">
        <x:v>AUTO-KN-A</x:v>
      </x:c>
      <x:c r="F32" t="str">
        <x:v>汽車精密零組件</x:v>
      </x:c>
      <x:c r="G32" t="n">
        <x:v>10000</x:v>
      </x:c>
      <x:c r="H32" t="n">
        <x:v>3198.26</x:v>
      </x:c>
      <x:c r="I32" t="n">
        <x:v>2173.64</x:v>
      </x:c>
      <x:c r="J32" s="22" t="n">
        <x:v>0.3203679500728522</x:v>
      </x:c>
      <x:c r="K32" s="22" t="n">
        <x:v>0.0596</x:v>
      </x:c>
      <x:c r="L32" t="n">
        <x:v>26</x:v>
      </x:c>
      <x:c r="M32" t="str">
        <x:v>成交</x:v>
      </x:c>
      <x:c r="N32" s="20" t="n">
        <x:v>45231</x:v>
      </x:c>
      <x:c r="O32"/>
    </x:row>
    <x:row r="33" ht="20" customHeight="1">
      <x:c r="A33" t="str">
        <x:v>Q00032</x:v>
      </x:c>
      <x:c r="B33" s="20" t="n">
        <x:v>45209</x:v>
      </x:c>
      <x:c r="C33" t="str">
        <x:v>IAT-006</x:v>
      </x:c>
      <x:c r="D33" t="str">
        <x:v>S01</x:v>
      </x:c>
      <x:c r="E33" t="str">
        <x:v>AUTO-BRK-A</x:v>
      </x:c>
      <x:c r="F33" t="str">
        <x:v>汽車精密零組件</x:v>
      </x:c>
      <x:c r="G33" t="n">
        <x:v>3000</x:v>
      </x:c>
      <x:c r="H33" t="n">
        <x:v>1617.32</x:v>
      </x:c>
      <x:c r="I33" t="n">
        <x:v>1397.44</x:v>
      </x:c>
      <x:c r="J33" s="22" t="n">
        <x:v>0.13595330546830553</x:v>
      </x:c>
      <x:c r="K33" s="22" t="n">
        <x:v>0.1129</x:v>
      </x:c>
      <x:c r="L33" t="n">
        <x:v>15</x:v>
      </x:c>
      <x:c r="M33" t="str">
        <x:v>未成交</x:v>
      </x:c>
      <x:c r="N33" s="20" t="n">
        <x:v>45213</x:v>
      </x:c>
      <x:c r="O33" t="str">
        <x:v>價格</x:v>
      </x:c>
    </x:row>
    <x:row r="34" ht="20" customHeight="1">
      <x:c r="A34" t="str">
        <x:v>Q00033</x:v>
      </x:c>
      <x:c r="B34" s="20" t="n">
        <x:v>45217</x:v>
      </x:c>
      <x:c r="C34" t="str">
        <x:v>EMS-006</x:v>
      </x:c>
      <x:c r="D34" t="str">
        <x:v>S03</x:v>
      </x:c>
      <x:c r="E34" t="str">
        <x:v>AUTO-FL-B</x:v>
      </x:c>
      <x:c r="F34" t="str">
        <x:v>汽車精密零組件</x:v>
      </x:c>
      <x:c r="G34" t="n">
        <x:v>5000</x:v>
      </x:c>
      <x:c r="H34" t="n">
        <x:v>1501.37</x:v>
      </x:c>
      <x:c r="I34" t="n">
        <x:v>1135.69</x:v>
      </x:c>
      <x:c r="J34" s="22" t="n">
        <x:v>0.24356421135363027</x:v>
      </x:c>
      <x:c r="K34" s="22" t="n">
        <x:v>0.0642</x:v>
      </x:c>
      <x:c r="L34" t="n">
        <x:v>18</x:v>
      </x:c>
      <x:c r="M34" t="str">
        <x:v>成交</x:v>
      </x:c>
      <x:c r="N34" s="20" t="n">
        <x:v>45225</x:v>
      </x:c>
      <x:c r="O34"/>
    </x:row>
    <x:row r="35" ht="20" customHeight="1">
      <x:c r="A35" t="str">
        <x:v>Q00034</x:v>
      </x:c>
      <x:c r="B35" s="20" t="n">
        <x:v>45228</x:v>
      </x:c>
      <x:c r="C35" t="str">
        <x:v>EMS-003</x:v>
      </x:c>
      <x:c r="D35" t="str">
        <x:v>S05</x:v>
      </x:c>
      <x:c r="E35" t="str">
        <x:v>PM-VAC-A</x:v>
      </x:c>
      <x:c r="F35" t="str">
        <x:v>精密金屬加工件</x:v>
      </x:c>
      <x:c r="G35" t="n">
        <x:v>1200</x:v>
      </x:c>
      <x:c r="H35" t="n">
        <x:v>16453.01</x:v>
      </x:c>
      <x:c r="I35" t="n">
        <x:v>10958.74</x:v>
      </x:c>
      <x:c r="J35" s="22" t="n">
        <x:v>0.33393707291249436</x:v>
      </x:c>
      <x:c r="K35" s="22" t="n">
        <x:v>0.01</x:v>
      </x:c>
      <x:c r="L35" t="n">
        <x:v>28</x:v>
      </x:c>
      <x:c r="M35" t="str">
        <x:v>成交</x:v>
      </x:c>
      <x:c r="N35" s="20" t="n">
        <x:v>45235</x:v>
      </x:c>
      <x:c r="O35"/>
    </x:row>
    <x:row r="36" ht="20" customHeight="1">
      <x:c r="A36" t="str">
        <x:v>Q00035</x:v>
      </x:c>
      <x:c r="B36" s="20" t="n">
        <x:v>45213</x:v>
      </x:c>
      <x:c r="C36" t="str">
        <x:v>AFT-006</x:v>
      </x:c>
      <x:c r="D36" t="str">
        <x:v>S01</x:v>
      </x:c>
      <x:c r="E36" t="str">
        <x:v>AUTO-BS-A</x:v>
      </x:c>
      <x:c r="F36" t="str">
        <x:v>汽車精密零組件</x:v>
      </x:c>
      <x:c r="G36" t="n">
        <x:v>3000</x:v>
      </x:c>
      <x:c r="H36" t="n">
        <x:v>768.86</x:v>
      </x:c>
      <x:c r="I36" t="n">
        <x:v>546.52</x:v>
      </x:c>
      <x:c r="J36" s="22" t="n">
        <x:v>0.2891813854277762</x:v>
      </x:c>
      <x:c r="K36" s="22" t="n">
        <x:v>0.0657</x:v>
      </x:c>
      <x:c r="L36" t="n">
        <x:v>12</x:v>
      </x:c>
      <x:c r="M36" t="str">
        <x:v>未成交</x:v>
      </x:c>
      <x:c r="N36" s="20" t="n">
        <x:v>45223</x:v>
      </x:c>
      <x:c r="O36" t="str">
        <x:v>競品</x:v>
      </x:c>
    </x:row>
    <x:row r="37" ht="20" customHeight="1">
      <x:c r="A37" t="str">
        <x:v>Q00036</x:v>
      </x:c>
      <x:c r="B37" s="20" t="n">
        <x:v>45229</x:v>
      </x:c>
      <x:c r="C37" t="str">
        <x:v>IAT-010</x:v>
      </x:c>
      <x:c r="D37" t="str">
        <x:v>S04</x:v>
      </x:c>
      <x:c r="E37" t="str">
        <x:v>MECH-STG-A</x:v>
      </x:c>
      <x:c r="F37" t="str">
        <x:v>機電／自動化模組</x:v>
      </x:c>
      <x:c r="G37" t="n">
        <x:v>50</x:v>
      </x:c>
      <x:c r="H37" t="n">
        <x:v>142588.12</x:v>
      </x:c>
      <x:c r="I37" t="n">
        <x:v>104677.45</x:v>
      </x:c>
      <x:c r="J37" s="22" t="n">
        <x:v>0.26587537587282867</x:v>
      </x:c>
      <x:c r="K37" s="22" t="n">
        <x:v>0.0318</x:v>
      </x:c>
      <x:c r="L37" t="n">
        <x:v>31</x:v>
      </x:c>
      <x:c r="M37" t="str">
        <x:v>成交</x:v>
      </x:c>
      <x:c r="N37" s="20" t="n">
        <x:v>45232</x:v>
      </x:c>
      <x:c r="O37"/>
    </x:row>
    <x:row r="38" ht="20" customHeight="1">
      <x:c r="A38" t="str">
        <x:v>Q00037</x:v>
      </x:c>
      <x:c r="B38" s="20" t="n">
        <x:v>45225</x:v>
      </x:c>
      <x:c r="C38" t="str">
        <x:v>EMS-004</x:v>
      </x:c>
      <x:c r="D38" t="str">
        <x:v>S03</x:v>
      </x:c>
      <x:c r="E38" t="str">
        <x:v>AUTO-MH-B</x:v>
      </x:c>
      <x:c r="F38" t="str">
        <x:v>汽車精密零組件</x:v>
      </x:c>
      <x:c r="G38" t="n">
        <x:v>13000</x:v>
      </x:c>
      <x:c r="H38" t="n">
        <x:v>3161.71</x:v>
      </x:c>
      <x:c r="I38" t="n">
        <x:v>2276.92</x:v>
      </x:c>
      <x:c r="J38" s="22" t="n">
        <x:v>0.27984540011576015</x:v>
      </x:c>
      <x:c r="K38" s="22" t="n">
        <x:v>0.0139</x:v>
      </x:c>
      <x:c r="L38" t="n">
        <x:v>24</x:v>
      </x:c>
      <x:c r="M38" t="str">
        <x:v>成交</x:v>
      </x:c>
      <x:c r="N38" s="20" t="n">
        <x:v>45234</x:v>
      </x:c>
      <x:c r="O38"/>
    </x:row>
    <x:row r="39" ht="20" customHeight="1">
      <x:c r="A39" t="str">
        <x:v>Q00038</x:v>
      </x:c>
      <x:c r="B39" s="20" t="n">
        <x:v>45225</x:v>
      </x:c>
      <x:c r="C39" t="str">
        <x:v>EMS-005</x:v>
      </x:c>
      <x:c r="D39" t="str">
        <x:v>S01</x:v>
      </x:c>
      <x:c r="E39" t="str">
        <x:v>PM-VAC-B</x:v>
      </x:c>
      <x:c r="F39" t="str">
        <x:v>精密金屬加工件</x:v>
      </x:c>
      <x:c r="G39" t="n">
        <x:v>500</x:v>
      </x:c>
      <x:c r="H39" t="n">
        <x:v>23122.09</x:v>
      </x:c>
      <x:c r="I39" t="n">
        <x:v>15371.9</x:v>
      </x:c>
      <x:c r="J39" s="22" t="n">
        <x:v>0.33518553037376814</x:v>
      </x:c>
      <x:c r="K39" s="22" t="n">
        <x:v>0.0206</x:v>
      </x:c>
      <x:c r="L39" t="n">
        <x:v>31</x:v>
      </x:c>
      <x:c r="M39" t="str">
        <x:v>成交</x:v>
      </x:c>
      <x:c r="N39" s="20" t="n">
        <x:v>45236</x:v>
      </x:c>
      <x:c r="O39"/>
    </x:row>
    <x:row r="40" ht="20" customHeight="1">
      <x:c r="A40" t="str">
        <x:v>Q00039</x:v>
      </x:c>
      <x:c r="B40" s="20" t="n">
        <x:v>45205</x:v>
      </x:c>
      <x:c r="C40" t="str">
        <x:v>AUT-012</x:v>
      </x:c>
      <x:c r="D40" t="str">
        <x:v>S06</x:v>
      </x:c>
      <x:c r="E40" t="str">
        <x:v>AUTO-MH-A</x:v>
      </x:c>
      <x:c r="F40" t="str">
        <x:v>汽車精密零組件</x:v>
      </x:c>
      <x:c r="G40" t="n">
        <x:v>10000</x:v>
      </x:c>
      <x:c r="H40" t="n">
        <x:v>2605.53</x:v>
      </x:c>
      <x:c r="I40" t="n">
        <x:v>1991.28</x:v>
      </x:c>
      <x:c r="J40" s="22" t="n">
        <x:v>0.23574858090292578</x:v>
      </x:c>
      <x:c r="K40" s="22" t="n">
        <x:v>0.0412</x:v>
      </x:c>
      <x:c r="L40" t="n">
        <x:v>16</x:v>
      </x:c>
      <x:c r="M40" t="str">
        <x:v>成交</x:v>
      </x:c>
      <x:c r="N40" s="20" t="n">
        <x:v>45215</x:v>
      </x:c>
      <x:c r="O40"/>
    </x:row>
    <x:row r="41" ht="20" customHeight="1">
      <x:c r="A41" t="str">
        <x:v>Q00040</x:v>
      </x:c>
      <x:c r="B41" s="20" t="n">
        <x:v>45220</x:v>
      </x:c>
      <x:c r="C41" t="str">
        <x:v>IAT-006</x:v>
      </x:c>
      <x:c r="D41" t="str">
        <x:v>S01</x:v>
      </x:c>
      <x:c r="E41" t="str">
        <x:v>AUTO-BS-A</x:v>
      </x:c>
      <x:c r="F41" t="str">
        <x:v>汽車精密零組件</x:v>
      </x:c>
      <x:c r="G41" t="n">
        <x:v>7000</x:v>
      </x:c>
      <x:c r="H41" t="n">
        <x:v>776.75</x:v>
      </x:c>
      <x:c r="I41" t="n">
        <x:v>534.43</x:v>
      </x:c>
      <x:c r="J41" s="22" t="n">
        <x:v>0.3119665271966528</x:v>
      </x:c>
      <x:c r="K41" s="22" t="n">
        <x:v>0.0481</x:v>
      </x:c>
      <x:c r="L41" t="n">
        <x:v>13</x:v>
      </x:c>
      <x:c r="M41" t="str">
        <x:v>未成交</x:v>
      </x:c>
      <x:c r="N41" s="20" t="n">
        <x:v>45229</x:v>
      </x:c>
      <x:c r="O41" t="str">
        <x:v>交期</x:v>
      </x:c>
    </x:row>
    <x:row r="42" ht="20" customHeight="1">
      <x:c r="A42" t="str">
        <x:v>Q00041</x:v>
      </x:c>
      <x:c r="B42" s="20" t="n">
        <x:v>45213</x:v>
      </x:c>
      <x:c r="C42" t="str">
        <x:v>AUT-001</x:v>
      </x:c>
      <x:c r="D42" t="str">
        <x:v>S01</x:v>
      </x:c>
      <x:c r="E42" t="str">
        <x:v>AUTO-BRK-A</x:v>
      </x:c>
      <x:c r="F42" t="str">
        <x:v>汽車精密零組件</x:v>
      </x:c>
      <x:c r="G42" t="n">
        <x:v>3000</x:v>
      </x:c>
      <x:c r="H42" t="n">
        <x:v>1686.21</x:v>
      </x:c>
      <x:c r="I42" t="n">
        <x:v>1434.33</x:v>
      </x:c>
      <x:c r="J42" s="22" t="n">
        <x:v>0.14937641219065248</x:v>
      </x:c>
      <x:c r="K42" s="22" t="n">
        <x:v>0.0877</x:v>
      </x:c>
      <x:c r="L42" t="n">
        <x:v>18</x:v>
      </x:c>
      <x:c r="M42" t="str">
        <x:v>未成交</x:v>
      </x:c>
      <x:c r="N42" s="20" t="n">
        <x:v>45217</x:v>
      </x:c>
      <x:c r="O42" t="str">
        <x:v>競品</x:v>
      </x:c>
    </x:row>
    <x:row r="43" ht="20" customHeight="1">
      <x:c r="A43" t="str">
        <x:v>Q00042</x:v>
      </x:c>
      <x:c r="B43" s="20" t="n">
        <x:v>45208</x:v>
      </x:c>
      <x:c r="C43" t="str">
        <x:v>AFT-008</x:v>
      </x:c>
      <x:c r="D43" t="str">
        <x:v>S04</x:v>
      </x:c>
      <x:c r="E43" t="str">
        <x:v>AUTO-BS-A</x:v>
      </x:c>
      <x:c r="F43" t="str">
        <x:v>汽車精密零組件</x:v>
      </x:c>
      <x:c r="G43" t="n">
        <x:v>3000</x:v>
      </x:c>
      <x:c r="H43" t="n">
        <x:v>718.33</x:v>
      </x:c>
      <x:c r="I43" t="n">
        <x:v>540.71</x:v>
      </x:c>
      <x:c r="J43" s="22" t="n">
        <x:v>0.24726796876087592</x:v>
      </x:c>
      <x:c r="K43" s="22" t="n">
        <x:v>0.1121</x:v>
      </x:c>
      <x:c r="L43" t="n">
        <x:v>13</x:v>
      </x:c>
      <x:c r="M43" t="str">
        <x:v>未成交</x:v>
      </x:c>
      <x:c r="N43" s="20" t="n">
        <x:v>45215</x:v>
      </x:c>
      <x:c r="O43" t="str">
        <x:v>競品</x:v>
      </x:c>
    </x:row>
    <x:row r="44" ht="20" customHeight="1">
      <x:c r="A44" t="str">
        <x:v>Q00043</x:v>
      </x:c>
      <x:c r="B44" s="20" t="n">
        <x:v>45216</x:v>
      </x:c>
      <x:c r="C44" t="str">
        <x:v>IAT-006</x:v>
      </x:c>
      <x:c r="D44" t="str">
        <x:v>S01</x:v>
      </x:c>
      <x:c r="E44" t="str">
        <x:v>AUTO-KN-B</x:v>
      </x:c>
      <x:c r="F44" t="str">
        <x:v>汽車精密零組件</x:v>
      </x:c>
      <x:c r="G44" t="n">
        <x:v>10000</x:v>
      </x:c>
      <x:c r="H44" t="n">
        <x:v>3569.94</x:v>
      </x:c>
      <x:c r="I44" t="n">
        <x:v>2681.08</x:v>
      </x:c>
      <x:c r="J44" s="22" t="n">
        <x:v>0.24898457677159844</x:v>
      </x:c>
      <x:c r="K44" s="22" t="n">
        <x:v>0.1074</x:v>
      </x:c>
      <x:c r="L44" t="n">
        <x:v>28</x:v>
      </x:c>
      <x:c r="M44" t="str">
        <x:v>未成交</x:v>
      </x:c>
      <x:c r="N44" s="20" t="n">
        <x:v>45228</x:v>
      </x:c>
      <x:c r="O44" t="str">
        <x:v>規格</x:v>
      </x:c>
    </x:row>
    <x:row r="45" ht="20" customHeight="1">
      <x:c r="A45" t="str">
        <x:v>Q00044</x:v>
      </x:c>
      <x:c r="B45" s="20" t="n">
        <x:v>45230</x:v>
      </x:c>
      <x:c r="C45" t="str">
        <x:v>EMS-003</x:v>
      </x:c>
      <x:c r="D45" t="str">
        <x:v>S05</x:v>
      </x:c>
      <x:c r="E45" t="str">
        <x:v>PM-VAC-B</x:v>
      </x:c>
      <x:c r="F45" t="str">
        <x:v>精密金屬加工件</x:v>
      </x:c>
      <x:c r="G45" t="n">
        <x:v>500</x:v>
      </x:c>
      <x:c r="H45" t="n">
        <x:v>21871.12</x:v>
      </x:c>
      <x:c r="I45" t="n">
        <x:v>15264.92</x:v>
      </x:c>
      <x:c r="J45" s="22" t="n">
        <x:v>0.3020512895544444</x:v>
      </x:c>
      <x:c r="K45" s="22" t="n">
        <x:v>0.0685</x:v>
      </x:c>
      <x:c r="L45" t="n">
        <x:v>36</x:v>
      </x:c>
      <x:c r="M45" t="str">
        <x:v>成交</x:v>
      </x:c>
      <x:c r="N45" s="20" t="n">
        <x:v>45239</x:v>
      </x:c>
      <x:c r="O45"/>
    </x:row>
    <x:row r="46" ht="20" customHeight="1">
      <x:c r="A46" t="str">
        <x:v>Q00045</x:v>
      </x:c>
      <x:c r="B46" s="20" t="n">
        <x:v>45201</x:v>
      </x:c>
      <x:c r="C46" t="str">
        <x:v>EMS-007</x:v>
      </x:c>
      <x:c r="D46" t="str">
        <x:v>S04</x:v>
      </x:c>
      <x:c r="E46" t="str">
        <x:v>MECH-STG-A</x:v>
      </x:c>
      <x:c r="F46" t="str">
        <x:v>機電／自動化模組</x:v>
      </x:c>
      <x:c r="G46" t="n">
        <x:v>10</x:v>
      </x:c>
      <x:c r="H46" t="n">
        <x:v>141052.06</x:v>
      </x:c>
      <x:c r="I46" t="n">
        <x:v>102520.93</x:v>
      </x:c>
      <x:c r="J46" s="22" t="n">
        <x:v>0.27316956590353947</x:v>
      </x:c>
      <x:c r="K46" s="22" t="n">
        <x:v>0.0384</x:v>
      </x:c>
      <x:c r="L46" t="n">
        <x:v>45</x:v>
      </x:c>
      <x:c r="M46" t="str">
        <x:v>成交</x:v>
      </x:c>
      <x:c r="N46" s="20" t="n">
        <x:v>45211</x:v>
      </x:c>
      <x:c r="O46"/>
    </x:row>
    <x:row r="47" ht="20" customHeight="1">
      <x:c r="A47" t="str">
        <x:v>Q00046</x:v>
      </x:c>
      <x:c r="B47" s="20" t="n">
        <x:v>45224</x:v>
      </x:c>
      <x:c r="C47" t="str">
        <x:v>IAT-007</x:v>
      </x:c>
      <x:c r="D47" t="str">
        <x:v>S04</x:v>
      </x:c>
      <x:c r="E47" t="str">
        <x:v>PM-ALB-A</x:v>
      </x:c>
      <x:c r="F47" t="str">
        <x:v>精密金屬加工件</x:v>
      </x:c>
      <x:c r="G47" t="n">
        <x:v>800</x:v>
      </x:c>
      <x:c r="H47" t="n">
        <x:v>11112.61</x:v>
      </x:c>
      <x:c r="I47" t="n">
        <x:v>8103.13</x:v>
      </x:c>
      <x:c r="J47" s="22" t="n">
        <x:v>0.27081666683164446</x:v>
      </x:c>
      <x:c r="K47" s="22" t="n">
        <x:v>0.0722</x:v>
      </x:c>
      <x:c r="L47" t="n">
        <x:v>27</x:v>
      </x:c>
      <x:c r="M47" t="str">
        <x:v>成交</x:v>
      </x:c>
      <x:c r="N47" s="20" t="n">
        <x:v>45234</x:v>
      </x:c>
      <x:c r="O47"/>
    </x:row>
    <x:row r="48" ht="20" customHeight="1">
      <x:c r="A48" t="str">
        <x:v>Q00047</x:v>
      </x:c>
      <x:c r="B48" s="20" t="n">
        <x:v>45225</x:v>
      </x:c>
      <x:c r="C48" t="str">
        <x:v>AUT-001</x:v>
      </x:c>
      <x:c r="D48" t="str">
        <x:v>S01</x:v>
      </x:c>
      <x:c r="E48" t="str">
        <x:v>PM-BRG-A</x:v>
      </x:c>
      <x:c r="F48" t="str">
        <x:v>精密金屬加工件</x:v>
      </x:c>
      <x:c r="G48" t="n">
        <x:v>500</x:v>
      </x:c>
      <x:c r="H48" t="n">
        <x:v>6932.09</x:v>
      </x:c>
      <x:c r="I48" t="n">
        <x:v>4451.11</x:v>
      </x:c>
      <x:c r="J48" s="22" t="n">
        <x:v>0.3578978345636021</x:v>
      </x:c>
      <x:c r="K48" s="22" t="n">
        <x:v>0.0473</x:v>
      </x:c>
      <x:c r="L48" t="n">
        <x:v>21</x:v>
      </x:c>
      <x:c r="M48" t="str">
        <x:v>成交</x:v>
      </x:c>
      <x:c r="N48" s="20" t="n">
        <x:v>45237</x:v>
      </x:c>
      <x:c r="O48"/>
    </x:row>
    <x:row r="49" ht="20" customHeight="1">
      <x:c r="A49" t="str">
        <x:v>Q00048</x:v>
      </x:c>
      <x:c r="B49" s="20" t="n">
        <x:v>45229</x:v>
      </x:c>
      <x:c r="C49" t="str">
        <x:v>IAT-003</x:v>
      </x:c>
      <x:c r="D49" t="str">
        <x:v>S04</x:v>
      </x:c>
      <x:c r="E49" t="str">
        <x:v>PM-SUS-A</x:v>
      </x:c>
      <x:c r="F49" t="str">
        <x:v>精密金屬加工件</x:v>
      </x:c>
      <x:c r="G49" t="n">
        <x:v>1600</x:v>
      </x:c>
      <x:c r="H49" t="n">
        <x:v>9584.24</x:v>
      </x:c>
      <x:c r="I49" t="n">
        <x:v>7555.23</x:v>
      </x:c>
      <x:c r="J49" s="22" t="n">
        <x:v>0.21170275368730335</x:v>
      </x:c>
      <x:c r="K49" s="22" t="n">
        <x:v>0.136</x:v>
      </x:c>
      <x:c r="L49" t="n">
        <x:v>24</x:v>
      </x:c>
      <x:c r="M49" t="str">
        <x:v>未成交</x:v>
      </x:c>
      <x:c r="N49" s="20" t="n">
        <x:v>45239</x:v>
      </x:c>
      <x:c r="O49" t="str">
        <x:v>交期</x:v>
      </x:c>
    </x:row>
    <x:row r="50" ht="20" customHeight="1">
      <x:c r="A50" t="str">
        <x:v>Q00049</x:v>
      </x:c>
      <x:c r="B50" s="20" t="n">
        <x:v>45200</x:v>
      </x:c>
      <x:c r="C50" t="str">
        <x:v>IAT-006</x:v>
      </x:c>
      <x:c r="D50" t="str">
        <x:v>S01</x:v>
      </x:c>
      <x:c r="E50" t="str">
        <x:v>AUTO-MH-B</x:v>
      </x:c>
      <x:c r="F50" t="str">
        <x:v>汽車精密零組件</x:v>
      </x:c>
      <x:c r="G50" t="n">
        <x:v>3000</x:v>
      </x:c>
      <x:c r="H50" t="n">
        <x:v>3151.57</x:v>
      </x:c>
      <x:c r="I50" t="n">
        <x:v>2270.49</x:v>
      </x:c>
      <x:c r="J50" s="22" t="n">
        <x:v>0.27956859596962796</x:v>
      </x:c>
      <x:c r="K50" s="22" t="n">
        <x:v>0.0155</x:v>
      </x:c>
      <x:c r="L50" t="n">
        <x:v>19</x:v>
      </x:c>
      <x:c r="M50" t="str">
        <x:v>成交</x:v>
      </x:c>
      <x:c r="N50" s="20" t="n">
        <x:v>45203</x:v>
      </x:c>
      <x:c r="O50"/>
    </x:row>
    <x:row r="51" ht="20" customHeight="1">
      <x:c r="A51" t="str">
        <x:v>Q00050</x:v>
      </x:c>
      <x:c r="B51" s="20" t="n">
        <x:v>45203</x:v>
      </x:c>
      <x:c r="C51" t="str">
        <x:v>EMS-004</x:v>
      </x:c>
      <x:c r="D51" t="str">
        <x:v>S03</x:v>
      </x:c>
      <x:c r="E51" t="str">
        <x:v>AUTO-KN-A</x:v>
      </x:c>
      <x:c r="F51" t="str">
        <x:v>汽車精密零組件</x:v>
      </x:c>
      <x:c r="G51" t="n">
        <x:v>10000</x:v>
      </x:c>
      <x:c r="H51" t="n">
        <x:v>3244.45</x:v>
      </x:c>
      <x:c r="I51" t="n">
        <x:v>2183.27</x:v>
      </x:c>
      <x:c r="J51" s="22" t="n">
        <x:v>0.3270754673365285</x:v>
      </x:c>
      <x:c r="K51" s="22" t="n">
        <x:v>0.0372</x:v>
      </x:c>
      <x:c r="L51" t="n">
        <x:v>23</x:v>
      </x:c>
      <x:c r="M51" t="str">
        <x:v>成交</x:v>
      </x:c>
      <x:c r="N51" s="20" t="n">
        <x:v>45212</x:v>
      </x:c>
      <x:c r="O51"/>
    </x:row>
    <x:row r="52" ht="20" customHeight="1">
      <x:c r="A52" t="str">
        <x:v>Q00051</x:v>
      </x:c>
      <x:c r="B52" s="20" t="n">
        <x:v>45220</x:v>
      </x:c>
      <x:c r="C52" t="str">
        <x:v>EMS-004</x:v>
      </x:c>
      <x:c r="D52" t="str">
        <x:v>S03</x:v>
      </x:c>
      <x:c r="E52" t="str">
        <x:v>MECH-CON-B</x:v>
      </x:c>
      <x:c r="F52" t="str">
        <x:v>機電／自動化模組</x:v>
      </x:c>
      <x:c r="G52" t="n">
        <x:v>10</x:v>
      </x:c>
      <x:c r="H52" t="n">
        <x:v>161183.06</x:v>
      </x:c>
      <x:c r="I52" t="n">
        <x:v>119727.37</x:v>
      </x:c>
      <x:c r="J52" s="22" t="n">
        <x:v>0.2571963207547989</x:v>
      </x:c>
      <x:c r="K52" s="22" t="n">
        <x:v>0.0363</x:v>
      </x:c>
      <x:c r="L52" t="n">
        <x:v>44</x:v>
      </x:c>
      <x:c r="M52" t="str">
        <x:v>成交</x:v>
      </x:c>
      <x:c r="N52" s="20" t="n">
        <x:v>45223</x:v>
      </x:c>
      <x:c r="O52"/>
    </x:row>
    <x:row r="53" ht="20" customHeight="1">
      <x:c r="A53" t="str">
        <x:v>Q00052</x:v>
      </x:c>
      <x:c r="B53" s="20" t="n">
        <x:v>45222</x:v>
      </x:c>
      <x:c r="C53" t="str">
        <x:v>AUT-002</x:v>
      </x:c>
      <x:c r="D53" t="str">
        <x:v>S04</x:v>
      </x:c>
      <x:c r="E53" t="str">
        <x:v>AUTO-FL-A</x:v>
      </x:c>
      <x:c r="F53" t="str">
        <x:v>汽車精密零組件</x:v>
      </x:c>
      <x:c r="G53" t="n">
        <x:v>3000</x:v>
      </x:c>
      <x:c r="H53" t="n">
        <x:v>1283.3</x:v>
      </x:c>
      <x:c r="I53" t="n">
        <x:v>999.34</x:v>
      </x:c>
      <x:c r="J53" s="22" t="n">
        <x:v>0.22127327982544995</x:v>
      </x:c>
      <x:c r="K53" s="22" t="n">
        <x:v>0.0639</x:v>
      </x:c>
      <x:c r="L53" t="n">
        <x:v>12</x:v>
      </x:c>
      <x:c r="M53" t="str">
        <x:v>成交</x:v>
      </x:c>
      <x:c r="N53" s="20" t="n">
        <x:v>45229</x:v>
      </x:c>
      <x:c r="O53"/>
    </x:row>
    <x:row r="54" ht="20" customHeight="1">
      <x:c r="A54" t="str">
        <x:v>Q00053</x:v>
      </x:c>
      <x:c r="B54" s="20" t="n">
        <x:v>45222</x:v>
      </x:c>
      <x:c r="C54" t="str">
        <x:v>AFT-006</x:v>
      </x:c>
      <x:c r="D54" t="str">
        <x:v>S01</x:v>
      </x:c>
      <x:c r="E54" t="str">
        <x:v>AUTO-BRK-A</x:v>
      </x:c>
      <x:c r="F54" t="str">
        <x:v>汽車精密零組件</x:v>
      </x:c>
      <x:c r="G54" t="n">
        <x:v>5000</x:v>
      </x:c>
      <x:c r="H54" t="n">
        <x:v>1717.25</x:v>
      </x:c>
      <x:c r="I54" t="n">
        <x:v>1394.35</x:v>
      </x:c>
      <x:c r="J54" s="22" t="n">
        <x:v>0.18803319260445486</x:v>
      </x:c>
      <x:c r="K54" s="22" t="n">
        <x:v>0.0615</x:v>
      </x:c>
      <x:c r="L54" t="n">
        <x:v>18</x:v>
      </x:c>
      <x:c r="M54" t="str">
        <x:v>成交</x:v>
      </x:c>
      <x:c r="N54" s="20" t="n">
        <x:v>45230</x:v>
      </x:c>
      <x:c r="O54"/>
    </x:row>
    <x:row r="55" ht="20" customHeight="1">
      <x:c r="A55" t="str">
        <x:v>Q00054</x:v>
      </x:c>
      <x:c r="B55" s="20" t="n">
        <x:v>45209</x:v>
      </x:c>
      <x:c r="C55" t="str">
        <x:v>AUT-006</x:v>
      </x:c>
      <x:c r="D55" t="str">
        <x:v>S03</x:v>
      </x:c>
      <x:c r="E55" t="str">
        <x:v>AUTO-KN-B</x:v>
      </x:c>
      <x:c r="F55" t="str">
        <x:v>汽車精密零組件</x:v>
      </x:c>
      <x:c r="G55" t="n">
        <x:v>13000</x:v>
      </x:c>
      <x:c r="H55" t="n">
        <x:v>3852.54</x:v>
      </x:c>
      <x:c r="I55" t="n">
        <x:v>2663.49</x:v>
      </x:c>
      <x:c r="J55" s="22" t="n">
        <x:v>0.3086405332585775</x:v>
      </x:c>
      <x:c r="K55" s="22" t="n">
        <x:v>0.0469</x:v>
      </x:c>
      <x:c r="L55" t="n">
        <x:v>20</x:v>
      </x:c>
      <x:c r="M55" t="str">
        <x:v>成交</x:v>
      </x:c>
      <x:c r="N55" s="20" t="n">
        <x:v>45219</x:v>
      </x:c>
      <x:c r="O55"/>
    </x:row>
    <x:row r="56" ht="20" customHeight="1">
      <x:c r="A56" t="str">
        <x:v>Q00055</x:v>
      </x:c>
      <x:c r="B56" s="20" t="n">
        <x:v>45218</x:v>
      </x:c>
      <x:c r="C56" t="str">
        <x:v>AUT-003</x:v>
      </x:c>
      <x:c r="D56" t="str">
        <x:v>S03</x:v>
      </x:c>
      <x:c r="E56" t="str">
        <x:v>AUTO-FL-A</x:v>
      </x:c>
      <x:c r="F56" t="str">
        <x:v>汽車精密零組件</x:v>
      </x:c>
      <x:c r="G56" t="n">
        <x:v>5000</x:v>
      </x:c>
      <x:c r="H56" t="n">
        <x:v>1279</x:v>
      </x:c>
      <x:c r="I56" t="n">
        <x:v>980.73</x:v>
      </x:c>
      <x:c r="J56" s="22" t="n">
        <x:v>0.23320562939796716</x:v>
      </x:c>
      <x:c r="K56" s="22" t="n">
        <x:v>0.0866</x:v>
      </x:c>
      <x:c r="L56" t="n">
        <x:v>14</x:v>
      </x:c>
      <x:c r="M56" t="str">
        <x:v>未成交</x:v>
      </x:c>
      <x:c r="N56" s="20" t="n">
        <x:v>45226</x:v>
      </x:c>
      <x:c r="O56" t="str">
        <x:v>競品</x:v>
      </x:c>
    </x:row>
    <x:row r="57" ht="20" customHeight="1">
      <x:c r="A57" t="str">
        <x:v>Q00056</x:v>
      </x:c>
      <x:c r="B57" s="20" t="n">
        <x:v>45213</x:v>
      </x:c>
      <x:c r="C57" t="str">
        <x:v>AFT-006</x:v>
      </x:c>
      <x:c r="D57" t="str">
        <x:v>S01</x:v>
      </x:c>
      <x:c r="E57" t="str">
        <x:v>AUTO-LG-A</x:v>
      </x:c>
      <x:c r="F57" t="str">
        <x:v>汽車精密零組件</x:v>
      </x:c>
      <x:c r="G57" t="n">
        <x:v>7000</x:v>
      </x:c>
      <x:c r="H57" t="n">
        <x:v>1071.89</x:v>
      </x:c>
      <x:c r="I57" t="n">
        <x:v>865.83</x:v>
      </x:c>
      <x:c r="J57" s="22" t="n">
        <x:v>0.19223987536034484</x:v>
      </x:c>
      <x:c r="K57" s="22" t="n">
        <x:v>0.0885</x:v>
      </x:c>
      <x:c r="L57" t="n">
        <x:v>15</x:v>
      </x:c>
      <x:c r="M57" t="str">
        <x:v>成交</x:v>
      </x:c>
      <x:c r="N57" s="20" t="n">
        <x:v>45216</x:v>
      </x:c>
      <x:c r="O57"/>
    </x:row>
    <x:row r="58" ht="20" customHeight="1">
      <x:c r="A58" t="str">
        <x:v>Q00057</x:v>
      </x:c>
      <x:c r="B58" s="20" t="n">
        <x:v>45207</x:v>
      </x:c>
      <x:c r="C58" t="str">
        <x:v>AUT-008</x:v>
      </x:c>
      <x:c r="D58" t="str">
        <x:v>S01</x:v>
      </x:c>
      <x:c r="E58" t="str">
        <x:v>PM-BRG-A</x:v>
      </x:c>
      <x:c r="F58" t="str">
        <x:v>精密金屬加工件</x:v>
      </x:c>
      <x:c r="G58" t="n">
        <x:v>800</x:v>
      </x:c>
      <x:c r="H58" t="n">
        <x:v>6947.56</x:v>
      </x:c>
      <x:c r="I58" t="n">
        <x:v>4338.64</x:v>
      </x:c>
      <x:c r="J58" s="22" t="n">
        <x:v>0.3755160084979475</x:v>
      </x:c>
      <x:c r="K58" s="22" t="n">
        <x:v>0.0349</x:v>
      </x:c>
      <x:c r="L58" t="n">
        <x:v>21</x:v>
      </x:c>
      <x:c r="M58" t="str">
        <x:v>未成交</x:v>
      </x:c>
      <x:c r="N58" s="20" t="n">
        <x:v>45219</x:v>
      </x:c>
      <x:c r="O58" t="str">
        <x:v>專案取消</x:v>
      </x:c>
    </x:row>
    <x:row r="59" ht="20" customHeight="1">
      <x:c r="A59" t="str">
        <x:v>Q00058</x:v>
      </x:c>
      <x:c r="B59" s="20" t="n">
        <x:v>45223</x:v>
      </x:c>
      <x:c r="C59" t="str">
        <x:v>IAT-001</x:v>
      </x:c>
      <x:c r="D59" t="str">
        <x:v>S05</x:v>
      </x:c>
      <x:c r="E59" t="str">
        <x:v>MECH-CON-B</x:v>
      </x:c>
      <x:c r="F59" t="str">
        <x:v>機電／自動化模組</x:v>
      </x:c>
      <x:c r="G59" t="n">
        <x:v>30</x:v>
      </x:c>
      <x:c r="H59" t="n">
        <x:v>161368.1</x:v>
      </x:c>
      <x:c r="I59" t="n">
        <x:v>121567.65</x:v>
      </x:c>
      <x:c r="J59" s="22" t="n">
        <x:v>0.24664385340101302</x:v>
      </x:c>
      <x:c r="K59" s="22" t="n">
        <x:v>0.0215</x:v>
      </x:c>
      <x:c r="L59" t="n">
        <x:v>46</x:v>
      </x:c>
      <x:c r="M59" t="str">
        <x:v>成交</x:v>
      </x:c>
      <x:c r="N59" s="20" t="n">
        <x:v>45230</x:v>
      </x:c>
      <x:c r="O59"/>
    </x:row>
    <x:row r="60" ht="20" customHeight="1">
      <x:c r="A60" t="str">
        <x:v>Q00059</x:v>
      </x:c>
      <x:c r="B60" s="20" t="n">
        <x:v>45220</x:v>
      </x:c>
      <x:c r="C60" t="str">
        <x:v>AUT-002</x:v>
      </x:c>
      <x:c r="D60" t="str">
        <x:v>S04</x:v>
      </x:c>
      <x:c r="E60" t="str">
        <x:v>PM-VAC-B</x:v>
      </x:c>
      <x:c r="F60" t="str">
        <x:v>精密金屬加工件</x:v>
      </x:c>
      <x:c r="G60" t="n">
        <x:v>1200</x:v>
      </x:c>
      <x:c r="H60" t="n">
        <x:v>23121.85</x:v>
      </x:c>
      <x:c r="I60" t="n">
        <x:v>15467.36</x:v>
      </x:c>
      <x:c r="J60" s="22" t="n">
        <x:v>0.3310500673605269</x:v>
      </x:c>
      <x:c r="K60" s="22" t="n">
        <x:v>0.0287</x:v>
      </x:c>
      <x:c r="L60" t="n">
        <x:v>36</x:v>
      </x:c>
      <x:c r="M60" t="str">
        <x:v>未成交</x:v>
      </x:c>
      <x:c r="N60" s="20" t="n">
        <x:v>45229</x:v>
      </x:c>
      <x:c r="O60" t="str">
        <x:v>競品</x:v>
      </x:c>
    </x:row>
    <x:row r="61" ht="20" customHeight="1">
      <x:c r="A61" t="str">
        <x:v>Q00060</x:v>
      </x:c>
      <x:c r="B61" s="20" t="n">
        <x:v>45252</x:v>
      </x:c>
      <x:c r="C61" t="str">
        <x:v>SEM-003</x:v>
      </x:c>
      <x:c r="D61" t="str">
        <x:v>S02</x:v>
      </x:c>
      <x:c r="E61" t="str">
        <x:v>SEMI-WH-A</x:v>
      </x:c>
      <x:c r="F61" t="str">
        <x:v>半導體設備零組件</x:v>
      </x:c>
      <x:c r="G61" t="n">
        <x:v>40</x:v>
      </x:c>
      <x:c r="H61" t="n">
        <x:v>118923.64</x:v>
      </x:c>
      <x:c r="I61" t="n">
        <x:v>91412.2</x:v>
      </x:c>
      <x:c r="J61" s="22" t="n">
        <x:v>0.231337015920468</x:v>
      </x:c>
      <x:c r="K61" s="22" t="n">
        <x:v>0.02</x:v>
      </x:c>
      <x:c r="L61" t="n">
        <x:v>50</x:v>
      </x:c>
      <x:c r="M61" t="str">
        <x:v>成交</x:v>
      </x:c>
      <x:c r="N61" s="20" t="n">
        <x:v>45264</x:v>
      </x:c>
      <x:c r="O61"/>
    </x:row>
    <x:row r="62" ht="20" customHeight="1">
      <x:c r="A62" t="str">
        <x:v>Q00061</x:v>
      </x:c>
      <x:c r="B62" s="20" t="n">
        <x:v>45258</x:v>
      </x:c>
      <x:c r="C62" t="str">
        <x:v>IAT-006</x:v>
      </x:c>
      <x:c r="D62" t="str">
        <x:v>S01</x:v>
      </x:c>
      <x:c r="E62" t="str">
        <x:v>AUTO-KN-B</x:v>
      </x:c>
      <x:c r="F62" t="str">
        <x:v>汽車精密零組件</x:v>
      </x:c>
      <x:c r="G62" t="n">
        <x:v>5000</x:v>
      </x:c>
      <x:c r="H62" t="n">
        <x:v>3554.39</x:v>
      </x:c>
      <x:c r="I62" t="n">
        <x:v>2687.94</x:v>
      </x:c>
      <x:c r="J62" s="22" t="n">
        <x:v>0.2437689730164669</x:v>
      </x:c>
      <x:c r="K62" s="22" t="n">
        <x:v>0.1047</x:v>
      </x:c>
      <x:c r="L62" t="n">
        <x:v>26</x:v>
      </x:c>
      <x:c r="M62" t="str">
        <x:v>成交</x:v>
      </x:c>
      <x:c r="N62" s="20" t="n">
        <x:v>45268</x:v>
      </x:c>
      <x:c r="O62"/>
    </x:row>
    <x:row r="63" ht="20" customHeight="1">
      <x:c r="A63" t="str">
        <x:v>Q00062</x:v>
      </x:c>
      <x:c r="B63" s="20" t="n">
        <x:v>45239</x:v>
      </x:c>
      <x:c r="C63" t="str">
        <x:v>IAT-004</x:v>
      </x:c>
      <x:c r="D63" t="str">
        <x:v>S05</x:v>
      </x:c>
      <x:c r="E63" t="str">
        <x:v>AUTO-MH-A</x:v>
      </x:c>
      <x:c r="F63" t="str">
        <x:v>汽車精密零組件</x:v>
      </x:c>
      <x:c r="G63" t="n">
        <x:v>3000</x:v>
      </x:c>
      <x:c r="H63" t="n">
        <x:v>2507.09</x:v>
      </x:c>
      <x:c r="I63" t="n">
        <x:v>1947.78</x:v>
      </x:c>
      <x:c r="J63" s="22" t="n">
        <x:v>0.2230913130362293</x:v>
      </x:c>
      <x:c r="K63" s="22" t="n">
        <x:v>0.0723</x:v>
      </x:c>
      <x:c r="L63" t="n">
        <x:v>18</x:v>
      </x:c>
      <x:c r="M63" t="str">
        <x:v>未成交</x:v>
      </x:c>
      <x:c r="N63" s="20" t="n">
        <x:v>45248</x:v>
      </x:c>
      <x:c r="O63" t="str">
        <x:v>專案取消</x:v>
      </x:c>
    </x:row>
    <x:row r="64" ht="20" customHeight="1">
      <x:c r="A64" t="str">
        <x:v>Q00063</x:v>
      </x:c>
      <x:c r="B64" s="20" t="n">
        <x:v>45240</x:v>
      </x:c>
      <x:c r="C64" t="str">
        <x:v>AUT-001</x:v>
      </x:c>
      <x:c r="D64" t="str">
        <x:v>S01</x:v>
      </x:c>
      <x:c r="E64" t="str">
        <x:v>PM-VAC-A</x:v>
      </x:c>
      <x:c r="F64" t="str">
        <x:v>精密金屬加工件</x:v>
      </x:c>
      <x:c r="G64" t="n">
        <x:v>300</x:v>
      </x:c>
      <x:c r="H64" t="n">
        <x:v>14882.93</x:v>
      </x:c>
      <x:c r="I64" t="n">
        <x:v>10817.19</x:v>
      </x:c>
      <x:c r="J64" s="22" t="n">
        <x:v>0.2731814232815716</x:v>
      </x:c>
      <x:c r="K64" s="22" t="n">
        <x:v>0.1232</x:v>
      </x:c>
      <x:c r="L64" t="n">
        <x:v>24</x:v>
      </x:c>
      <x:c r="M64" t="str">
        <x:v>未成交</x:v>
      </x:c>
      <x:c r="N64" s="20" t="n">
        <x:v>45246</x:v>
      </x:c>
      <x:c r="O64" t="str">
        <x:v>專案取消</x:v>
      </x:c>
    </x:row>
    <x:row r="65" ht="20" customHeight="1">
      <x:c r="A65" t="str">
        <x:v>Q00064</x:v>
      </x:c>
      <x:c r="B65" s="20" t="n">
        <x:v>45233</x:v>
      </x:c>
      <x:c r="C65" t="str">
        <x:v>EMS-008</x:v>
      </x:c>
      <x:c r="D65" t="str">
        <x:v>S02</x:v>
      </x:c>
      <x:c r="E65" t="str">
        <x:v>AUTO-LG-B</x:v>
      </x:c>
      <x:c r="F65" t="str">
        <x:v>汽車精密零組件</x:v>
      </x:c>
      <x:c r="G65" t="n">
        <x:v>3000</x:v>
      </x:c>
      <x:c r="H65" t="n">
        <x:v>1119.48</x:v>
      </x:c>
      <x:c r="I65" t="n">
        <x:v>927.27</x:v>
      </x:c>
      <x:c r="J65" s="22" t="n">
        <x:v>0.17169578732983173</x:v>
      </x:c>
      <x:c r="K65" s="22" t="n">
        <x:v>0.1462</x:v>
      </x:c>
      <x:c r="L65" t="n">
        <x:v>13</x:v>
      </x:c>
      <x:c r="M65" t="str">
        <x:v>成交</x:v>
      </x:c>
      <x:c r="N65" s="20" t="n">
        <x:v>45243</x:v>
      </x:c>
      <x:c r="O65"/>
    </x:row>
    <x:row r="66" ht="20" customHeight="1">
      <x:c r="A66" t="str">
        <x:v>Q00065</x:v>
      </x:c>
      <x:c r="B66" s="20" t="n">
        <x:v>45240</x:v>
      </x:c>
      <x:c r="C66" t="str">
        <x:v>SEM-005</x:v>
      </x:c>
      <x:c r="D66" t="str">
        <x:v>S06</x:v>
      </x:c>
      <x:c r="E66" t="str">
        <x:v>MECH-STG-A</x:v>
      </x:c>
      <x:c r="F66" t="str">
        <x:v>機電／自動化模組</x:v>
      </x:c>
      <x:c r="G66" t="n">
        <x:v>30</x:v>
      </x:c>
      <x:c r="H66" t="n">
        <x:v>140663.43</x:v>
      </x:c>
      <x:c r="I66" t="n">
        <x:v>106167.49</x:v>
      </x:c>
      <x:c r="J66" s="22" t="n">
        <x:v>0.24523744373359863</x:v>
      </x:c>
      <x:c r="K66" s="22" t="n">
        <x:v>0.0443</x:v>
      </x:c>
      <x:c r="L66" t="n">
        <x:v>35</x:v>
      </x:c>
      <x:c r="M66" t="str">
        <x:v>成交</x:v>
      </x:c>
      <x:c r="N66" s="20" t="n">
        <x:v>45247</x:v>
      </x:c>
      <x:c r="O66"/>
    </x:row>
    <x:row r="67" ht="20" customHeight="1">
      <x:c r="A67" t="str">
        <x:v>Q00066</x:v>
      </x:c>
      <x:c r="B67" s="20" t="n">
        <x:v>45236</x:v>
      </x:c>
      <x:c r="C67" t="str">
        <x:v>AUT-012</x:v>
      </x:c>
      <x:c r="D67" t="str">
        <x:v>S06</x:v>
      </x:c>
      <x:c r="E67" t="str">
        <x:v>AUTO-BS-A</x:v>
      </x:c>
      <x:c r="F67" t="str">
        <x:v>汽車精密零組件</x:v>
      </x:c>
      <x:c r="G67" t="n">
        <x:v>7000</x:v>
      </x:c>
      <x:c r="H67" t="n">
        <x:v>778.68</x:v>
      </x:c>
      <x:c r="I67" t="n">
        <x:v>539.4</x:v>
      </x:c>
      <x:c r="J67" s="22" t="n">
        <x:v>0.3072892587455694</x:v>
      </x:c>
      <x:c r="K67" s="22" t="n">
        <x:v>0.0586</x:v>
      </x:c>
      <x:c r="L67" t="n">
        <x:v>12</x:v>
      </x:c>
      <x:c r="M67" t="str">
        <x:v>未成交</x:v>
      </x:c>
      <x:c r="N67" s="20" t="n">
        <x:v>45241</x:v>
      </x:c>
      <x:c r="O67" t="str">
        <x:v>規格</x:v>
      </x:c>
    </x:row>
    <x:row r="68" ht="20" customHeight="1">
      <x:c r="A68" t="str">
        <x:v>Q00067</x:v>
      </x:c>
      <x:c r="B68" s="20" t="n">
        <x:v>45243</x:v>
      </x:c>
      <x:c r="C68" t="str">
        <x:v>IAT-010</x:v>
      </x:c>
      <x:c r="D68" t="str">
        <x:v>S04</x:v>
      </x:c>
      <x:c r="E68" t="str">
        <x:v>AUTO-BS-A</x:v>
      </x:c>
      <x:c r="F68" t="str">
        <x:v>汽車精密零組件</x:v>
      </x:c>
      <x:c r="G68" t="n">
        <x:v>5000</x:v>
      </x:c>
      <x:c r="H68" t="n">
        <x:v>751.91</x:v>
      </x:c>
      <x:c r="I68" t="n">
        <x:v>540.1</x:v>
      </x:c>
      <x:c r="J68" s="22" t="n">
        <x:v>0.2816959476533095</x:v>
      </x:c>
      <x:c r="K68" s="22" t="n">
        <x:v>0.0793</x:v>
      </x:c>
      <x:c r="L68" t="n">
        <x:v>11</x:v>
      </x:c>
      <x:c r="M68" t="str">
        <x:v>成交</x:v>
      </x:c>
      <x:c r="N68" s="20" t="n">
        <x:v>45252</x:v>
      </x:c>
      <x:c r="O68"/>
    </x:row>
    <x:row r="69" ht="20" customHeight="1">
      <x:c r="A69" t="str">
        <x:v>Q00068</x:v>
      </x:c>
      <x:c r="B69" s="20" t="n">
        <x:v>45256</x:v>
      </x:c>
      <x:c r="C69" t="str">
        <x:v>IAT-005</x:v>
      </x:c>
      <x:c r="D69" t="str">
        <x:v>S02</x:v>
      </x:c>
      <x:c r="E69" t="str">
        <x:v>AUTO-BS-A</x:v>
      </x:c>
      <x:c r="F69" t="str">
        <x:v>汽車精密零組件</x:v>
      </x:c>
      <x:c r="G69" t="n">
        <x:v>13000</x:v>
      </x:c>
      <x:c r="H69" t="n">
        <x:v>742.16</x:v>
      </x:c>
      <x:c r="I69" t="n">
        <x:v>533.71</x:v>
      </x:c>
      <x:c r="J69" s="22" t="n">
        <x:v>0.2808693543171283</x:v>
      </x:c>
      <x:c r="K69" s="22" t="n">
        <x:v>0.0958</x:v>
      </x:c>
      <x:c r="L69" t="n">
        <x:v>10</x:v>
      </x:c>
      <x:c r="M69" t="str">
        <x:v>成交</x:v>
      </x:c>
      <x:c r="N69" s="20" t="n">
        <x:v>45260</x:v>
      </x:c>
      <x:c r="O69"/>
    </x:row>
    <x:row r="70" ht="20" customHeight="1">
      <x:c r="A70" t="str">
        <x:v>Q00069</x:v>
      </x:c>
      <x:c r="B70" s="20" t="n">
        <x:v>45239</x:v>
      </x:c>
      <x:c r="C70" t="str">
        <x:v>EMS-005</x:v>
      </x:c>
      <x:c r="D70" t="str">
        <x:v>S01</x:v>
      </x:c>
      <x:c r="E70" t="str">
        <x:v>AUTO-BS-B</x:v>
      </x:c>
      <x:c r="F70" t="str">
        <x:v>汽車精密零組件</x:v>
      </x:c>
      <x:c r="G70" t="n">
        <x:v>5000</x:v>
      </x:c>
      <x:c r="H70" t="n">
        <x:v>827.17</x:v>
      </x:c>
      <x:c r="I70" t="n">
        <x:v>672.61</x:v>
      </x:c>
      <x:c r="J70" s="22" t="n">
        <x:v>0.18685397197673992</x:v>
      </x:c>
      <x:c r="K70" s="22" t="n">
        <x:v>0.1263</x:v>
      </x:c>
      <x:c r="L70" t="n">
        <x:v>14</x:v>
      </x:c>
      <x:c r="M70" t="str">
        <x:v>成交</x:v>
      </x:c>
      <x:c r="N70" s="20" t="n">
        <x:v>45249</x:v>
      </x:c>
      <x:c r="O70"/>
    </x:row>
    <x:row r="71" ht="20" customHeight="1">
      <x:c r="A71" t="str">
        <x:v>Q00070</x:v>
      </x:c>
      <x:c r="B71" s="20" t="n">
        <x:v>45252</x:v>
      </x:c>
      <x:c r="C71" t="str">
        <x:v>SEM-009</x:v>
      </x:c>
      <x:c r="D71" t="str">
        <x:v>S02</x:v>
      </x:c>
      <x:c r="E71" t="str">
        <x:v>SEMI-WH-B</x:v>
      </x:c>
      <x:c r="F71" t="str">
        <x:v>半導體設備零組件</x:v>
      </x:c>
      <x:c r="G71" t="n">
        <x:v>120</x:v>
      </x:c>
      <x:c r="H71" t="n">
        <x:v>174317.87</x:v>
      </x:c>
      <x:c r="I71" t="n">
        <x:v>133854.69</x:v>
      </x:c>
      <x:c r="J71" s="22" t="n">
        <x:v>0.23212296019908912</x:v>
      </x:c>
      <x:c r="K71" s="22" t="n">
        <x:v>0.0276</x:v>
      </x:c>
      <x:c r="L71" t="n">
        <x:v>63</x:v>
      </x:c>
      <x:c r="M71" t="str">
        <x:v>未成交</x:v>
      </x:c>
      <x:c r="N71" s="20" t="n">
        <x:v>45258</x:v>
      </x:c>
      <x:c r="O71" t="str">
        <x:v>競品</x:v>
      </x:c>
    </x:row>
    <x:row r="72" ht="20" customHeight="1">
      <x:c r="A72" t="str">
        <x:v>Q00071</x:v>
      </x:c>
      <x:c r="B72" s="20" t="n">
        <x:v>45237</x:v>
      </x:c>
      <x:c r="C72" t="str">
        <x:v>SEM-009</x:v>
      </x:c>
      <x:c r="D72" t="str">
        <x:v>S02</x:v>
      </x:c>
      <x:c r="E72" t="str">
        <x:v>PM-BRG-B</x:v>
      </x:c>
      <x:c r="F72" t="str">
        <x:v>精密金屬加工件</x:v>
      </x:c>
      <x:c r="G72" t="n">
        <x:v>1600</x:v>
      </x:c>
      <x:c r="H72" t="n">
        <x:v>7949.52</x:v>
      </x:c>
      <x:c r="I72" t="n">
        <x:v>5483.76</x:v>
      </x:c>
      <x:c r="J72" s="22" t="n">
        <x:v>0.31017721824713945</x:v>
      </x:c>
      <x:c r="K72" s="22" t="n">
        <x:v>0.0572</x:v>
      </x:c>
      <x:c r="L72" t="n">
        <x:v>23</x:v>
      </x:c>
      <x:c r="M72" t="str">
        <x:v>成交</x:v>
      </x:c>
      <x:c r="N72" s="20" t="n">
        <x:v>45249</x:v>
      </x:c>
      <x:c r="O72"/>
    </x:row>
    <x:row r="73" ht="20" customHeight="1">
      <x:c r="A73" t="str">
        <x:v>Q00072</x:v>
      </x:c>
      <x:c r="B73" s="20" t="n">
        <x:v>45241</x:v>
      </x:c>
      <x:c r="C73" t="str">
        <x:v>SEM-007</x:v>
      </x:c>
      <x:c r="D73" t="str">
        <x:v>S03</x:v>
      </x:c>
      <x:c r="E73" t="str">
        <x:v>MECH-CON-B</x:v>
      </x:c>
      <x:c r="F73" t="str">
        <x:v>機電／自動化模組</x:v>
      </x:c>
      <x:c r="G73" t="n">
        <x:v>50</x:v>
      </x:c>
      <x:c r="H73" t="n">
        <x:v>153342.05</x:v>
      </x:c>
      <x:c r="I73" t="n">
        <x:v>116378.64</x:v>
      </x:c>
      <x:c r="J73" s="22" t="n">
        <x:v>0.24105201410832836</x:v>
      </x:c>
      <x:c r="K73" s="22" t="n">
        <x:v>0.0596</x:v>
      </x:c>
      <x:c r="L73" t="n">
        <x:v>41</x:v>
      </x:c>
      <x:c r="M73" t="str">
        <x:v>未成交</x:v>
      </x:c>
      <x:c r="N73" s="20" t="n">
        <x:v>45252</x:v>
      </x:c>
      <x:c r="O73" t="str">
        <x:v>交期</x:v>
      </x:c>
    </x:row>
    <x:row r="74" ht="20" customHeight="1">
      <x:c r="A74" t="str">
        <x:v>Q00073</x:v>
      </x:c>
      <x:c r="B74" s="20" t="n">
        <x:v>45236</x:v>
      </x:c>
      <x:c r="C74" t="str">
        <x:v>IAT-001</x:v>
      </x:c>
      <x:c r="D74" t="str">
        <x:v>S05</x:v>
      </x:c>
      <x:c r="E74" t="str">
        <x:v>AUTO-BS-B</x:v>
      </x:c>
      <x:c r="F74" t="str">
        <x:v>汽車精密零組件</x:v>
      </x:c>
      <x:c r="G74" t="n">
        <x:v>7000</x:v>
      </x:c>
      <x:c r="H74" t="n">
        <x:v>885.4</x:v>
      </x:c>
      <x:c r="I74" t="n">
        <x:v>666.41</x:v>
      </x:c>
      <x:c r="J74" s="22" t="n">
        <x:v>0.24733453806189296</x:v>
      </x:c>
      <x:c r="K74" s="22" t="n">
        <x:v>0.0857</x:v>
      </x:c>
      <x:c r="L74" t="n">
        <x:v>11</x:v>
      </x:c>
      <x:c r="M74" t="str">
        <x:v>未成交</x:v>
      </x:c>
      <x:c r="N74" s="20" t="n">
        <x:v>45242</x:v>
      </x:c>
      <x:c r="O74" t="str">
        <x:v>競品</x:v>
      </x:c>
    </x:row>
    <x:row r="75" ht="20" customHeight="1">
      <x:c r="A75" t="str">
        <x:v>Q00074</x:v>
      </x:c>
      <x:c r="B75" s="20" t="n">
        <x:v>45259</x:v>
      </x:c>
      <x:c r="C75" t="str">
        <x:v>EMS-002</x:v>
      </x:c>
      <x:c r="D75" t="str">
        <x:v>S05</x:v>
      </x:c>
      <x:c r="E75" t="str">
        <x:v>AUTO-BRK-A</x:v>
      </x:c>
      <x:c r="F75" t="str">
        <x:v>汽車精密零組件</x:v>
      </x:c>
      <x:c r="G75" t="n">
        <x:v>5000</x:v>
      </x:c>
      <x:c r="H75" t="n">
        <x:v>1642.17</x:v>
      </x:c>
      <x:c r="I75" t="n">
        <x:v>1346.71</x:v>
      </x:c>
      <x:c r="J75" s="22" t="n">
        <x:v>0.17992047108399253</x:v>
      </x:c>
      <x:c r="K75" s="22" t="n">
        <x:v>0.117</x:v>
      </x:c>
      <x:c r="L75" t="n">
        <x:v>18</x:v>
      </x:c>
      <x:c r="M75" t="str">
        <x:v>未成交</x:v>
      </x:c>
      <x:c r="N75" s="20" t="n">
        <x:v>45267</x:v>
      </x:c>
      <x:c r="O75" t="str">
        <x:v>競品</x:v>
      </x:c>
    </x:row>
    <x:row r="76" ht="20" customHeight="1">
      <x:c r="A76" t="str">
        <x:v>Q00075</x:v>
      </x:c>
      <x:c r="B76" s="20" t="n">
        <x:v>45240</x:v>
      </x:c>
      <x:c r="C76" t="str">
        <x:v>AUT-014</x:v>
      </x:c>
      <x:c r="D76" t="str">
        <x:v>S06</x:v>
      </x:c>
      <x:c r="E76" t="str">
        <x:v>PM-ALB-B</x:v>
      </x:c>
      <x:c r="F76" t="str">
        <x:v>精密金屬加工件</x:v>
      </x:c>
      <x:c r="G76" t="n">
        <x:v>800</x:v>
      </x:c>
      <x:c r="H76" t="n">
        <x:v>15756.38</x:v>
      </x:c>
      <x:c r="I76" t="n">
        <x:v>11669.2</x:v>
      </x:c>
      <x:c r="J76" s="22" t="n">
        <x:v>0.2593984151181933</x:v>
      </x:c>
      <x:c r="K76" s="22" t="n">
        <x:v>0.0692</x:v>
      </x:c>
      <x:c r="L76" t="n">
        <x:v>25</x:v>
      </x:c>
      <x:c r="M76" t="str">
        <x:v>成交</x:v>
      </x:c>
      <x:c r="N76" s="20" t="n">
        <x:v>45247</x:v>
      </x:c>
      <x:c r="O76"/>
    </x:row>
    <x:row r="77" ht="20" customHeight="1">
      <x:c r="A77" t="str">
        <x:v>Q00076</x:v>
      </x:c>
      <x:c r="B77" s="20" t="n">
        <x:v>45236</x:v>
      </x:c>
      <x:c r="C77" t="str">
        <x:v>IAT-002</x:v>
      </x:c>
      <x:c r="D77" t="str">
        <x:v>S01</x:v>
      </x:c>
      <x:c r="E77" t="str">
        <x:v>AUTO-BRK-B</x:v>
      </x:c>
      <x:c r="F77" t="str">
        <x:v>汽車精密零組件</x:v>
      </x:c>
      <x:c r="G77" t="n">
        <x:v>7000</x:v>
      </x:c>
      <x:c r="H77" t="n">
        <x:v>2129.47</x:v>
      </x:c>
      <x:c r="I77" t="n">
        <x:v>1641.89</x:v>
      </x:c>
      <x:c r="J77" s="22" t="n">
        <x:v>0.2289677713233808</x:v>
      </x:c>
      <x:c r="K77" s="22" t="n">
        <x:v>0.0647</x:v>
      </x:c>
      <x:c r="L77" t="n">
        <x:v>14</x:v>
      </x:c>
      <x:c r="M77" t="str">
        <x:v>成交</x:v>
      </x:c>
      <x:c r="N77" s="20" t="n">
        <x:v>45243</x:v>
      </x:c>
      <x:c r="O77"/>
    </x:row>
    <x:row r="78" ht="20" customHeight="1">
      <x:c r="A78" t="str">
        <x:v>Q00077</x:v>
      </x:c>
      <x:c r="B78" s="20" t="n">
        <x:v>45256</x:v>
      </x:c>
      <x:c r="C78" t="str">
        <x:v>AUT-012</x:v>
      </x:c>
      <x:c r="D78" t="str">
        <x:v>S06</x:v>
      </x:c>
      <x:c r="E78" t="str">
        <x:v>PM-VAC-B</x:v>
      </x:c>
      <x:c r="F78" t="str">
        <x:v>精密金屬加工件</x:v>
      </x:c>
      <x:c r="G78" t="n">
        <x:v>1600</x:v>
      </x:c>
      <x:c r="H78" t="n">
        <x:v>20965.6</x:v>
      </x:c>
      <x:c r="I78" t="n">
        <x:v>15083.42</x:v>
      </x:c>
      <x:c r="J78" s="22" t="n">
        <x:v>0.28056339909184563</x:v>
      </x:c>
      <x:c r="K78" s="22" t="n">
        <x:v>0.0958</x:v>
      </x:c>
      <x:c r="L78" t="n">
        <x:v>30</x:v>
      </x:c>
      <x:c r="M78" t="str">
        <x:v>未成交</x:v>
      </x:c>
      <x:c r="N78" s="20" t="n">
        <x:v>45259</x:v>
      </x:c>
      <x:c r="O78" t="str">
        <x:v>價格</x:v>
      </x:c>
    </x:row>
    <x:row r="79" ht="20" customHeight="1">
      <x:c r="A79" t="str">
        <x:v>Q00078</x:v>
      </x:c>
      <x:c r="B79" s="20" t="n">
        <x:v>45243</x:v>
      </x:c>
      <x:c r="C79" t="str">
        <x:v>AUT-006</x:v>
      </x:c>
      <x:c r="D79" t="str">
        <x:v>S03</x:v>
      </x:c>
      <x:c r="E79" t="str">
        <x:v>AUTO-LG-A</x:v>
      </x:c>
      <x:c r="F79" t="str">
        <x:v>汽車精密零組件</x:v>
      </x:c>
      <x:c r="G79" t="n">
        <x:v>10000</x:v>
      </x:c>
      <x:c r="H79" t="n">
        <x:v>1154.37</x:v>
      </x:c>
      <x:c r="I79" t="n">
        <x:v>847.01</x:v>
      </x:c>
      <x:c r="J79" s="22" t="n">
        <x:v>0.2662577856319897</x:v>
      </x:c>
      <x:c r="K79" s="22" t="n">
        <x:v>0.0222</x:v>
      </x:c>
      <x:c r="L79" t="n">
        <x:v>15</x:v>
      </x:c>
      <x:c r="M79" t="str">
        <x:v>成交</x:v>
      </x:c>
      <x:c r="N79" s="20" t="n">
        <x:v>45253</x:v>
      </x:c>
      <x:c r="O79"/>
    </x:row>
    <x:row r="80" ht="20" customHeight="1">
      <x:c r="A80" t="str">
        <x:v>Q00079</x:v>
      </x:c>
      <x:c r="B80" s="20" t="n">
        <x:v>45253</x:v>
      </x:c>
      <x:c r="C80" t="str">
        <x:v>AUT-013</x:v>
      </x:c>
      <x:c r="D80" t="str">
        <x:v>S01</x:v>
      </x:c>
      <x:c r="E80" t="str">
        <x:v>MECH-CON-A</x:v>
      </x:c>
      <x:c r="F80" t="str">
        <x:v>機電／自動化模組</x:v>
      </x:c>
      <x:c r="G80" t="n">
        <x:v>10</x:v>
      </x:c>
      <x:c r="H80" t="n">
        <x:v>114608.73</x:v>
      </x:c>
      <x:c r="I80" t="n">
        <x:v>80516.6</x:v>
      </x:c>
      <x:c r="J80" s="22" t="n">
        <x:v>0.2974653850540006</x:v>
      </x:c>
      <x:c r="K80" s="22" t="n">
        <x:v>0.0265</x:v>
      </x:c>
      <x:c r="L80" t="n">
        <x:v>33</x:v>
      </x:c>
      <x:c r="M80" t="str">
        <x:v>成交</x:v>
      </x:c>
      <x:c r="N80" s="20" t="n">
        <x:v>45261</x:v>
      </x:c>
      <x:c r="O80"/>
    </x:row>
    <x:row r="81" ht="20" customHeight="1">
      <x:c r="A81" t="str">
        <x:v>Q00080</x:v>
      </x:c>
      <x:c r="B81" s="20" t="n">
        <x:v>45244</x:v>
      </x:c>
      <x:c r="C81" t="str">
        <x:v>EMS-007</x:v>
      </x:c>
      <x:c r="D81" t="str">
        <x:v>S04</x:v>
      </x:c>
      <x:c r="E81" t="str">
        <x:v>SEMI-WH-A</x:v>
      </x:c>
      <x:c r="F81" t="str">
        <x:v>半導體設備零組件</x:v>
      </x:c>
      <x:c r="G81" t="n">
        <x:v>160</x:v>
      </x:c>
      <x:c r="H81" t="n">
        <x:v>115931.62</x:v>
      </x:c>
      <x:c r="I81" t="n">
        <x:v>88463.14</x:v>
      </x:c>
      <x:c r="J81" s="22" t="n">
        <x:v>0.23693691160358146</x:v>
      </x:c>
      <x:c r="K81" s="22" t="n">
        <x:v>0.0257</x:v>
      </x:c>
      <x:c r="L81" t="n">
        <x:v>52</x:v>
      </x:c>
      <x:c r="M81" t="str">
        <x:v>成交</x:v>
      </x:c>
      <x:c r="N81" s="20" t="n">
        <x:v>45253</x:v>
      </x:c>
      <x:c r="O81"/>
    </x:row>
    <x:row r="82" ht="20" customHeight="1">
      <x:c r="A82" t="str">
        <x:v>Q00081</x:v>
      </x:c>
      <x:c r="B82" s="20" t="n">
        <x:v>45233</x:v>
      </x:c>
      <x:c r="C82" t="str">
        <x:v>AFT-003</x:v>
      </x:c>
      <x:c r="D82" t="str">
        <x:v>S01</x:v>
      </x:c>
      <x:c r="E82" t="str">
        <x:v>AUTO-MH-A</x:v>
      </x:c>
      <x:c r="F82" t="str">
        <x:v>汽車精密零組件</x:v>
      </x:c>
      <x:c r="G82" t="n">
        <x:v>10000</x:v>
      </x:c>
      <x:c r="H82" t="n">
        <x:v>2310.63</x:v>
      </x:c>
      <x:c r="I82" t="n">
        <x:v>1984.43</x:v>
      </x:c>
      <x:c r="J82" s="22" t="n">
        <x:v>0.14117361931594416</x:v>
      </x:c>
      <x:c r="K82" s="22" t="n">
        <x:v>0.1355</x:v>
      </x:c>
      <x:c r="L82" t="n">
        <x:v>15</x:v>
      </x:c>
      <x:c r="M82" t="str">
        <x:v>未成交</x:v>
      </x:c>
      <x:c r="N82" s="20" t="n">
        <x:v>45240</x:v>
      </x:c>
      <x:c r="O82" t="str">
        <x:v>規格</x:v>
      </x:c>
    </x:row>
    <x:row r="83" ht="20" customHeight="1">
      <x:c r="A83" t="str">
        <x:v>Q00082</x:v>
      </x:c>
      <x:c r="B83" s="20" t="n">
        <x:v>45257</x:v>
      </x:c>
      <x:c r="C83" t="str">
        <x:v>IAT-010</x:v>
      </x:c>
      <x:c r="D83" t="str">
        <x:v>S04</x:v>
      </x:c>
      <x:c r="E83" t="str">
        <x:v>AUTO-BRK-B</x:v>
      </x:c>
      <x:c r="F83" t="str">
        <x:v>汽車精密零組件</x:v>
      </x:c>
      <x:c r="G83" t="n">
        <x:v>13000</x:v>
      </x:c>
      <x:c r="H83" t="n">
        <x:v>2184.38</x:v>
      </x:c>
      <x:c r="I83" t="n">
        <x:v>1726.03</x:v>
      </x:c>
      <x:c r="J83" s="22" t="n">
        <x:v>0.2098307071114001</x:v>
      </x:c>
      <x:c r="K83" s="22" t="n">
        <x:v>0.0298</x:v>
      </x:c>
      <x:c r="L83" t="n">
        <x:v>21</x:v>
      </x:c>
      <x:c r="M83" t="str">
        <x:v>成交</x:v>
      </x:c>
      <x:c r="N83" s="20" t="n">
        <x:v>45266</x:v>
      </x:c>
      <x:c r="O83"/>
    </x:row>
    <x:row r="84" ht="20" customHeight="1">
      <x:c r="A84" t="str">
        <x:v>Q00083</x:v>
      </x:c>
      <x:c r="B84" s="20" t="n">
        <x:v>45245</x:v>
      </x:c>
      <x:c r="C84" t="str">
        <x:v>IAT-005</x:v>
      </x:c>
      <x:c r="D84" t="str">
        <x:v>S02</x:v>
      </x:c>
      <x:c r="E84" t="str">
        <x:v>AUTO-KN-A</x:v>
      </x:c>
      <x:c r="F84" t="str">
        <x:v>汽車精密零組件</x:v>
      </x:c>
      <x:c r="G84" t="n">
        <x:v>3000</x:v>
      </x:c>
      <x:c r="H84" t="n">
        <x:v>3076.07</x:v>
      </x:c>
      <x:c r="I84" t="n">
        <x:v>2241.8</x:v>
      </x:c>
      <x:c r="J84" s="22" t="n">
        <x:v>0.2712129437886654</x:v>
      </x:c>
      <x:c r="K84" s="22" t="n">
        <x:v>0.0936</x:v>
      </x:c>
      <x:c r="L84" t="n">
        <x:v>20</x:v>
      </x:c>
      <x:c r="M84" t="str">
        <x:v>成交</x:v>
      </x:c>
      <x:c r="N84" s="20" t="n">
        <x:v>45249</x:v>
      </x:c>
      <x:c r="O84"/>
    </x:row>
    <x:row r="85" ht="20" customHeight="1">
      <x:c r="A85" t="str">
        <x:v>Q00084</x:v>
      </x:c>
      <x:c r="B85" s="20" t="n">
        <x:v>45242</x:v>
      </x:c>
      <x:c r="C85" t="str">
        <x:v>AUT-005</x:v>
      </x:c>
      <x:c r="D85" t="str">
        <x:v>S04</x:v>
      </x:c>
      <x:c r="E85" t="str">
        <x:v>AUTO-BRK-A</x:v>
      </x:c>
      <x:c r="F85" t="str">
        <x:v>汽車精密零組件</x:v>
      </x:c>
      <x:c r="G85" t="n">
        <x:v>5000</x:v>
      </x:c>
      <x:c r="H85" t="n">
        <x:v>1706.88</x:v>
      </x:c>
      <x:c r="I85" t="n">
        <x:v>1396.81</x:v>
      </x:c>
      <x:c r="J85" s="22" t="n">
        <x:v>0.1816589332583428</x:v>
      </x:c>
      <x:c r="K85" s="22" t="n">
        <x:v>0.0729</x:v>
      </x:c>
      <x:c r="L85" t="n">
        <x:v>13</x:v>
      </x:c>
      <x:c r="M85" t="str">
        <x:v>成交</x:v>
      </x:c>
      <x:c r="N85" s="20" t="n">
        <x:v>45246</x:v>
      </x:c>
      <x:c r="O85"/>
    </x:row>
    <x:row r="86" ht="20" customHeight="1">
      <x:c r="A86" t="str">
        <x:v>Q00085</x:v>
      </x:c>
      <x:c r="B86" s="20" t="n">
        <x:v>45233</x:v>
      </x:c>
      <x:c r="C86" t="str">
        <x:v>EMS-008</x:v>
      </x:c>
      <x:c r="D86" t="str">
        <x:v>S02</x:v>
      </x:c>
      <x:c r="E86" t="str">
        <x:v>MECH-CON-A</x:v>
      </x:c>
      <x:c r="F86" t="str">
        <x:v>機電／自動化模組</x:v>
      </x:c>
      <x:c r="G86" t="n">
        <x:v>20</x:v>
      </x:c>
      <x:c r="H86" t="n">
        <x:v>109752.07</x:v>
      </x:c>
      <x:c r="I86" t="n">
        <x:v>83157.01</x:v>
      </x:c>
      <x:c r="J86" s="22" t="n">
        <x:v>0.24231943871309225</x:v>
      </x:c>
      <x:c r="K86" s="22" t="n">
        <x:v>0.0765</x:v>
      </x:c>
      <x:c r="L86" t="n">
        <x:v>31</x:v>
      </x:c>
      <x:c r="M86" t="str">
        <x:v>未成交</x:v>
      </x:c>
      <x:c r="N86" s="20" t="n">
        <x:v>45238</x:v>
      </x:c>
      <x:c r="O86" t="str">
        <x:v>交期</x:v>
      </x:c>
    </x:row>
    <x:row r="87" ht="20" customHeight="1">
      <x:c r="A87" t="str">
        <x:v>Q00086</x:v>
      </x:c>
      <x:c r="B87" s="20" t="n">
        <x:v>45248</x:v>
      </x:c>
      <x:c r="C87" t="str">
        <x:v>EMS-005</x:v>
      </x:c>
      <x:c r="D87" t="str">
        <x:v>S01</x:v>
      </x:c>
      <x:c r="E87" t="str">
        <x:v>AUTO-MH-A</x:v>
      </x:c>
      <x:c r="F87" t="str">
        <x:v>汽車精密零組件</x:v>
      </x:c>
      <x:c r="G87" t="n">
        <x:v>3000</x:v>
      </x:c>
      <x:c r="H87" t="n">
        <x:v>2510.2</x:v>
      </x:c>
      <x:c r="I87" t="n">
        <x:v>2031.88</x:v>
      </x:c>
      <x:c r="J87" s="22" t="n">
        <x:v>0.19055055374073768</x:v>
      </x:c>
      <x:c r="K87" s="22" t="n">
        <x:v>0.0551</x:v>
      </x:c>
      <x:c r="L87" t="n">
        <x:v>23</x:v>
      </x:c>
      <x:c r="M87" t="str">
        <x:v>成交</x:v>
      </x:c>
      <x:c r="N87" s="20" t="n">
        <x:v>45260</x:v>
      </x:c>
      <x:c r="O87"/>
    </x:row>
    <x:row r="88" ht="20" customHeight="1">
      <x:c r="A88" t="str">
        <x:v>Q00087</x:v>
      </x:c>
      <x:c r="B88" s="20" t="n">
        <x:v>45265</x:v>
      </x:c>
      <x:c r="C88" t="str">
        <x:v>EMS-002</x:v>
      </x:c>
      <x:c r="D88" t="str">
        <x:v>S05</x:v>
      </x:c>
      <x:c r="E88" t="str">
        <x:v>AUTO-KN-A</x:v>
      </x:c>
      <x:c r="F88" t="str">
        <x:v>汽車精密零組件</x:v>
      </x:c>
      <x:c r="G88" t="n">
        <x:v>3000</x:v>
      </x:c>
      <x:c r="H88" t="n">
        <x:v>3188.13</x:v>
      </x:c>
      <x:c r="I88" t="n">
        <x:v>2288.39</x:v>
      </x:c>
      <x:c r="J88" s="22" t="n">
        <x:v>0.2822155934670168</x:v>
      </x:c>
      <x:c r="K88" s="22" t="n">
        <x:v>0.0542</x:v>
      </x:c>
      <x:c r="L88" t="n">
        <x:v>27</x:v>
      </x:c>
      <x:c r="M88" t="str">
        <x:v>成交</x:v>
      </x:c>
      <x:c r="N88" s="20" t="n">
        <x:v>45268</x:v>
      </x:c>
      <x:c r="O88"/>
    </x:row>
    <x:row r="89" ht="20" customHeight="1">
      <x:c r="A89" t="str">
        <x:v>Q00088</x:v>
      </x:c>
      <x:c r="B89" s="20" t="n">
        <x:v>45278</x:v>
      </x:c>
      <x:c r="C89" t="str">
        <x:v>EMS-004</x:v>
      </x:c>
      <x:c r="D89" t="str">
        <x:v>S03</x:v>
      </x:c>
      <x:c r="E89" t="str">
        <x:v>PM-ALB-B</x:v>
      </x:c>
      <x:c r="F89" t="str">
        <x:v>精密金屬加工件</x:v>
      </x:c>
      <x:c r="G89" t="n">
        <x:v>800</x:v>
      </x:c>
      <x:c r="H89" t="n">
        <x:v>16605.83</x:v>
      </x:c>
      <x:c r="I89" t="n">
        <x:v>11850.88</x:v>
      </x:c>
      <x:c r="J89" s="22" t="n">
        <x:v>0.2863422063215149</x:v>
      </x:c>
      <x:c r="K89" s="22" t="n">
        <x:v>0.0281</x:v>
      </x:c>
      <x:c r="L89" t="n">
        <x:v>27</x:v>
      </x:c>
      <x:c r="M89" t="str">
        <x:v>未成交</x:v>
      </x:c>
      <x:c r="N89" s="20" t="n">
        <x:v>45289</x:v>
      </x:c>
      <x:c r="O89" t="str">
        <x:v>交期</x:v>
      </x:c>
    </x:row>
    <x:row r="90" ht="20" customHeight="1">
      <x:c r="A90" t="str">
        <x:v>Q00089</x:v>
      </x:c>
      <x:c r="B90" s="20" t="n">
        <x:v>45277</x:v>
      </x:c>
      <x:c r="C90" t="str">
        <x:v>AFT-006</x:v>
      </x:c>
      <x:c r="D90" t="str">
        <x:v>S01</x:v>
      </x:c>
      <x:c r="E90" t="str">
        <x:v>AUTO-KN-A</x:v>
      </x:c>
      <x:c r="F90" t="str">
        <x:v>汽車精密零組件</x:v>
      </x:c>
      <x:c r="G90" t="n">
        <x:v>3000</x:v>
      </x:c>
      <x:c r="H90" t="n">
        <x:v>2907.1</x:v>
      </x:c>
      <x:c r="I90" t="n">
        <x:v>2192.73</x:v>
      </x:c>
      <x:c r="J90" s="22" t="n">
        <x:v>0.2457328609266967</x:v>
      </x:c>
      <x:c r="K90" s="22" t="n">
        <x:v>0.1472</x:v>
      </x:c>
      <x:c r="L90" t="n">
        <x:v>21</x:v>
      </x:c>
      <x:c r="M90" t="str">
        <x:v>成交</x:v>
      </x:c>
      <x:c r="N90" s="20" t="n">
        <x:v>45281</x:v>
      </x:c>
      <x:c r="O90"/>
    </x:row>
    <x:row r="91" ht="20" customHeight="1">
      <x:c r="A91" t="str">
        <x:v>Q00090</x:v>
      </x:c>
      <x:c r="B91" s="20" t="n">
        <x:v>45289</x:v>
      </x:c>
      <x:c r="C91" t="str">
        <x:v>IAT-009</x:v>
      </x:c>
      <x:c r="D91" t="str">
        <x:v>S04</x:v>
      </x:c>
      <x:c r="E91" t="str">
        <x:v>PM-SUS-A</x:v>
      </x:c>
      <x:c r="F91" t="str">
        <x:v>精密金屬加工件</x:v>
      </x:c>
      <x:c r="G91" t="n">
        <x:v>800</x:v>
      </x:c>
      <x:c r="H91" t="n">
        <x:v>10353.22</x:v>
      </x:c>
      <x:c r="I91" t="n">
        <x:v>7391</x:v>
      </x:c>
      <x:c r="J91" s="22" t="n">
        <x:v>0.2861158171081074</x:v>
      </x:c>
      <x:c r="K91" s="22" t="n">
        <x:v>0.088</x:v>
      </x:c>
      <x:c r="L91" t="n">
        <x:v>23</x:v>
      </x:c>
      <x:c r="M91" t="str">
        <x:v>未成交</x:v>
      </x:c>
      <x:c r="N91" s="20" t="n">
        <x:v>45298</x:v>
      </x:c>
      <x:c r="O91" t="str">
        <x:v>價格</x:v>
      </x:c>
    </x:row>
    <x:row r="92" ht="20" customHeight="1">
      <x:c r="A92" t="str">
        <x:v>Q00091</x:v>
      </x:c>
      <x:c r="B92" s="20" t="n">
        <x:v>45288</x:v>
      </x:c>
      <x:c r="C92" t="str">
        <x:v>EMS-006</x:v>
      </x:c>
      <x:c r="D92" t="str">
        <x:v>S03</x:v>
      </x:c>
      <x:c r="E92" t="str">
        <x:v>AUTO-BRK-B</x:v>
      </x:c>
      <x:c r="F92" t="str">
        <x:v>汽車精密零組件</x:v>
      </x:c>
      <x:c r="G92" t="n">
        <x:v>5000</x:v>
      </x:c>
      <x:c r="H92" t="n">
        <x:v>2161.25</x:v>
      </x:c>
      <x:c r="I92" t="n">
        <x:v>1617.83</x:v>
      </x:c>
      <x:c r="J92" s="22" t="n">
        <x:v>0.2514378253325622</x:v>
      </x:c>
      <x:c r="K92" s="22" t="n">
        <x:v>0.0332</x:v>
      </x:c>
      <x:c r="L92" t="n">
        <x:v>16</x:v>
      </x:c>
      <x:c r="M92" t="str">
        <x:v>成交</x:v>
      </x:c>
      <x:c r="N92" s="20" t="n">
        <x:v>45299</x:v>
      </x:c>
      <x:c r="O92"/>
    </x:row>
    <x:row r="93" ht="20" customHeight="1">
      <x:c r="A93" t="str">
        <x:v>Q00092</x:v>
      </x:c>
      <x:c r="B93" s="20" t="n">
        <x:v>45280</x:v>
      </x:c>
      <x:c r="C93" t="str">
        <x:v>AUT-013</x:v>
      </x:c>
      <x:c r="D93" t="str">
        <x:v>S01</x:v>
      </x:c>
      <x:c r="E93" t="str">
        <x:v>AUTO-MH-B</x:v>
      </x:c>
      <x:c r="F93" t="str">
        <x:v>汽車精密零組件</x:v>
      </x:c>
      <x:c r="G93" t="n">
        <x:v>7000</x:v>
      </x:c>
      <x:c r="H93" t="n">
        <x:v>2995.73</x:v>
      </x:c>
      <x:c r="I93" t="n">
        <x:v>2383.04</x:v>
      </x:c>
      <x:c r="J93" s="22" t="n">
        <x:v>0.2045211017014217</x:v>
      </x:c>
      <x:c r="K93" s="22" t="n">
        <x:v>0.0401</x:v>
      </x:c>
      <x:c r="L93" t="n">
        <x:v>19</x:v>
      </x:c>
      <x:c r="M93" t="str">
        <x:v>成交</x:v>
      </x:c>
      <x:c r="N93" s="20" t="n">
        <x:v>45291</x:v>
      </x:c>
      <x:c r="O93"/>
    </x:row>
    <x:row r="94" ht="20" customHeight="1">
      <x:c r="A94" t="str">
        <x:v>Q00093</x:v>
      </x:c>
      <x:c r="B94" s="20" t="n">
        <x:v>45288</x:v>
      </x:c>
      <x:c r="C94" t="str">
        <x:v>SEM-005</x:v>
      </x:c>
      <x:c r="D94" t="str">
        <x:v>S06</x:v>
      </x:c>
      <x:c r="E94" t="str">
        <x:v>SEMI-WH-B</x:v>
      </x:c>
      <x:c r="F94" t="str">
        <x:v>半導體設備零組件</x:v>
      </x:c>
      <x:c r="G94" t="n">
        <x:v>120</x:v>
      </x:c>
      <x:c r="H94" t="n">
        <x:v>156085.16</x:v>
      </x:c>
      <x:c r="I94" t="n">
        <x:v>133014.48</x:v>
      </x:c>
      <x:c r="J94" s="22" t="n">
        <x:v>0.14780828619453631</x:v>
      </x:c>
      <x:c r="K94" s="22" t="n">
        <x:v>0.1135</x:v>
      </x:c>
      <x:c r="L94" t="n">
        <x:v>63</x:v>
      </x:c>
      <x:c r="M94" t="str">
        <x:v>未成交</x:v>
      </x:c>
      <x:c r="N94" s="20" t="n">
        <x:v>45297</x:v>
      </x:c>
      <x:c r="O94" t="str">
        <x:v>交期</x:v>
      </x:c>
    </x:row>
    <x:row r="95" ht="20" customHeight="1">
      <x:c r="A95" t="str">
        <x:v>Q00094</x:v>
      </x:c>
      <x:c r="B95" s="20" t="n">
        <x:v>45282</x:v>
      </x:c>
      <x:c r="C95" t="str">
        <x:v>IAT-002</x:v>
      </x:c>
      <x:c r="D95" t="str">
        <x:v>S01</x:v>
      </x:c>
      <x:c r="E95" t="str">
        <x:v>SEMI-WH-B</x:v>
      </x:c>
      <x:c r="F95" t="str">
        <x:v>半導體設備零組件</x:v>
      </x:c>
      <x:c r="G95" t="n">
        <x:v>120</x:v>
      </x:c>
      <x:c r="H95" t="n">
        <x:v>161915.47</x:v>
      </x:c>
      <x:c r="I95" t="n">
        <x:v>127810.31</x:v>
      </x:c>
      <x:c r="J95" s="22" t="n">
        <x:v>0.21063558658107223</x:v>
      </x:c>
      <x:c r="K95" s="22" t="n">
        <x:v>0.104</x:v>
      </x:c>
      <x:c r="L95" t="n">
        <x:v>44</x:v>
      </x:c>
      <x:c r="M95" t="str">
        <x:v>成交</x:v>
      </x:c>
      <x:c r="N95" s="20" t="n">
        <x:v>45289</x:v>
      </x:c>
      <x:c r="O95"/>
    </x:row>
    <x:row r="96" ht="20" customHeight="1">
      <x:c r="A96" t="str">
        <x:v>Q00095</x:v>
      </x:c>
      <x:c r="B96" s="20" t="n">
        <x:v>45276</x:v>
      </x:c>
      <x:c r="C96" t="str">
        <x:v>IAT-009</x:v>
      </x:c>
      <x:c r="D96" t="str">
        <x:v>S04</x:v>
      </x:c>
      <x:c r="E96" t="str">
        <x:v>AUTO-LG-B</x:v>
      </x:c>
      <x:c r="F96" t="str">
        <x:v>汽車精密零組件</x:v>
      </x:c>
      <x:c r="G96" t="n">
        <x:v>10000</x:v>
      </x:c>
      <x:c r="H96" t="n">
        <x:v>1149.55</x:v>
      </x:c>
      <x:c r="I96" t="n">
        <x:v>915.48</x:v>
      </x:c>
      <x:c r="J96" s="22" t="n">
        <x:v>0.20361880735940147</x:v>
      </x:c>
      <x:c r="K96" s="22" t="n">
        <x:v>0.0969</x:v>
      </x:c>
      <x:c r="L96" t="n">
        <x:v>19</x:v>
      </x:c>
      <x:c r="M96" t="str">
        <x:v>未成交</x:v>
      </x:c>
      <x:c r="N96" s="20" t="n">
        <x:v>45282</x:v>
      </x:c>
      <x:c r="O96" t="str">
        <x:v>規格</x:v>
      </x:c>
    </x:row>
    <x:row r="97" ht="20" customHeight="1">
      <x:c r="A97" t="str">
        <x:v>Q00096</x:v>
      </x:c>
      <x:c r="B97" s="20" t="n">
        <x:v>45287</x:v>
      </x:c>
      <x:c r="C97" t="str">
        <x:v>IAT-002</x:v>
      </x:c>
      <x:c r="D97" t="str">
        <x:v>S01</x:v>
      </x:c>
      <x:c r="E97" t="str">
        <x:v>AUTO-KN-A</x:v>
      </x:c>
      <x:c r="F97" t="str">
        <x:v>汽車精密零組件</x:v>
      </x:c>
      <x:c r="G97" t="n">
        <x:v>10000</x:v>
      </x:c>
      <x:c r="H97" t="n">
        <x:v>3017.4</x:v>
      </x:c>
      <x:c r="I97" t="n">
        <x:v>2176.87</x:v>
      </x:c>
      <x:c r="J97" s="22" t="n">
        <x:v>0.2785610127924704</x:v>
      </x:c>
      <x:c r="K97" s="22" t="n">
        <x:v>0.1206</x:v>
      </x:c>
      <x:c r="L97" t="n">
        <x:v>24</x:v>
      </x:c>
      <x:c r="M97" t="str">
        <x:v>未成交</x:v>
      </x:c>
      <x:c r="N97" s="20" t="n">
        <x:v>45294</x:v>
      </x:c>
      <x:c r="O97" t="str">
        <x:v>價格</x:v>
      </x:c>
    </x:row>
    <x:row r="98" ht="20" customHeight="1">
      <x:c r="A98" t="str">
        <x:v>Q00097</x:v>
      </x:c>
      <x:c r="B98" s="20" t="n">
        <x:v>45263</x:v>
      </x:c>
      <x:c r="C98" t="str">
        <x:v>EMS-007</x:v>
      </x:c>
      <x:c r="D98" t="str">
        <x:v>S04</x:v>
      </x:c>
      <x:c r="E98" t="str">
        <x:v>PM-VAC-A</x:v>
      </x:c>
      <x:c r="F98" t="str">
        <x:v>精密金屬加工件</x:v>
      </x:c>
      <x:c r="G98" t="n">
        <x:v>300</x:v>
      </x:c>
      <x:c r="H98" t="n">
        <x:v>16558.01</x:v>
      </x:c>
      <x:c r="I98" t="n">
        <x:v>10837.13</x:v>
      </x:c>
      <x:c r="J98" s="22" t="n">
        <x:v>0.34550528716917067</x:v>
      </x:c>
      <x:c r="K98" s="22" t="n">
        <x:v>0.0119</x:v>
      </x:c>
      <x:c r="L98" t="n">
        <x:v>26</x:v>
      </x:c>
      <x:c r="M98" t="str">
        <x:v>成交</x:v>
      </x:c>
      <x:c r="N98" s="20" t="n">
        <x:v>45274</x:v>
      </x:c>
      <x:c r="O98"/>
    </x:row>
    <x:row r="99" ht="20" customHeight="1">
      <x:c r="A99" t="str">
        <x:v>Q00098</x:v>
      </x:c>
      <x:c r="B99" s="20" t="n">
        <x:v>45286</x:v>
      </x:c>
      <x:c r="C99" t="str">
        <x:v>IAT-009</x:v>
      </x:c>
      <x:c r="D99" t="str">
        <x:v>S04</x:v>
      </x:c>
      <x:c r="E99" t="str">
        <x:v>AUTO-BS-B</x:v>
      </x:c>
      <x:c r="F99" t="str">
        <x:v>汽車精密零組件</x:v>
      </x:c>
      <x:c r="G99" t="n">
        <x:v>13000</x:v>
      </x:c>
      <x:c r="H99" t="n">
        <x:v>848.56</x:v>
      </x:c>
      <x:c r="I99" t="n">
        <x:v>675.3</x:v>
      </x:c>
      <x:c r="J99" s="22" t="n">
        <x:v>0.20418120109361743</x:v>
      </x:c>
      <x:c r="K99" s="22" t="n">
        <x:v>0.1284</x:v>
      </x:c>
      <x:c r="L99" t="n">
        <x:v>13</x:v>
      </x:c>
      <x:c r="M99" t="str">
        <x:v>未成交</x:v>
      </x:c>
      <x:c r="N99" s="20" t="n">
        <x:v>45294</x:v>
      </x:c>
      <x:c r="O99" t="str">
        <x:v>規格</x:v>
      </x:c>
    </x:row>
    <x:row r="100" ht="20" customHeight="1">
      <x:c r="A100" t="str">
        <x:v>Q00099</x:v>
      </x:c>
      <x:c r="B100" s="20" t="n">
        <x:v>45282</x:v>
      </x:c>
      <x:c r="C100" t="str">
        <x:v>IAT-001</x:v>
      </x:c>
      <x:c r="D100" t="str">
        <x:v>S05</x:v>
      </x:c>
      <x:c r="E100" t="str">
        <x:v>SEMI-CHB-B</x:v>
      </x:c>
      <x:c r="F100" t="str">
        <x:v>半導體設備零組件</x:v>
      </x:c>
      <x:c r="G100" t="n">
        <x:v>40</x:v>
      </x:c>
      <x:c r="H100" t="n">
        <x:v>127222.66</x:v>
      </x:c>
      <x:c r="I100" t="n">
        <x:v>108564.72</x:v>
      </x:c>
      <x:c r="J100" s="22" t="n">
        <x:v>0.14665579229360556</x:v>
      </x:c>
      <x:c r="K100" s="22" t="n">
        <x:v>0.1409</x:v>
      </x:c>
      <x:c r="L100" t="n">
        <x:v>62</x:v>
      </x:c>
      <x:c r="M100" t="str">
        <x:v>未成交</x:v>
      </x:c>
      <x:c r="N100" s="20" t="n">
        <x:v>45286</x:v>
      </x:c>
      <x:c r="O100" t="str">
        <x:v>規格</x:v>
      </x:c>
    </x:row>
    <x:row r="101" ht="20" customHeight="1">
      <x:c r="A101" t="str">
        <x:v>Q00100</x:v>
      </x:c>
      <x:c r="B101" s="20" t="n">
        <x:v>45275</x:v>
      </x:c>
      <x:c r="C101" t="str">
        <x:v>AUT-009</x:v>
      </x:c>
      <x:c r="D101" t="str">
        <x:v>S04</x:v>
      </x:c>
      <x:c r="E101" t="str">
        <x:v>AUTO-FL-A</x:v>
      </x:c>
      <x:c r="F101" t="str">
        <x:v>汽車精密零組件</x:v>
      </x:c>
      <x:c r="G101" t="n">
        <x:v>5000</x:v>
      </x:c>
      <x:c r="H101" t="n">
        <x:v>1279.42</x:v>
      </x:c>
      <x:c r="I101" t="n">
        <x:v>999.62</x:v>
      </x:c>
      <x:c r="J101" s="22" t="n">
        <x:v>0.21869284519547924</x:v>
      </x:c>
      <x:c r="K101" s="22" t="n">
        <x:v>0.0636</x:v>
      </x:c>
      <x:c r="L101" t="n">
        <x:v>13</x:v>
      </x:c>
      <x:c r="M101" t="str">
        <x:v>成交</x:v>
      </x:c>
      <x:c r="N101" s="20" t="n">
        <x:v>45281</x:v>
      </x:c>
      <x:c r="O101"/>
    </x:row>
    <x:row r="102" ht="20" customHeight="1">
      <x:c r="A102" t="str">
        <x:v>Q00101</x:v>
      </x:c>
      <x:c r="B102" s="20" t="n">
        <x:v>45263</x:v>
      </x:c>
      <x:c r="C102" t="str">
        <x:v>AUT-014</x:v>
      </x:c>
      <x:c r="D102" t="str">
        <x:v>S06</x:v>
      </x:c>
      <x:c r="E102" t="str">
        <x:v>AUTO-BS-B</x:v>
      </x:c>
      <x:c r="F102" t="str">
        <x:v>汽車精密零組件</x:v>
      </x:c>
      <x:c r="G102" t="n">
        <x:v>3000</x:v>
      </x:c>
      <x:c r="H102" t="n">
        <x:v>884.06</x:v>
      </x:c>
      <x:c r="I102" t="n">
        <x:v>651.74</x:v>
      </x:c>
      <x:c r="J102" s="22" t="n">
        <x:v>0.26278759360224413</x:v>
      </x:c>
      <x:c r="K102" s="22" t="n">
        <x:v>0.0951</x:v>
      </x:c>
      <x:c r="L102" t="n">
        <x:v>15</x:v>
      </x:c>
      <x:c r="M102" t="str">
        <x:v>成交</x:v>
      </x:c>
      <x:c r="N102" s="20" t="n">
        <x:v>45274</x:v>
      </x:c>
      <x:c r="O102"/>
    </x:row>
    <x:row r="103" ht="20" customHeight="1">
      <x:c r="A103" t="str">
        <x:v>Q00102</x:v>
      </x:c>
      <x:c r="B103" s="20" t="n">
        <x:v>45267</x:v>
      </x:c>
      <x:c r="C103" t="str">
        <x:v>IAT-005</x:v>
      </x:c>
      <x:c r="D103" t="str">
        <x:v>S02</x:v>
      </x:c>
      <x:c r="E103" t="str">
        <x:v>AUTO-BS-A</x:v>
      </x:c>
      <x:c r="F103" t="str">
        <x:v>汽車精密零組件</x:v>
      </x:c>
      <x:c r="G103" t="n">
        <x:v>10000</x:v>
      </x:c>
      <x:c r="H103" t="n">
        <x:v>807.67</x:v>
      </x:c>
      <x:c r="I103" t="n">
        <x:v>570.11</x:v>
      </x:c>
      <x:c r="J103" s="22" t="n">
        <x:v>0.294130028353164</x:v>
      </x:c>
      <x:c r="K103" s="22" t="n">
        <x:v>0.0183</x:v>
      </x:c>
      <x:c r="L103" t="n">
        <x:v>12</x:v>
      </x:c>
      <x:c r="M103" t="str">
        <x:v>成交</x:v>
      </x:c>
      <x:c r="N103" s="20" t="n">
        <x:v>45274</x:v>
      </x:c>
      <x:c r="O103"/>
    </x:row>
    <x:row r="104" ht="20" customHeight="1">
      <x:c r="A104" t="str">
        <x:v>Q00103</x:v>
      </x:c>
      <x:c r="B104" s="20" t="n">
        <x:v>45262</x:v>
      </x:c>
      <x:c r="C104" t="str">
        <x:v>AUT-014</x:v>
      </x:c>
      <x:c r="D104" t="str">
        <x:v>S06</x:v>
      </x:c>
      <x:c r="E104" t="str">
        <x:v>AUTO-KN-B</x:v>
      </x:c>
      <x:c r="F104" t="str">
        <x:v>汽車精密零組件</x:v>
      </x:c>
      <x:c r="G104" t="n">
        <x:v>5000</x:v>
      </x:c>
      <x:c r="H104" t="n">
        <x:v>3696.62</x:v>
      </x:c>
      <x:c r="I104" t="n">
        <x:v>2611.91</x:v>
      </x:c>
      <x:c r="J104" s="22" t="n">
        <x:v>0.2934329198024141</x:v>
      </x:c>
      <x:c r="K104" s="22" t="n">
        <x:v>0.0667</x:v>
      </x:c>
      <x:c r="L104" t="n">
        <x:v>23</x:v>
      </x:c>
      <x:c r="M104" t="str">
        <x:v>成交</x:v>
      </x:c>
      <x:c r="N104" s="20" t="n">
        <x:v>45267</x:v>
      </x:c>
      <x:c r="O104"/>
    </x:row>
    <x:row r="105" ht="20" customHeight="1">
      <x:c r="A105" t="str">
        <x:v>Q00104</x:v>
      </x:c>
      <x:c r="B105" s="20" t="n">
        <x:v>45273</x:v>
      </x:c>
      <x:c r="C105" t="str">
        <x:v>AUT-008</x:v>
      </x:c>
      <x:c r="D105" t="str">
        <x:v>S01</x:v>
      </x:c>
      <x:c r="E105" t="str">
        <x:v>AUTO-BS-A</x:v>
      </x:c>
      <x:c r="F105" t="str">
        <x:v>汽車精密零組件</x:v>
      </x:c>
      <x:c r="G105" t="n">
        <x:v>7000</x:v>
      </x:c>
      <x:c r="H105" t="n">
        <x:v>727.91</x:v>
      </x:c>
      <x:c r="I105" t="n">
        <x:v>571.93</x:v>
      </x:c>
      <x:c r="J105" s="22" t="n">
        <x:v>0.21428473300270642</x:v>
      </x:c>
      <x:c r="K105" s="22" t="n">
        <x:v>0.1287</x:v>
      </x:c>
      <x:c r="L105" t="n">
        <x:v>14</x:v>
      </x:c>
      <x:c r="M105" t="str">
        <x:v>成交</x:v>
      </x:c>
      <x:c r="N105" s="20" t="n">
        <x:v>45279</x:v>
      </x:c>
      <x:c r="O105"/>
    </x:row>
    <x:row r="106" ht="20" customHeight="1">
      <x:c r="A106" t="str">
        <x:v>Q00105</x:v>
      </x:c>
      <x:c r="B106" s="20" t="n">
        <x:v>45285</x:v>
      </x:c>
      <x:c r="C106" t="str">
        <x:v>SEM-008</x:v>
      </x:c>
      <x:c r="D106" t="str">
        <x:v>S04</x:v>
      </x:c>
      <x:c r="E106" t="str">
        <x:v>PM-ALB-A</x:v>
      </x:c>
      <x:c r="F106" t="str">
        <x:v>精密金屬加工件</x:v>
      </x:c>
      <x:c r="G106" t="n">
        <x:v>300</x:v>
      </x:c>
      <x:c r="H106" t="n">
        <x:v>9895.48</x:v>
      </x:c>
      <x:c r="I106" t="n">
        <x:v>8267.56</x:v>
      </x:c>
      <x:c r="J106" s="22" t="n">
        <x:v>0.16451147392546903</x:v>
      </x:c>
      <x:c r="K106" s="22" t="n">
        <x:v>0.1509</x:v>
      </x:c>
      <x:c r="L106" t="n">
        <x:v>21</x:v>
      </x:c>
      <x:c r="M106" t="str">
        <x:v>成交</x:v>
      </x:c>
      <x:c r="N106" s="20" t="n">
        <x:v>45295</x:v>
      </x:c>
      <x:c r="O106"/>
    </x:row>
    <x:row r="107" ht="20" customHeight="1">
      <x:c r="A107" t="str">
        <x:v>Q00106</x:v>
      </x:c>
      <x:c r="B107" s="20" t="n">
        <x:v>45290</x:v>
      </x:c>
      <x:c r="C107" t="str">
        <x:v>EMS-003</x:v>
      </x:c>
      <x:c r="D107" t="str">
        <x:v>S05</x:v>
      </x:c>
      <x:c r="E107" t="str">
        <x:v>MECH-STG-B</x:v>
      </x:c>
      <x:c r="F107" t="str">
        <x:v>機電／自動化模組</x:v>
      </x:c>
      <x:c r="G107" t="n">
        <x:v>20</x:v>
      </x:c>
      <x:c r="H107" t="n">
        <x:v>192051.13</x:v>
      </x:c>
      <x:c r="I107" t="n">
        <x:v>154576.82</x:v>
      </x:c>
      <x:c r="J107" s="22" t="n">
        <x:v>0.19512673526055274</x:v>
      </x:c>
      <x:c r="K107" s="22" t="n">
        <x:v>0.0728</x:v>
      </x:c>
      <x:c r="L107" t="n">
        <x:v>49</x:v>
      </x:c>
      <x:c r="M107" t="str">
        <x:v>未成交</x:v>
      </x:c>
      <x:c r="N107" s="20" t="n">
        <x:v>45301</x:v>
      </x:c>
      <x:c r="O107" t="str">
        <x:v>競品</x:v>
      </x:c>
    </x:row>
    <x:row r="108" ht="20" customHeight="1">
      <x:c r="A108" t="str">
        <x:v>Q00107</x:v>
      </x:c>
      <x:c r="B108" s="20" t="n">
        <x:v>45263</x:v>
      </x:c>
      <x:c r="C108" t="str">
        <x:v>AUT-003</x:v>
      </x:c>
      <x:c r="D108" t="str">
        <x:v>S03</x:v>
      </x:c>
      <x:c r="E108" t="str">
        <x:v>AUTO-KN-B</x:v>
      </x:c>
      <x:c r="F108" t="str">
        <x:v>汽車精密零組件</x:v>
      </x:c>
      <x:c r="G108" t="n">
        <x:v>5000</x:v>
      </x:c>
      <x:c r="H108" t="n">
        <x:v>3420.22</x:v>
      </x:c>
      <x:c r="I108" t="n">
        <x:v>2623.56</x:v>
      </x:c>
      <x:c r="J108" s="22" t="n">
        <x:v>0.23292653688943984</x:v>
      </x:c>
      <x:c r="K108" s="22" t="n">
        <x:v>0.1494</x:v>
      </x:c>
      <x:c r="L108" t="n">
        <x:v>23</x:v>
      </x:c>
      <x:c r="M108" t="str">
        <x:v>成交</x:v>
      </x:c>
      <x:c r="N108" s="20" t="n">
        <x:v>45275</x:v>
      </x:c>
      <x:c r="O108"/>
    </x:row>
    <x:row r="109" ht="20" customHeight="1">
      <x:c r="A109" t="str">
        <x:v>Q00108</x:v>
      </x:c>
      <x:c r="B109" s="20" t="n">
        <x:v>45274</x:v>
      </x:c>
      <x:c r="C109" t="str">
        <x:v>AFT-002</x:v>
      </x:c>
      <x:c r="D109" t="str">
        <x:v>S04</x:v>
      </x:c>
      <x:c r="E109" t="str">
        <x:v>PM-VAC-B</x:v>
      </x:c>
      <x:c r="F109" t="str">
        <x:v>精密金屬加工件</x:v>
      </x:c>
      <x:c r="G109" t="n">
        <x:v>300</x:v>
      </x:c>
      <x:c r="H109" t="n">
        <x:v>21726.31</x:v>
      </x:c>
      <x:c r="I109" t="n">
        <x:v>15814.54</x:v>
      </x:c>
      <x:c r="J109" s="22" t="n">
        <x:v>0.27210188936823604</x:v>
      </x:c>
      <x:c r="K109" s="22" t="n">
        <x:v>0.0683</x:v>
      </x:c>
      <x:c r="L109" t="n">
        <x:v>36</x:v>
      </x:c>
      <x:c r="M109" t="str">
        <x:v>未成交</x:v>
      </x:c>
      <x:c r="N109" s="20" t="n">
        <x:v>45283</x:v>
      </x:c>
      <x:c r="O109" t="str">
        <x:v>專案取消</x:v>
      </x:c>
    </x:row>
    <x:row r="110" ht="20" customHeight="1">
      <x:c r="A110" t="str">
        <x:v>Q00109</x:v>
      </x:c>
      <x:c r="B110" s="20" t="n">
        <x:v>45283</x:v>
      </x:c>
      <x:c r="C110" t="str">
        <x:v>AFT-002</x:v>
      </x:c>
      <x:c r="D110" t="str">
        <x:v>S04</x:v>
      </x:c>
      <x:c r="E110" t="str">
        <x:v>PM-SUS-B</x:v>
      </x:c>
      <x:c r="F110" t="str">
        <x:v>精密金屬加工件</x:v>
      </x:c>
      <x:c r="G110" t="n">
        <x:v>300</x:v>
      </x:c>
      <x:c r="H110" t="n">
        <x:v>14985.16</x:v>
      </x:c>
      <x:c r="I110" t="n">
        <x:v>11063.89</x:v>
      </x:c>
      <x:c r="J110" s="22" t="n">
        <x:v>0.2616768856655518</x:v>
      </x:c>
      <x:c r="K110" s="22" t="n">
        <x:v>0.0499</x:v>
      </x:c>
      <x:c r="L110" t="n">
        <x:v>28</x:v>
      </x:c>
      <x:c r="M110" t="str">
        <x:v>成交</x:v>
      </x:c>
      <x:c r="N110" s="20" t="n">
        <x:v>45286</x:v>
      </x:c>
      <x:c r="O110"/>
    </x:row>
    <x:row r="111" ht="20" customHeight="1">
      <x:c r="A111" t="str">
        <x:v>Q00110</x:v>
      </x:c>
      <x:c r="B111" s="20" t="n">
        <x:v>45264</x:v>
      </x:c>
      <x:c r="C111" t="str">
        <x:v>AUT-004</x:v>
      </x:c>
      <x:c r="D111" t="str">
        <x:v>S03</x:v>
      </x:c>
      <x:c r="E111" t="str">
        <x:v>AUTO-BS-B</x:v>
      </x:c>
      <x:c r="F111" t="str">
        <x:v>汽車精密零組件</x:v>
      </x:c>
      <x:c r="G111" t="n">
        <x:v>13000</x:v>
      </x:c>
      <x:c r="H111" t="n">
        <x:v>942.07</x:v>
      </x:c>
      <x:c r="I111" t="n">
        <x:v>648.53</x:v>
      </x:c>
      <x:c r="J111" s="22" t="n">
        <x:v>0.3115904338318809</x:v>
      </x:c>
      <x:c r="K111" s="22" t="n">
        <x:v>0.01</x:v>
      </x:c>
      <x:c r="L111" t="n">
        <x:v>12</x:v>
      </x:c>
      <x:c r="M111" t="str">
        <x:v>成交</x:v>
      </x:c>
      <x:c r="N111" s="20" t="n">
        <x:v>45275</x:v>
      </x:c>
      <x:c r="O111"/>
    </x:row>
    <x:row r="112" ht="20" customHeight="1">
      <x:c r="A112" t="str">
        <x:v>Q00111</x:v>
      </x:c>
      <x:c r="B112" s="20" t="n">
        <x:v>45263</x:v>
      </x:c>
      <x:c r="C112" t="str">
        <x:v>AFT-002</x:v>
      </x:c>
      <x:c r="D112" t="str">
        <x:v>S04</x:v>
      </x:c>
      <x:c r="E112" t="str">
        <x:v>PM-VAC-B</x:v>
      </x:c>
      <x:c r="F112" t="str">
        <x:v>精密金屬加工件</x:v>
      </x:c>
      <x:c r="G112" t="n">
        <x:v>500</x:v>
      </x:c>
      <x:c r="H112" t="n">
        <x:v>22493.76</x:v>
      </x:c>
      <x:c r="I112" t="n">
        <x:v>15538.24</x:v>
      </x:c>
      <x:c r="J112" s="22" t="n">
        <x:v>0.30921997922979527</x:v>
      </x:c>
      <x:c r="K112" s="22" t="n">
        <x:v>0.0408</x:v>
      </x:c>
      <x:c r="L112" t="n">
        <x:v>39</x:v>
      </x:c>
      <x:c r="M112" t="str">
        <x:v>未成交</x:v>
      </x:c>
      <x:c r="N112" s="20" t="n">
        <x:v>45269</x:v>
      </x:c>
      <x:c r="O112" t="str">
        <x:v>專案取消</x:v>
      </x:c>
    </x:row>
    <x:row r="113" ht="20" customHeight="1">
      <x:c r="A113" t="str">
        <x:v>Q00112</x:v>
      </x:c>
      <x:c r="B113" s="20" t="n">
        <x:v>45265</x:v>
      </x:c>
      <x:c r="C113" t="str">
        <x:v>EMS-001</x:v>
      </x:c>
      <x:c r="D113" t="str">
        <x:v>S02</x:v>
      </x:c>
      <x:c r="E113" t="str">
        <x:v>AUTO-BS-A</x:v>
      </x:c>
      <x:c r="F113" t="str">
        <x:v>汽車精密零組件</x:v>
      </x:c>
      <x:c r="G113" t="n">
        <x:v>10000</x:v>
      </x:c>
      <x:c r="H113" t="n">
        <x:v>727.35</x:v>
      </x:c>
      <x:c r="I113" t="n">
        <x:v>566.71</x:v>
      </x:c>
      <x:c r="J113" s="22" t="n">
        <x:v>0.2208565339932632</x:v>
      </x:c>
      <x:c r="K113" s="22" t="n">
        <x:v>0.1246</x:v>
      </x:c>
      <x:c r="L113" t="n">
        <x:v>14</x:v>
      </x:c>
      <x:c r="M113" t="str">
        <x:v>成交</x:v>
      </x:c>
      <x:c r="N113" s="20" t="n">
        <x:v>45273</x:v>
      </x:c>
      <x:c r="O113"/>
    </x:row>
    <x:row r="114" ht="20" customHeight="1">
      <x:c r="A114" t="str">
        <x:v>Q00113</x:v>
      </x:c>
      <x:c r="B114" s="20" t="n">
        <x:v>45291</x:v>
      </x:c>
      <x:c r="C114" t="str">
        <x:v>EMS-003</x:v>
      </x:c>
      <x:c r="D114" t="str">
        <x:v>S05</x:v>
      </x:c>
      <x:c r="E114" t="str">
        <x:v>SEMI-WH-B</x:v>
      </x:c>
      <x:c r="F114" t="str">
        <x:v>半導體設備零組件</x:v>
      </x:c>
      <x:c r="G114" t="n">
        <x:v>80</x:v>
      </x:c>
      <x:c r="H114" t="n">
        <x:v>163803.19</x:v>
      </x:c>
      <x:c r="I114" t="n">
        <x:v>134876.83</x:v>
      </x:c>
      <x:c r="J114" s="22" t="n">
        <x:v>0.17659216526857635</x:v>
      </x:c>
      <x:c r="K114" s="22" t="n">
        <x:v>0.0683</x:v>
      </x:c>
      <x:c r="L114" t="n">
        <x:v>65</x:v>
      </x:c>
      <x:c r="M114" t="str">
        <x:v>成交</x:v>
      </x:c>
      <x:c r="N114" s="20" t="n">
        <x:v>45302</x:v>
      </x:c>
      <x:c r="O114"/>
    </x:row>
    <x:row r="115" ht="20" customHeight="1">
      <x:c r="A115" t="str">
        <x:v>Q00114</x:v>
      </x:c>
      <x:c r="B115" s="20" t="n">
        <x:v>45265</x:v>
      </x:c>
      <x:c r="C115" t="str">
        <x:v>AUT-005</x:v>
      </x:c>
      <x:c r="D115" t="str">
        <x:v>S04</x:v>
      </x:c>
      <x:c r="E115" t="str">
        <x:v>PM-ALB-B</x:v>
      </x:c>
      <x:c r="F115" t="str">
        <x:v>精密金屬加工件</x:v>
      </x:c>
      <x:c r="G115" t="n">
        <x:v>1600</x:v>
      </x:c>
      <x:c r="H115" t="n">
        <x:v>15114.62</x:v>
      </x:c>
      <x:c r="I115" t="n">
        <x:v>12133.84</x:v>
      </x:c>
      <x:c r="J115" s="22" t="n">
        <x:v>0.19721170628173254</x:v>
      </x:c>
      <x:c r="K115" s="22" t="n">
        <x:v>0.0978</x:v>
      </x:c>
      <x:c r="L115" t="n">
        <x:v>28</x:v>
      </x:c>
      <x:c r="M115" t="str">
        <x:v>成交</x:v>
      </x:c>
      <x:c r="N115" s="20" t="n">
        <x:v>45273</x:v>
      </x:c>
      <x:c r="O115"/>
    </x:row>
    <x:row r="116" ht="20" customHeight="1">
      <x:c r="A116" t="str">
        <x:v>Q00115</x:v>
      </x:c>
      <x:c r="B116" s="20" t="n">
        <x:v>45284</x:v>
      </x:c>
      <x:c r="C116" t="str">
        <x:v>AUT-009</x:v>
      </x:c>
      <x:c r="D116" t="str">
        <x:v>S04</x:v>
      </x:c>
      <x:c r="E116" t="str">
        <x:v>MECH-CON-A</x:v>
      </x:c>
      <x:c r="F116" t="str">
        <x:v>機電／自動化模組</x:v>
      </x:c>
      <x:c r="G116" t="n">
        <x:v>40</x:v>
      </x:c>
      <x:c r="H116" t="n">
        <x:v>105514.09</x:v>
      </x:c>
      <x:c r="I116" t="n">
        <x:v>83504.26</x:v>
      </x:c>
      <x:c r="J116" s="22" t="n">
        <x:v>0.2085961220913719</x:v>
      </x:c>
      <x:c r="K116" s="22" t="n">
        <x:v>0.1159</x:v>
      </x:c>
      <x:c r="L116" t="n">
        <x:v>38</x:v>
      </x:c>
      <x:c r="M116" t="str">
        <x:v>未成交</x:v>
      </x:c>
      <x:c r="N116" s="20" t="n">
        <x:v>45291</x:v>
      </x:c>
      <x:c r="O116" t="str">
        <x:v>規格</x:v>
      </x:c>
    </x:row>
    <x:row r="117" ht="20" customHeight="1">
      <x:c r="A117" t="str">
        <x:v>Q00116</x:v>
      </x:c>
      <x:c r="B117" s="20" t="n">
        <x:v>45306</x:v>
      </x:c>
      <x:c r="C117" t="str">
        <x:v>AUT-007</x:v>
      </x:c>
      <x:c r="D117" t="str">
        <x:v>S04</x:v>
      </x:c>
      <x:c r="E117" t="str">
        <x:v>PM-BRG-A</x:v>
      </x:c>
      <x:c r="F117" t="str">
        <x:v>精密金屬加工件</x:v>
      </x:c>
      <x:c r="G117" t="n">
        <x:v>300</x:v>
      </x:c>
      <x:c r="H117" t="n">
        <x:v>6994.33</x:v>
      </x:c>
      <x:c r="I117" t="n">
        <x:v>4605.75</x:v>
      </x:c>
      <x:c r="J117" s="22" t="n">
        <x:v>0.34150233117396517</x:v>
      </x:c>
      <x:c r="K117" s="22" t="n">
        <x:v>0.045</x:v>
      </x:c>
      <x:c r="L117" t="n">
        <x:v>15</x:v>
      </x:c>
      <x:c r="M117" t="str">
        <x:v>成交</x:v>
      </x:c>
      <x:c r="N117" s="20" t="n">
        <x:v>45317</x:v>
      </x:c>
      <x:c r="O117"/>
    </x:row>
    <x:row r="118" ht="20" customHeight="1">
      <x:c r="A118" t="str">
        <x:v>Q00117</x:v>
      </x:c>
      <x:c r="B118" s="20" t="n">
        <x:v>45292</x:v>
      </x:c>
      <x:c r="C118" t="str">
        <x:v>EMS-006</x:v>
      </x:c>
      <x:c r="D118" t="str">
        <x:v>S03</x:v>
      </x:c>
      <x:c r="E118" t="str">
        <x:v>AUTO-BRK-A</x:v>
      </x:c>
      <x:c r="F118" t="str">
        <x:v>汽車精密零組件</x:v>
      </x:c>
      <x:c r="G118" t="n">
        <x:v>7000</x:v>
      </x:c>
      <x:c r="H118" t="n">
        <x:v>1825.7</x:v>
      </x:c>
      <x:c r="I118" t="n">
        <x:v>1360.93</x:v>
      </x:c>
      <x:c r="J118" s="22" t="n">
        <x:v>0.2545708495371638</x:v>
      </x:c>
      <x:c r="K118" s="22" t="n">
        <x:v>0.0293</x:v>
      </x:c>
      <x:c r="L118" t="n">
        <x:v>14</x:v>
      </x:c>
      <x:c r="M118" t="str">
        <x:v>成交</x:v>
      </x:c>
      <x:c r="N118" s="20" t="n">
        <x:v>45302</x:v>
      </x:c>
      <x:c r="O118"/>
    </x:row>
    <x:row r="119" ht="20" customHeight="1">
      <x:c r="A119" t="str">
        <x:v>Q00118</x:v>
      </x:c>
      <x:c r="B119" s="20" t="n">
        <x:v>45312</x:v>
      </x:c>
      <x:c r="C119" t="str">
        <x:v>IAT-004</x:v>
      </x:c>
      <x:c r="D119" t="str">
        <x:v>S05</x:v>
      </x:c>
      <x:c r="E119" t="str">
        <x:v>AUTO-BRK-A</x:v>
      </x:c>
      <x:c r="F119" t="str">
        <x:v>汽車精密零組件</x:v>
      </x:c>
      <x:c r="G119" t="n">
        <x:v>13000</x:v>
      </x:c>
      <x:c r="H119" t="n">
        <x:v>1659.35</x:v>
      </x:c>
      <x:c r="I119" t="n">
        <x:v>1387.92</x:v>
      </x:c>
      <x:c r="J119" s="22" t="n">
        <x:v>0.1635760990749389</x:v>
      </x:c>
      <x:c r="K119" s="22" t="n">
        <x:v>0.1134</x:v>
      </x:c>
      <x:c r="L119" t="n">
        <x:v>16</x:v>
      </x:c>
      <x:c r="M119" t="str">
        <x:v>成交</x:v>
      </x:c>
      <x:c r="N119" s="20" t="n">
        <x:v>45315</x:v>
      </x:c>
      <x:c r="O119"/>
    </x:row>
    <x:row r="120" ht="20" customHeight="1">
      <x:c r="A120" t="str">
        <x:v>Q00119</x:v>
      </x:c>
      <x:c r="B120" s="20" t="n">
        <x:v>45318</x:v>
      </x:c>
      <x:c r="C120" t="str">
        <x:v>IAT-007</x:v>
      </x:c>
      <x:c r="D120" t="str">
        <x:v>S04</x:v>
      </x:c>
      <x:c r="E120" t="str">
        <x:v>MECH-STG-A</x:v>
      </x:c>
      <x:c r="F120" t="str">
        <x:v>機電／自動化模組</x:v>
      </x:c>
      <x:c r="G120" t="n">
        <x:v>50</x:v>
      </x:c>
      <x:c r="H120" t="n">
        <x:v>136283.71</x:v>
      </x:c>
      <x:c r="I120" t="n">
        <x:v>104225.69</x:v>
      </x:c>
      <x:c r="J120" s="22" t="n">
        <x:v>0.23523002125492468</x:v>
      </x:c>
      <x:c r="K120" s="22" t="n">
        <x:v>0.0757</x:v>
      </x:c>
      <x:c r="L120" t="n">
        <x:v>40</x:v>
      </x:c>
      <x:c r="M120" t="str">
        <x:v>成交</x:v>
      </x:c>
      <x:c r="N120" s="20" t="n">
        <x:v>45325</x:v>
      </x:c>
      <x:c r="O120"/>
    </x:row>
    <x:row r="121" ht="20" customHeight="1">
      <x:c r="A121" t="str">
        <x:v>Q00120</x:v>
      </x:c>
      <x:c r="B121" s="20" t="n">
        <x:v>45296</x:v>
      </x:c>
      <x:c r="C121" t="str">
        <x:v>IAT-002</x:v>
      </x:c>
      <x:c r="D121" t="str">
        <x:v>S01</x:v>
      </x:c>
      <x:c r="E121" t="str">
        <x:v>PM-SUS-A</x:v>
      </x:c>
      <x:c r="F121" t="str">
        <x:v>精密金屬加工件</x:v>
      </x:c>
      <x:c r="G121" t="n">
        <x:v>1200</x:v>
      </x:c>
      <x:c r="H121" t="n">
        <x:v>10614.55</x:v>
      </x:c>
      <x:c r="I121" t="n">
        <x:v>7766.82</x:v>
      </x:c>
      <x:c r="J121" s="22" t="n">
        <x:v>0.2682855137523493</x:v>
      </x:c>
      <x:c r="K121" s="22" t="n">
        <x:v>0.0563</x:v>
      </x:c>
      <x:c r="L121" t="n">
        <x:v>22</x:v>
      </x:c>
      <x:c r="M121" t="str">
        <x:v>成交</x:v>
      </x:c>
      <x:c r="N121" s="20" t="n">
        <x:v>45307</x:v>
      </x:c>
      <x:c r="O121"/>
    </x:row>
    <x:row r="122" ht="20" customHeight="1">
      <x:c r="A122" t="str">
        <x:v>Q00121</x:v>
      </x:c>
      <x:c r="B122" s="20" t="n">
        <x:v>45292</x:v>
      </x:c>
      <x:c r="C122" t="str">
        <x:v>AUT-009</x:v>
      </x:c>
      <x:c r="D122" t="str">
        <x:v>S04</x:v>
      </x:c>
      <x:c r="E122" t="str">
        <x:v>PM-BRG-A</x:v>
      </x:c>
      <x:c r="F122" t="str">
        <x:v>精密金屬加工件</x:v>
      </x:c>
      <x:c r="G122" t="n">
        <x:v>1600</x:v>
      </x:c>
      <x:c r="H122" t="n">
        <x:v>6995.97</x:v>
      </x:c>
      <x:c r="I122" t="n">
        <x:v>4365.68</x:v>
      </x:c>
      <x:c r="J122" s="22" t="n">
        <x:v>0.37597216683319107</x:v>
      </x:c>
      <x:c r="K122" s="22" t="n">
        <x:v>0.0414</x:v>
      </x:c>
      <x:c r="L122" t="n">
        <x:v>19</x:v>
      </x:c>
      <x:c r="M122" t="str">
        <x:v>成交</x:v>
      </x:c>
      <x:c r="N122" s="20" t="n">
        <x:v>45301</x:v>
      </x:c>
      <x:c r="O122"/>
    </x:row>
    <x:row r="123" ht="20" customHeight="1">
      <x:c r="A123" t="str">
        <x:v>Q00122</x:v>
      </x:c>
      <x:c r="B123" s="20" t="n">
        <x:v>45317</x:v>
      </x:c>
      <x:c r="C123" t="str">
        <x:v>SEM-002</x:v>
      </x:c>
      <x:c r="D123" t="str">
        <x:v>S02</x:v>
      </x:c>
      <x:c r="E123" t="str">
        <x:v>PM-VAC-B</x:v>
      </x:c>
      <x:c r="F123" t="str">
        <x:v>精密金屬加工件</x:v>
      </x:c>
      <x:c r="G123" t="n">
        <x:v>1600</x:v>
      </x:c>
      <x:c r="H123" t="n">
        <x:v>23222.42</x:v>
      </x:c>
      <x:c r="I123" t="n">
        <x:v>15707.59</x:v>
      </x:c>
      <x:c r="J123" s="22" t="n">
        <x:v>0.3236023635779561</x:v>
      </x:c>
      <x:c r="K123" s="22" t="n">
        <x:v>0.0237</x:v>
      </x:c>
      <x:c r="L123" t="n">
        <x:v>33</x:v>
      </x:c>
      <x:c r="M123" t="str">
        <x:v>成交</x:v>
      </x:c>
      <x:c r="N123" s="20" t="n">
        <x:v>45328</x:v>
      </x:c>
      <x:c r="O123"/>
    </x:row>
    <x:row r="124" ht="20" customHeight="1">
      <x:c r="A124" t="str">
        <x:v>Q00123</x:v>
      </x:c>
      <x:c r="B124" s="20" t="n">
        <x:v>45298</x:v>
      </x:c>
      <x:c r="C124" t="str">
        <x:v>AFT-004</x:v>
      </x:c>
      <x:c r="D124" t="str">
        <x:v>S02</x:v>
      </x:c>
      <x:c r="E124" t="str">
        <x:v>AUTO-FL-A</x:v>
      </x:c>
      <x:c r="F124" t="str">
        <x:v>汽車精密零組件</x:v>
      </x:c>
      <x:c r="G124" t="n">
        <x:v>10000</x:v>
      </x:c>
      <x:c r="H124" t="n">
        <x:v>1330.57</x:v>
      </x:c>
      <x:c r="I124" t="n">
        <x:v>983.72</x:v>
      </x:c>
      <x:c r="J124" s="22" t="n">
        <x:v>0.26067775464650483</x:v>
      </x:c>
      <x:c r="K124" s="22" t="n">
        <x:v>0.0381</x:v>
      </x:c>
      <x:c r="L124" t="n">
        <x:v>12</x:v>
      </x:c>
      <x:c r="M124" t="str">
        <x:v>未成交</x:v>
      </x:c>
      <x:c r="N124" s="20" t="n">
        <x:v>45308</x:v>
      </x:c>
      <x:c r="O124" t="str">
        <x:v>價格</x:v>
      </x:c>
    </x:row>
    <x:row r="125" ht="20" customHeight="1">
      <x:c r="A125" t="str">
        <x:v>Q00124</x:v>
      </x:c>
      <x:c r="B125" s="20" t="n">
        <x:v>45293</x:v>
      </x:c>
      <x:c r="C125" t="str">
        <x:v>SEM-010</x:v>
      </x:c>
      <x:c r="D125" t="str">
        <x:v>S01</x:v>
      </x:c>
      <x:c r="E125" t="str">
        <x:v>PM-BRG-B</x:v>
      </x:c>
      <x:c r="F125" t="str">
        <x:v>精密金屬加工件</x:v>
      </x:c>
      <x:c r="G125" t="n">
        <x:v>800</x:v>
      </x:c>
      <x:c r="H125" t="n">
        <x:v>8060.88</x:v>
      </x:c>
      <x:c r="I125" t="n">
        <x:v>5394.03</x:v>
      </x:c>
      <x:c r="J125" s="22" t="n">
        <x:v>0.33083856849376253</x:v>
      </x:c>
      <x:c r="K125" s="22" t="n">
        <x:v>0.0361</x:v>
      </x:c>
      <x:c r="L125" t="n">
        <x:v>23</x:v>
      </x:c>
      <x:c r="M125" t="str">
        <x:v>成交</x:v>
      </x:c>
      <x:c r="N125" s="20" t="n">
        <x:v>45297</x:v>
      </x:c>
      <x:c r="O125"/>
    </x:row>
    <x:row r="126" ht="20" customHeight="1">
      <x:c r="A126" t="str">
        <x:v>Q00125</x:v>
      </x:c>
      <x:c r="B126" s="20" t="n">
        <x:v>45294</x:v>
      </x:c>
      <x:c r="C126" t="str">
        <x:v>AUT-004</x:v>
      </x:c>
      <x:c r="D126" t="str">
        <x:v>S03</x:v>
      </x:c>
      <x:c r="E126" t="str">
        <x:v>AUTO-LG-A</x:v>
      </x:c>
      <x:c r="F126" t="str">
        <x:v>汽車精密零組件</x:v>
      </x:c>
      <x:c r="G126" t="n">
        <x:v>10000</x:v>
      </x:c>
      <x:c r="H126" t="n">
        <x:v>1033.43</x:v>
      </x:c>
      <x:c r="I126" t="n">
        <x:v>852.62</x:v>
      </x:c>
      <x:c r="J126" s="22" t="n">
        <x:v>0.17496105203061654</x:v>
      </x:c>
      <x:c r="K126" s="22" t="n">
        <x:v>0.1118</x:v>
      </x:c>
      <x:c r="L126" t="n">
        <x:v>17</x:v>
      </x:c>
      <x:c r="M126" t="str">
        <x:v>未成交</x:v>
      </x:c>
      <x:c r="N126" s="20" t="n">
        <x:v>45305</x:v>
      </x:c>
      <x:c r="O126" t="str">
        <x:v>價格</x:v>
      </x:c>
    </x:row>
    <x:row r="127" ht="20" customHeight="1">
      <x:c r="A127" t="str">
        <x:v>Q00126</x:v>
      </x:c>
      <x:c r="B127" s="20" t="n">
        <x:v>45300</x:v>
      </x:c>
      <x:c r="C127" t="str">
        <x:v>AFT-007</x:v>
      </x:c>
      <x:c r="D127" t="str">
        <x:v>S04</x:v>
      </x:c>
      <x:c r="E127" t="str">
        <x:v>PM-VAC-A</x:v>
      </x:c>
      <x:c r="F127" t="str">
        <x:v>精密金屬加工件</x:v>
      </x:c>
      <x:c r="G127" t="n">
        <x:v>1600</x:v>
      </x:c>
      <x:c r="H127" t="n">
        <x:v>16173.15</x:v>
      </x:c>
      <x:c r="I127" t="n">
        <x:v>11041.81</x:v>
      </x:c>
      <x:c r="J127" s="22" t="n">
        <x:v>0.31727523704411326</x:v>
      </x:c>
      <x:c r="K127" s="22" t="n">
        <x:v>0.054</x:v>
      </x:c>
      <x:c r="L127" t="n">
        <x:v>32</x:v>
      </x:c>
      <x:c r="M127" t="str">
        <x:v>成交</x:v>
      </x:c>
      <x:c r="N127" s="20" t="n">
        <x:v>45305</x:v>
      </x:c>
      <x:c r="O127"/>
    </x:row>
    <x:row r="128" ht="20" customHeight="1">
      <x:c r="A128" t="str">
        <x:v>Q00127</x:v>
      </x:c>
      <x:c r="B128" s="20" t="n">
        <x:v>45308</x:v>
      </x:c>
      <x:c r="C128" t="str">
        <x:v>AUT-007</x:v>
      </x:c>
      <x:c r="D128" t="str">
        <x:v>S04</x:v>
      </x:c>
      <x:c r="E128" t="str">
        <x:v>MECH-CON-B</x:v>
      </x:c>
      <x:c r="F128" t="str">
        <x:v>機電／自動化模組</x:v>
      </x:c>
      <x:c r="G128" t="n">
        <x:v>20</x:v>
      </x:c>
      <x:c r="H128" t="n">
        <x:v>149729.65</x:v>
      </x:c>
      <x:c r="I128" t="n">
        <x:v>117788.47</x:v>
      </x:c>
      <x:c r="J128" s="22" t="n">
        <x:v>0.2133256839911133</x:v>
      </x:c>
      <x:c r="K128" s="22" t="n">
        <x:v>0.0962</x:v>
      </x:c>
      <x:c r="L128" t="n">
        <x:v>41</x:v>
      </x:c>
      <x:c r="M128" t="str">
        <x:v>未成交</x:v>
      </x:c>
      <x:c r="N128" s="20" t="n">
        <x:v>45317</x:v>
      </x:c>
      <x:c r="O128" t="str">
        <x:v>價格</x:v>
      </x:c>
    </x:row>
    <x:row r="129" ht="20" customHeight="1">
      <x:c r="A129" t="str">
        <x:v>Q00128</x:v>
      </x:c>
      <x:c r="B129" s="20" t="n">
        <x:v>45313</x:v>
      </x:c>
      <x:c r="C129" t="str">
        <x:v>AFT-004</x:v>
      </x:c>
      <x:c r="D129" t="str">
        <x:v>S02</x:v>
      </x:c>
      <x:c r="E129" t="str">
        <x:v>PM-VAC-B</x:v>
      </x:c>
      <x:c r="F129" t="str">
        <x:v>精密金屬加工件</x:v>
      </x:c>
      <x:c r="G129" t="n">
        <x:v>300</x:v>
      </x:c>
      <x:c r="H129" t="n">
        <x:v>22359.94</x:v>
      </x:c>
      <x:c r="I129" t="n">
        <x:v>15112.93</x:v>
      </x:c>
      <x:c r="J129" s="22" t="n">
        <x:v>0.324106862540776</x:v>
      </x:c>
      <x:c r="K129" s="22" t="n">
        <x:v>0.0622</x:v>
      </x:c>
      <x:c r="L129" t="n">
        <x:v>38</x:v>
      </x:c>
      <x:c r="M129" t="str">
        <x:v>成交</x:v>
      </x:c>
      <x:c r="N129" s="20" t="n">
        <x:v>45318</x:v>
      </x:c>
      <x:c r="O129"/>
    </x:row>
    <x:row r="130" ht="20" customHeight="1">
      <x:c r="A130" t="str">
        <x:v>Q00129</x:v>
      </x:c>
      <x:c r="B130" s="20" t="n">
        <x:v>45292</x:v>
      </x:c>
      <x:c r="C130" t="str">
        <x:v>AFT-005</x:v>
      </x:c>
      <x:c r="D130" t="str">
        <x:v>S05</x:v>
      </x:c>
      <x:c r="E130" t="str">
        <x:v>AUTO-LG-A</x:v>
      </x:c>
      <x:c r="F130" t="str">
        <x:v>汽車精密零組件</x:v>
      </x:c>
      <x:c r="G130" t="n">
        <x:v>13000</x:v>
      </x:c>
      <x:c r="H130" t="n">
        <x:v>1064.84</x:v>
      </x:c>
      <x:c r="I130" t="n">
        <x:v>866.18</x:v>
      </x:c>
      <x:c r="J130" s="22" t="n">
        <x:v>0.18656323954772547</x:v>
      </x:c>
      <x:c r="K130" s="22" t="n">
        <x:v>0.0912</x:v>
      </x:c>
      <x:c r="L130" t="n">
        <x:v>16</x:v>
      </x:c>
      <x:c r="M130" t="str">
        <x:v>成交</x:v>
      </x:c>
      <x:c r="N130" s="20" t="n">
        <x:v>45296</x:v>
      </x:c>
      <x:c r="O130"/>
    </x:row>
    <x:row r="131" ht="20" customHeight="1">
      <x:c r="A131" t="str">
        <x:v>Q00130</x:v>
      </x:c>
      <x:c r="B131" s="20" t="n">
        <x:v>45294</x:v>
      </x:c>
      <x:c r="C131" t="str">
        <x:v>SEM-006</x:v>
      </x:c>
      <x:c r="D131" t="str">
        <x:v>S06</x:v>
      </x:c>
      <x:c r="E131" t="str">
        <x:v>PM-BRG-A</x:v>
      </x:c>
      <x:c r="F131" t="str">
        <x:v>精密金屬加工件</x:v>
      </x:c>
      <x:c r="G131" t="n">
        <x:v>500</x:v>
      </x:c>
      <x:c r="H131" t="n">
        <x:v>6747.01</x:v>
      </x:c>
      <x:c r="I131" t="n">
        <x:v>4598.63</x:v>
      </x:c>
      <x:c r="J131" s="22" t="n">
        <x:v>0.31841956659320203</x:v>
      </x:c>
      <x:c r="K131" s="22" t="n">
        <x:v>0.0721</x:v>
      </x:c>
      <x:c r="L131" t="n">
        <x:v>18</x:v>
      </x:c>
      <x:c r="M131" t="str">
        <x:v>成交</x:v>
      </x:c>
      <x:c r="N131" s="20" t="n">
        <x:v>45305</x:v>
      </x:c>
      <x:c r="O131"/>
    </x:row>
    <x:row r="132" ht="20" customHeight="1">
      <x:c r="A132" t="str">
        <x:v>Q00131</x:v>
      </x:c>
      <x:c r="B132" s="20" t="n">
        <x:v>45319</x:v>
      </x:c>
      <x:c r="C132" t="str">
        <x:v>AFT-003</x:v>
      </x:c>
      <x:c r="D132" t="str">
        <x:v>S01</x:v>
      </x:c>
      <x:c r="E132" t="str">
        <x:v>PM-ALB-B</x:v>
      </x:c>
      <x:c r="F132" t="str">
        <x:v>精密金屬加工件</x:v>
      </x:c>
      <x:c r="G132" t="n">
        <x:v>500</x:v>
      </x:c>
      <x:c r="H132" t="n">
        <x:v>16860.89</x:v>
      </x:c>
      <x:c r="I132" t="n">
        <x:v>11671.43</x:v>
      </x:c>
      <x:c r="J132" s="22" t="n">
        <x:v>0.3077809059901345</x:v>
      </x:c>
      <x:c r="K132" s="22" t="n">
        <x:v>0.01</x:v>
      </x:c>
      <x:c r="L132" t="n">
        <x:v>26</x:v>
      </x:c>
      <x:c r="M132" t="str">
        <x:v>成交</x:v>
      </x:c>
      <x:c r="N132" s="20" t="n">
        <x:v>45329</x:v>
      </x:c>
      <x:c r="O132"/>
    </x:row>
    <x:row r="133" ht="20" customHeight="1">
      <x:c r="A133" t="str">
        <x:v>Q00132</x:v>
      </x:c>
      <x:c r="B133" s="20" t="n">
        <x:v>45308</x:v>
      </x:c>
      <x:c r="C133" t="str">
        <x:v>EMS-008</x:v>
      </x:c>
      <x:c r="D133" t="str">
        <x:v>S02</x:v>
      </x:c>
      <x:c r="E133" t="str">
        <x:v>AUTO-KN-A</x:v>
      </x:c>
      <x:c r="F133" t="str">
        <x:v>汽車精密零組件</x:v>
      </x:c>
      <x:c r="G133" t="n">
        <x:v>13000</x:v>
      </x:c>
      <x:c r="H133" t="n">
        <x:v>2976.32</x:v>
      </x:c>
      <x:c r="I133" t="n">
        <x:v>2224.02</x:v>
      </x:c>
      <x:c r="J133" s="22" t="n">
        <x:v>0.25276179980647245</x:v>
      </x:c>
      <x:c r="K133" s="22" t="n">
        <x:v>0.1297</x:v>
      </x:c>
      <x:c r="L133" t="n">
        <x:v>18</x:v>
      </x:c>
      <x:c r="M133" t="str">
        <x:v>未成交</x:v>
      </x:c>
      <x:c r="N133" s="20" t="n">
        <x:v>45319</x:v>
      </x:c>
      <x:c r="O133" t="str">
        <x:v>規格</x:v>
      </x:c>
    </x:row>
    <x:row r="134" ht="20" customHeight="1">
      <x:c r="A134" t="str">
        <x:v>Q00133</x:v>
      </x:c>
      <x:c r="B134" s="20" t="n">
        <x:v>45295</x:v>
      </x:c>
      <x:c r="C134" t="str">
        <x:v>AUT-006</x:v>
      </x:c>
      <x:c r="D134" t="str">
        <x:v>S03</x:v>
      </x:c>
      <x:c r="E134" t="str">
        <x:v>PM-SUS-B</x:v>
      </x:c>
      <x:c r="F134" t="str">
        <x:v>精密金屬加工件</x:v>
      </x:c>
      <x:c r="G134" t="n">
        <x:v>1600</x:v>
      </x:c>
      <x:c r="H134" t="n">
        <x:v>13760</x:v>
      </x:c>
      <x:c r="I134" t="n">
        <x:v>11370.51</x:v>
      </x:c>
      <x:c r="J134" s="22" t="n">
        <x:v>0.17365479651162788</x:v>
      </x:c>
      <x:c r="K134" s="22" t="n">
        <x:v>0.1163</x:v>
      </x:c>
      <x:c r="L134" t="n">
        <x:v>24</x:v>
      </x:c>
      <x:c r="M134" t="str">
        <x:v>成交</x:v>
      </x:c>
      <x:c r="N134" s="20" t="n">
        <x:v>45305</x:v>
      </x:c>
      <x:c r="O134"/>
    </x:row>
    <x:row r="135" ht="20" customHeight="1">
      <x:c r="A135" t="str">
        <x:v>Q00134</x:v>
      </x:c>
      <x:c r="B135" s="20" t="n">
        <x:v>45298</x:v>
      </x:c>
      <x:c r="C135" t="str">
        <x:v>EMS-003</x:v>
      </x:c>
      <x:c r="D135" t="str">
        <x:v>S05</x:v>
      </x:c>
      <x:c r="E135" t="str">
        <x:v>PM-BRG-B</x:v>
      </x:c>
      <x:c r="F135" t="str">
        <x:v>精密金屬加工件</x:v>
      </x:c>
      <x:c r="G135" t="n">
        <x:v>300</x:v>
      </x:c>
      <x:c r="H135" t="n">
        <x:v>7657.12</x:v>
      </x:c>
      <x:c r="I135" t="n">
        <x:v>5573.62</x:v>
      </x:c>
      <x:c r="J135" s="22" t="n">
        <x:v>0.272099692834904</x:v>
      </x:c>
      <x:c r="K135" s="22" t="n">
        <x:v>0.0747</x:v>
      </x:c>
      <x:c r="L135" t="n">
        <x:v>23</x:v>
      </x:c>
      <x:c r="M135" t="str">
        <x:v>成交</x:v>
      </x:c>
      <x:c r="N135" s="20" t="n">
        <x:v>45302</x:v>
      </x:c>
      <x:c r="O135"/>
    </x:row>
    <x:row r="136" ht="20" customHeight="1">
      <x:c r="A136" t="str">
        <x:v>Q00135</x:v>
      </x:c>
      <x:c r="B136" s="20" t="n">
        <x:v>45294</x:v>
      </x:c>
      <x:c r="C136" t="str">
        <x:v>IAT-009</x:v>
      </x:c>
      <x:c r="D136" t="str">
        <x:v>S04</x:v>
      </x:c>
      <x:c r="E136" t="str">
        <x:v>SEMI-WH-A</x:v>
      </x:c>
      <x:c r="F136" t="str">
        <x:v>半導體設備零組件</x:v>
      </x:c>
      <x:c r="G136" t="n">
        <x:v>80</x:v>
      </x:c>
      <x:c r="H136" t="n">
        <x:v>105533.41</x:v>
      </x:c>
      <x:c r="I136" t="n">
        <x:v>88212.54</x:v>
      </x:c>
      <x:c r="J136" s="22" t="n">
        <x:v>0.16412688645235674</x:v>
      </x:c>
      <x:c r="K136" s="22" t="n">
        <x:v>0.1143</x:v>
      </x:c>
      <x:c r="L136" t="n">
        <x:v>53</x:v>
      </x:c>
      <x:c r="M136" t="str">
        <x:v>未成交</x:v>
      </x:c>
      <x:c r="N136" s="20" t="n">
        <x:v>45300</x:v>
      </x:c>
      <x:c r="O136" t="str">
        <x:v>競品</x:v>
      </x:c>
    </x:row>
    <x:row r="137" ht="20" customHeight="1">
      <x:c r="A137" t="str">
        <x:v>Q00136</x:v>
      </x:c>
      <x:c r="B137" s="20" t="n">
        <x:v>45314</x:v>
      </x:c>
      <x:c r="C137" t="str">
        <x:v>AUT-012</x:v>
      </x:c>
      <x:c r="D137" t="str">
        <x:v>S06</x:v>
      </x:c>
      <x:c r="E137" t="str">
        <x:v>PM-ALB-A</x:v>
      </x:c>
      <x:c r="F137" t="str">
        <x:v>精密金屬加工件</x:v>
      </x:c>
      <x:c r="G137" t="n">
        <x:v>800</x:v>
      </x:c>
      <x:c r="H137" t="n">
        <x:v>11138.35</x:v>
      </x:c>
      <x:c r="I137" t="n">
        <x:v>8402.01</x:v>
      </x:c>
      <x:c r="J137" s="22" t="n">
        <x:v>0.24566834405455026</x:v>
      </x:c>
      <x:c r="K137" s="22" t="n">
        <x:v>0.0506</x:v>
      </x:c>
      <x:c r="L137" t="n">
        <x:v>18</x:v>
      </x:c>
      <x:c r="M137" t="str">
        <x:v>成交</x:v>
      </x:c>
      <x:c r="N137" s="20" t="n">
        <x:v>45318</x:v>
      </x:c>
      <x:c r="O137"/>
    </x:row>
    <x:row r="138" ht="20" customHeight="1">
      <x:c r="A138" t="str">
        <x:v>Q00137</x:v>
      </x:c>
      <x:c r="B138" s="20" t="n">
        <x:v>45295</x:v>
      </x:c>
      <x:c r="C138" t="str">
        <x:v>SEM-010</x:v>
      </x:c>
      <x:c r="D138" t="str">
        <x:v>S01</x:v>
      </x:c>
      <x:c r="E138" t="str">
        <x:v>MECH-STG-B</x:v>
      </x:c>
      <x:c r="F138" t="str">
        <x:v>機電／自動化模組</x:v>
      </x:c>
      <x:c r="G138" t="n">
        <x:v>40</x:v>
      </x:c>
      <x:c r="H138" t="n">
        <x:v>181725.56</x:v>
      </x:c>
      <x:c r="I138" t="n">
        <x:v>156494.48</x:v>
      </x:c>
      <x:c r="J138" s="22" t="n">
        <x:v>0.13884166872288073</x:v>
      </x:c>
      <x:c r="K138" s="22" t="n">
        <x:v>0.1151</x:v>
      </x:c>
      <x:c r="L138" t="n">
        <x:v>51</x:v>
      </x:c>
      <x:c r="M138" t="str">
        <x:v>未成交</x:v>
      </x:c>
      <x:c r="N138" s="20" t="n">
        <x:v>45303</x:v>
      </x:c>
      <x:c r="O138" t="str">
        <x:v>規格</x:v>
      </x:c>
    </x:row>
    <x:row r="139" ht="20" customHeight="1">
      <x:c r="A139" t="str">
        <x:v>Q00138</x:v>
      </x:c>
      <x:c r="B139" s="20" t="n">
        <x:v>45316</x:v>
      </x:c>
      <x:c r="C139" t="str">
        <x:v>AFT-006</x:v>
      </x:c>
      <x:c r="D139" t="str">
        <x:v>S01</x:v>
      </x:c>
      <x:c r="E139" t="str">
        <x:v>AUTO-MH-A</x:v>
      </x:c>
      <x:c r="F139" t="str">
        <x:v>汽車精密零組件</x:v>
      </x:c>
      <x:c r="G139" t="n">
        <x:v>5000</x:v>
      </x:c>
      <x:c r="H139" t="n">
        <x:v>2360.92</x:v>
      </x:c>
      <x:c r="I139" t="n">
        <x:v>1937.14</x:v>
      </x:c>
      <x:c r="J139" s="22" t="n">
        <x:v>0.17949782288260507</x:v>
      </x:c>
      <x:c r="K139" s="22" t="n">
        <x:v>0.1186</x:v>
      </x:c>
      <x:c r="L139" t="n">
        <x:v>22</x:v>
      </x:c>
      <x:c r="M139" t="str">
        <x:v>未成交</x:v>
      </x:c>
      <x:c r="N139" s="20" t="n">
        <x:v>45326</x:v>
      </x:c>
      <x:c r="O139" t="str">
        <x:v>規格</x:v>
      </x:c>
    </x:row>
    <x:row r="140" ht="20" customHeight="1">
      <x:c r="A140" t="str">
        <x:v>Q00139</x:v>
      </x:c>
      <x:c r="B140" s="20" t="n">
        <x:v>45294</x:v>
      </x:c>
      <x:c r="C140" t="str">
        <x:v>AUT-006</x:v>
      </x:c>
      <x:c r="D140" t="str">
        <x:v>S03</x:v>
      </x:c>
      <x:c r="E140" t="str">
        <x:v>PM-SUS-B</x:v>
      </x:c>
      <x:c r="F140" t="str">
        <x:v>精密金屬加工件</x:v>
      </x:c>
      <x:c r="G140" t="n">
        <x:v>1200</x:v>
      </x:c>
      <x:c r="H140" t="n">
        <x:v>15080.91</x:v>
      </x:c>
      <x:c r="I140" t="n">
        <x:v>10794.2</x:v>
      </x:c>
      <x:c r="J140" s="22" t="n">
        <x:v>0.28424743599689933</x:v>
      </x:c>
      <x:c r="K140" s="22" t="n">
        <x:v>0.035</x:v>
      </x:c>
      <x:c r="L140" t="n">
        <x:v>30</x:v>
      </x:c>
      <x:c r="M140" t="str">
        <x:v>成交</x:v>
      </x:c>
      <x:c r="N140" s="20" t="n">
        <x:v>45304</x:v>
      </x:c>
      <x:c r="O140"/>
    </x:row>
    <x:row r="141" ht="20" customHeight="1">
      <x:c r="A141" t="str">
        <x:v>Q00140</x:v>
      </x:c>
      <x:c r="B141" s="20" t="n">
        <x:v>45319</x:v>
      </x:c>
      <x:c r="C141" t="str">
        <x:v>AFT-001</x:v>
      </x:c>
      <x:c r="D141" t="str">
        <x:v>S05</x:v>
      </x:c>
      <x:c r="E141" t="str">
        <x:v>AUTO-KN-A</x:v>
      </x:c>
      <x:c r="F141" t="str">
        <x:v>汽車精密零組件</x:v>
      </x:c>
      <x:c r="G141" t="n">
        <x:v>13000</x:v>
      </x:c>
      <x:c r="H141" t="n">
        <x:v>3051.21</x:v>
      </x:c>
      <x:c r="I141" t="n">
        <x:v>2174.15</x:v>
      </x:c>
      <x:c r="J141" s="22" t="n">
        <x:v>0.2874466195378227</x:v>
      </x:c>
      <x:c r="K141" s="22" t="n">
        <x:v>0.1085</x:v>
      </x:c>
      <x:c r="L141" t="n">
        <x:v>25</x:v>
      </x:c>
      <x:c r="M141" t="str">
        <x:v>成交</x:v>
      </x:c>
      <x:c r="N141" s="20" t="n">
        <x:v>45329</x:v>
      </x:c>
      <x:c r="O141"/>
    </x:row>
    <x:row r="142" ht="20" customHeight="1">
      <x:c r="A142" t="str">
        <x:v>Q00141</x:v>
      </x:c>
      <x:c r="B142" s="20" t="n">
        <x:v>45304</x:v>
      </x:c>
      <x:c r="C142" t="str">
        <x:v>IAT-010</x:v>
      </x:c>
      <x:c r="D142" t="str">
        <x:v>S04</x:v>
      </x:c>
      <x:c r="E142" t="str">
        <x:v>AUTO-KN-B</x:v>
      </x:c>
      <x:c r="F142" t="str">
        <x:v>汽車精密零組件</x:v>
      </x:c>
      <x:c r="G142" t="n">
        <x:v>3000</x:v>
      </x:c>
      <x:c r="H142" t="n">
        <x:v>3749.05</x:v>
      </x:c>
      <x:c r="I142" t="n">
        <x:v>2512.81</x:v>
      </x:c>
      <x:c r="J142" s="22" t="n">
        <x:v>0.32974753604246415</x:v>
      </x:c>
      <x:c r="K142" s="22" t="n">
        <x:v>0.0519</x:v>
      </x:c>
      <x:c r="L142" t="n">
        <x:v>25</x:v>
      </x:c>
      <x:c r="M142" t="str">
        <x:v>未成交</x:v>
      </x:c>
      <x:c r="N142" s="20" t="n">
        <x:v>45311</x:v>
      </x:c>
      <x:c r="O142" t="str">
        <x:v>交期</x:v>
      </x:c>
    </x:row>
    <x:row r="143" ht="20" customHeight="1">
      <x:c r="A143" t="str">
        <x:v>Q00142</x:v>
      </x:c>
      <x:c r="B143" s="20" t="n">
        <x:v>45296</x:v>
      </x:c>
      <x:c r="C143" t="str">
        <x:v>IAT-004</x:v>
      </x:c>
      <x:c r="D143" t="str">
        <x:v>S05</x:v>
      </x:c>
      <x:c r="E143" t="str">
        <x:v>MECH-CON-B</x:v>
      </x:c>
      <x:c r="F143" t="str">
        <x:v>機電／自動化模組</x:v>
      </x:c>
      <x:c r="G143" t="n">
        <x:v>40</x:v>
      </x:c>
      <x:c r="H143" t="n">
        <x:v>162367.81</x:v>
      </x:c>
      <x:c r="I143" t="n">
        <x:v>115583.45</x:v>
      </x:c>
      <x:c r="J143" s="22" t="n">
        <x:v>0.2881381475798682</x:v>
      </x:c>
      <x:c r="K143" s="22" t="n">
        <x:v>0.0178</x:v>
      </x:c>
      <x:c r="L143" t="n">
        <x:v>40</x:v>
      </x:c>
      <x:c r="M143" t="str">
        <x:v>成交</x:v>
      </x:c>
      <x:c r="N143" s="20" t="n">
        <x:v>45300</x:v>
      </x:c>
      <x:c r="O143"/>
    </x:row>
    <x:row r="144" ht="20" customHeight="1">
      <x:c r="A144" t="str">
        <x:v>Q00143</x:v>
      </x:c>
      <x:c r="B144" s="20" t="n">
        <x:v>45312</x:v>
      </x:c>
      <x:c r="C144" t="str">
        <x:v>SEM-007</x:v>
      </x:c>
      <x:c r="D144" t="str">
        <x:v>S03</x:v>
      </x:c>
      <x:c r="E144" t="str">
        <x:v>SEMI-WH-B</x:v>
      </x:c>
      <x:c r="F144" t="str">
        <x:v>半導體設備零組件</x:v>
      </x:c>
      <x:c r="G144" t="n">
        <x:v>40</x:v>
      </x:c>
      <x:c r="H144" t="n">
        <x:v>178732.07</x:v>
      </x:c>
      <x:c r="I144" t="n">
        <x:v>132743.64</x:v>
      </x:c>
      <x:c r="J144" s="22" t="n">
        <x:v>0.2573037396142729</x:v>
      </x:c>
      <x:c r="K144" s="22" t="n">
        <x:v>0.01</x:v>
      </x:c>
      <x:c r="L144" t="n">
        <x:v>56</x:v>
      </x:c>
      <x:c r="M144" t="str">
        <x:v>成交</x:v>
      </x:c>
      <x:c r="N144" s="20" t="n">
        <x:v>45321</x:v>
      </x:c>
      <x:c r="O144"/>
    </x:row>
    <x:row r="145" ht="20" customHeight="1">
      <x:c r="A145" t="str">
        <x:v>Q00144</x:v>
      </x:c>
      <x:c r="B145" s="20" t="n">
        <x:v>45298</x:v>
      </x:c>
      <x:c r="C145" t="str">
        <x:v>IAT-002</x:v>
      </x:c>
      <x:c r="D145" t="str">
        <x:v>S01</x:v>
      </x:c>
      <x:c r="E145" t="str">
        <x:v>MECH-CON-A</x:v>
      </x:c>
      <x:c r="F145" t="str">
        <x:v>機電／自動化模組</x:v>
      </x:c>
      <x:c r="G145" t="n">
        <x:v>40</x:v>
      </x:c>
      <x:c r="H145" t="n">
        <x:v>107150.95</x:v>
      </x:c>
      <x:c r="I145" t="n">
        <x:v>82069.85</x:v>
      </x:c>
      <x:c r="J145" s="22" t="n">
        <x:v>0.23407258638397505</x:v>
      </x:c>
      <x:c r="K145" s="22" t="n">
        <x:v>0.0808</x:v>
      </x:c>
      <x:c r="L145" t="n">
        <x:v>35</x:v>
      </x:c>
      <x:c r="M145" t="str">
        <x:v>成交</x:v>
      </x:c>
      <x:c r="N145" s="20" t="n">
        <x:v>45302</x:v>
      </x:c>
      <x:c r="O145"/>
    </x:row>
    <x:row r="146" ht="20" customHeight="1">
      <x:c r="A146" t="str">
        <x:v>Q00145</x:v>
      </x:c>
      <x:c r="B146" s="20" t="n">
        <x:v>45318</x:v>
      </x:c>
      <x:c r="C146" t="str">
        <x:v>IAT-001</x:v>
      </x:c>
      <x:c r="D146" t="str">
        <x:v>S05</x:v>
      </x:c>
      <x:c r="E146" t="str">
        <x:v>MECH-CON-B</x:v>
      </x:c>
      <x:c r="F146" t="str">
        <x:v>機電／自動化模組</x:v>
      </x:c>
      <x:c r="G146" t="n">
        <x:v>10</x:v>
      </x:c>
      <x:c r="H146" t="n">
        <x:v>155748.44</x:v>
      </x:c>
      <x:c r="I146" t="n">
        <x:v>120546.86</x:v>
      </x:c>
      <x:c r="J146" s="22" t="n">
        <x:v>0.22601561851919674</x:v>
      </x:c>
      <x:c r="K146" s="22" t="n">
        <x:v>0.0423</x:v>
      </x:c>
      <x:c r="L146" t="n">
        <x:v>44</x:v>
      </x:c>
      <x:c r="M146" t="str">
        <x:v>成交</x:v>
      </x:c>
      <x:c r="N146" s="20" t="n">
        <x:v>45330</x:v>
      </x:c>
      <x:c r="O146"/>
    </x:row>
    <x:row r="147" ht="20" customHeight="1">
      <x:c r="A147" t="str">
        <x:v>Q00146</x:v>
      </x:c>
      <x:c r="B147" s="20" t="n">
        <x:v>45314</x:v>
      </x:c>
      <x:c r="C147" t="str">
        <x:v>EMS-008</x:v>
      </x:c>
      <x:c r="D147" t="str">
        <x:v>S02</x:v>
      </x:c>
      <x:c r="E147" t="str">
        <x:v>AUTO-MH-B</x:v>
      </x:c>
      <x:c r="F147" t="str">
        <x:v>汽車精密零組件</x:v>
      </x:c>
      <x:c r="G147" t="n">
        <x:v>5000</x:v>
      </x:c>
      <x:c r="H147" t="n">
        <x:v>2770.54</x:v>
      </x:c>
      <x:c r="I147" t="n">
        <x:v>2379.76</x:v>
      </x:c>
      <x:c r="J147" s="22" t="n">
        <x:v>0.14104831549084285</x:v>
      </x:c>
      <x:c r="K147" s="22" t="n">
        <x:v>0.1351</x:v>
      </x:c>
      <x:c r="L147" t="n">
        <x:v>18</x:v>
      </x:c>
      <x:c r="M147" t="str">
        <x:v>成交</x:v>
      </x:c>
      <x:c r="N147" s="20" t="n">
        <x:v>45323</x:v>
      </x:c>
      <x:c r="O147"/>
    </x:row>
    <x:row r="148" ht="20" customHeight="1">
      <x:c r="A148" t="str">
        <x:v>Q00147</x:v>
      </x:c>
      <x:c r="B148" s="20" t="n">
        <x:v>45294</x:v>
      </x:c>
      <x:c r="C148" t="str">
        <x:v>IAT-010</x:v>
      </x:c>
      <x:c r="D148" t="str">
        <x:v>S04</x:v>
      </x:c>
      <x:c r="E148" t="str">
        <x:v>AUTO-BRK-B</x:v>
      </x:c>
      <x:c r="F148" t="str">
        <x:v>汽車精密零組件</x:v>
      </x:c>
      <x:c r="G148" t="n">
        <x:v>3000</x:v>
      </x:c>
      <x:c r="H148" t="n">
        <x:v>2004.27</x:v>
      </x:c>
      <x:c r="I148" t="n">
        <x:v>1644.66</x:v>
      </x:c>
      <x:c r="J148" s="22" t="n">
        <x:v>0.17942193417054583</x:v>
      </x:c>
      <x:c r="K148" s="22" t="n">
        <x:v>0.1187</x:v>
      </x:c>
      <x:c r="L148" t="n">
        <x:v>15</x:v>
      </x:c>
      <x:c r="M148" t="str">
        <x:v>未成交</x:v>
      </x:c>
      <x:c r="N148" s="20" t="n">
        <x:v>45303</x:v>
      </x:c>
      <x:c r="O148" t="str">
        <x:v>專案取消</x:v>
      </x:c>
    </x:row>
    <x:row r="149" ht="20" customHeight="1">
      <x:c r="A149" t="str">
        <x:v>Q00148</x:v>
      </x:c>
      <x:c r="B149" s="20" t="n">
        <x:v>45335</x:v>
      </x:c>
      <x:c r="C149" t="str">
        <x:v>EMS-008</x:v>
      </x:c>
      <x:c r="D149" t="str">
        <x:v>S02</x:v>
      </x:c>
      <x:c r="E149" t="str">
        <x:v>SEMI-WH-B</x:v>
      </x:c>
      <x:c r="F149" t="str">
        <x:v>半導體設備零組件</x:v>
      </x:c>
      <x:c r="G149" t="n">
        <x:v>160</x:v>
      </x:c>
      <x:c r="H149" t="n">
        <x:v>157183.39</x:v>
      </x:c>
      <x:c r="I149" t="n">
        <x:v>129800.61</x:v>
      </x:c>
      <x:c r="J149" s="22" t="n">
        <x:v>0.1742091196786124</x:v>
      </x:c>
      <x:c r="K149" s="22" t="n">
        <x:v>0.1274</x:v>
      </x:c>
      <x:c r="L149" t="n">
        <x:v>67</x:v>
      </x:c>
      <x:c r="M149" t="str">
        <x:v>成交</x:v>
      </x:c>
      <x:c r="N149" s="20" t="n">
        <x:v>45339</x:v>
      </x:c>
      <x:c r="O149"/>
    </x:row>
    <x:row r="150" ht="20" customHeight="1">
      <x:c r="A150" t="str">
        <x:v>Q00149</x:v>
      </x:c>
      <x:c r="B150" s="20" t="n">
        <x:v>45330</x:v>
      </x:c>
      <x:c r="C150" t="str">
        <x:v>IAT-005</x:v>
      </x:c>
      <x:c r="D150" t="str">
        <x:v>S02</x:v>
      </x:c>
      <x:c r="E150" t="str">
        <x:v>SEMI-WH-B</x:v>
      </x:c>
      <x:c r="F150" t="str">
        <x:v>半導體設備零組件</x:v>
      </x:c>
      <x:c r="G150" t="n">
        <x:v>80</x:v>
      </x:c>
      <x:c r="H150" t="n">
        <x:v>157717.36</x:v>
      </x:c>
      <x:c r="I150" t="n">
        <x:v>133575.42</x:v>
      </x:c>
      <x:c r="J150" s="22" t="n">
        <x:v>0.15307091115397808</x:v>
      </x:c>
      <x:c r="K150" s="22" t="n">
        <x:v>0.1007</x:v>
      </x:c>
      <x:c r="L150" t="n">
        <x:v>64</x:v>
      </x:c>
      <x:c r="M150" t="str">
        <x:v>成交</x:v>
      </x:c>
      <x:c r="N150" s="20" t="n">
        <x:v>45335</x:v>
      </x:c>
      <x:c r="O150"/>
    </x:row>
    <x:row r="151" ht="20" customHeight="1">
      <x:c r="A151" t="str">
        <x:v>Q00150</x:v>
      </x:c>
      <x:c r="B151" s="20" t="n">
        <x:v>45324</x:v>
      </x:c>
      <x:c r="C151" t="str">
        <x:v>AUT-003</x:v>
      </x:c>
      <x:c r="D151" t="str">
        <x:v>S03</x:v>
      </x:c>
      <x:c r="E151" t="str">
        <x:v>PM-SUS-A</x:v>
      </x:c>
      <x:c r="F151" t="str">
        <x:v>精密金屬加工件</x:v>
      </x:c>
      <x:c r="G151" t="n">
        <x:v>500</x:v>
      </x:c>
      <x:c r="H151" t="n">
        <x:v>10030.39</x:v>
      </x:c>
      <x:c r="I151" t="n">
        <x:v>7526.69</x:v>
      </x:c>
      <x:c r="J151" s="22" t="n">
        <x:v>0.24961143086161156</x:v>
      </x:c>
      <x:c r="K151" s="22" t="n">
        <x:v>0.1178</x:v>
      </x:c>
      <x:c r="L151" t="n">
        <x:v>18</x:v>
      </x:c>
      <x:c r="M151" t="str">
        <x:v>未成交</x:v>
      </x:c>
      <x:c r="N151" s="20" t="n">
        <x:v>45327</x:v>
      </x:c>
      <x:c r="O151" t="str">
        <x:v>專案取消</x:v>
      </x:c>
    </x:row>
    <x:row r="152" ht="20" customHeight="1">
      <x:c r="A152" t="str">
        <x:v>Q00151</x:v>
      </x:c>
      <x:c r="B152" s="20" t="n">
        <x:v>45341</x:v>
      </x:c>
      <x:c r="C152" t="str">
        <x:v>AUT-002</x:v>
      </x:c>
      <x:c r="D152" t="str">
        <x:v>S04</x:v>
      </x:c>
      <x:c r="E152" t="str">
        <x:v>AUTO-FL-A</x:v>
      </x:c>
      <x:c r="F152" t="str">
        <x:v>汽車精密零組件</x:v>
      </x:c>
      <x:c r="G152" t="n">
        <x:v>3000</x:v>
      </x:c>
      <x:c r="H152" t="n">
        <x:v>1177.04</x:v>
      </x:c>
      <x:c r="I152" t="n">
        <x:v>997.86</x:v>
      </x:c>
      <x:c r="J152" s="22" t="n">
        <x:v>0.1522293210086318</x:v>
      </x:c>
      <x:c r="K152" s="22" t="n">
        <x:v>0.1444</x:v>
      </x:c>
      <x:c r="L152" t="n">
        <x:v>13</x:v>
      </x:c>
      <x:c r="M152" t="str">
        <x:v>未成交</x:v>
      </x:c>
      <x:c r="N152" s="20" t="n">
        <x:v>45353</x:v>
      </x:c>
      <x:c r="O152" t="str">
        <x:v>規格</x:v>
      </x:c>
    </x:row>
    <x:row r="153" ht="20" customHeight="1">
      <x:c r="A153" t="str">
        <x:v>Q00152</x:v>
      </x:c>
      <x:c r="B153" s="20" t="n">
        <x:v>45325</x:v>
      </x:c>
      <x:c r="C153" t="str">
        <x:v>EMS-002</x:v>
      </x:c>
      <x:c r="D153" t="str">
        <x:v>S05</x:v>
      </x:c>
      <x:c r="E153" t="str">
        <x:v>PM-VAC-A</x:v>
      </x:c>
      <x:c r="F153" t="str">
        <x:v>精密金屬加工件</x:v>
      </x:c>
      <x:c r="G153" t="n">
        <x:v>500</x:v>
      </x:c>
      <x:c r="H153" t="n">
        <x:v>14319.28</x:v>
      </x:c>
      <x:c r="I153" t="n">
        <x:v>10656.18</x:v>
      </x:c>
      <x:c r="J153" s="22" t="n">
        <x:v>0.25581593487940735</x:v>
      </x:c>
      <x:c r="K153" s="22" t="n">
        <x:v>0.1496</x:v>
      </x:c>
      <x:c r="L153" t="n">
        <x:v>29</x:v>
      </x:c>
      <x:c r="M153" t="str">
        <x:v>成交</x:v>
      </x:c>
      <x:c r="N153" s="20" t="n">
        <x:v>45330</x:v>
      </x:c>
      <x:c r="O153"/>
    </x:row>
    <x:row r="154" ht="20" customHeight="1">
      <x:c r="A154" t="str">
        <x:v>Q00153</x:v>
      </x:c>
      <x:c r="B154" s="20" t="n">
        <x:v>45347</x:v>
      </x:c>
      <x:c r="C154" t="str">
        <x:v>SEM-007</x:v>
      </x:c>
      <x:c r="D154" t="str">
        <x:v>S03</x:v>
      </x:c>
      <x:c r="E154" t="str">
        <x:v>SEMI-WH-B</x:v>
      </x:c>
      <x:c r="F154" t="str">
        <x:v>半導體設備零組件</x:v>
      </x:c>
      <x:c r="G154" t="n">
        <x:v>120</x:v>
      </x:c>
      <x:c r="H154" t="n">
        <x:v>170190.09</x:v>
      </x:c>
      <x:c r="I154" t="n">
        <x:v>127847.31</x:v>
      </x:c>
      <x:c r="J154" s="22" t="n">
        <x:v>0.24879697754434468</x:v>
      </x:c>
      <x:c r="K154" s="22" t="n">
        <x:v>0.0301</x:v>
      </x:c>
      <x:c r="L154" t="n">
        <x:v>51</x:v>
      </x:c>
      <x:c r="M154" t="str">
        <x:v>未成交</x:v>
      </x:c>
      <x:c r="N154" s="20" t="n">
        <x:v>45354</x:v>
      </x:c>
      <x:c r="O154" t="str">
        <x:v>專案取消</x:v>
      </x:c>
    </x:row>
    <x:row r="155" ht="20" customHeight="1">
      <x:c r="A155" t="str">
        <x:v>Q00154</x:v>
      </x:c>
      <x:c r="B155" s="20" t="n">
        <x:v>45339</x:v>
      </x:c>
      <x:c r="C155" t="str">
        <x:v>IAT-002</x:v>
      </x:c>
      <x:c r="D155" t="str">
        <x:v>S01</x:v>
      </x:c>
      <x:c r="E155" t="str">
        <x:v>AUTO-LG-A</x:v>
      </x:c>
      <x:c r="F155" t="str">
        <x:v>汽車精密零組件</x:v>
      </x:c>
      <x:c r="G155" t="n">
        <x:v>3000</x:v>
      </x:c>
      <x:c r="H155" t="n">
        <x:v>1119.67</x:v>
      </x:c>
      <x:c r="I155" t="n">
        <x:v>849.49</x:v>
      </x:c>
      <x:c r="J155" s="22" t="n">
        <x:v>0.2413032411335483</x:v>
      </x:c>
      <x:c r="K155" s="22" t="n">
        <x:v>0.0567</x:v>
      </x:c>
      <x:c r="L155" t="n">
        <x:v>20</x:v>
      </x:c>
      <x:c r="M155" t="str">
        <x:v>未成交</x:v>
      </x:c>
      <x:c r="N155" s="20" t="n">
        <x:v>45347</x:v>
      </x:c>
      <x:c r="O155" t="str">
        <x:v>交期</x:v>
      </x:c>
    </x:row>
    <x:row r="156" ht="20" customHeight="1">
      <x:c r="A156" t="str">
        <x:v>Q00155</x:v>
      </x:c>
      <x:c r="B156" s="20" t="n">
        <x:v>45325</x:v>
      </x:c>
      <x:c r="C156" t="str">
        <x:v>IAT-002</x:v>
      </x:c>
      <x:c r="D156" t="str">
        <x:v>S01</x:v>
      </x:c>
      <x:c r="E156" t="str">
        <x:v>AUTO-MH-A</x:v>
      </x:c>
      <x:c r="F156" t="str">
        <x:v>汽車精密零組件</x:v>
      </x:c>
      <x:c r="G156" t="n">
        <x:v>13000</x:v>
      </x:c>
      <x:c r="H156" t="n">
        <x:v>2385.86</x:v>
      </x:c>
      <x:c r="I156" t="n">
        <x:v>1925.32</x:v>
      </x:c>
      <x:c r="J156" s="22" t="n">
        <x:v>0.1930289287720152</x:v>
      </x:c>
      <x:c r="K156" s="22" t="n">
        <x:v>0.1172</x:v>
      </x:c>
      <x:c r="L156" t="n">
        <x:v>20</x:v>
      </x:c>
      <x:c r="M156" t="str">
        <x:v>成交</x:v>
      </x:c>
      <x:c r="N156" s="20" t="n">
        <x:v>45333</x:v>
      </x:c>
      <x:c r="O156"/>
    </x:row>
    <x:row r="157" ht="20" customHeight="1">
      <x:c r="A157" t="str">
        <x:v>Q00156</x:v>
      </x:c>
      <x:c r="B157" s="20" t="n">
        <x:v>45337</x:v>
      </x:c>
      <x:c r="C157" t="str">
        <x:v>AFT-004</x:v>
      </x:c>
      <x:c r="D157" t="str">
        <x:v>S02</x:v>
      </x:c>
      <x:c r="E157" t="str">
        <x:v>AUTO-KN-B</x:v>
      </x:c>
      <x:c r="F157" t="str">
        <x:v>汽車精密零組件</x:v>
      </x:c>
      <x:c r="G157" t="n">
        <x:v>13000</x:v>
      </x:c>
      <x:c r="H157" t="n">
        <x:v>3783.41</x:v>
      </x:c>
      <x:c r="I157" t="n">
        <x:v>2557.78</x:v>
      </x:c>
      <x:c r="J157" s="22" t="n">
        <x:v>0.3239485014841108</x:v>
      </x:c>
      <x:c r="K157" s="22" t="n">
        <x:v>0.0407</x:v>
      </x:c>
      <x:c r="L157" t="n">
        <x:v>19</x:v>
      </x:c>
      <x:c r="M157" t="str">
        <x:v>成交</x:v>
      </x:c>
      <x:c r="N157" s="20" t="n">
        <x:v>45344</x:v>
      </x:c>
      <x:c r="O157"/>
    </x:row>
    <x:row r="158" ht="20" customHeight="1">
      <x:c r="A158" t="str">
        <x:v>Q00157</x:v>
      </x:c>
      <x:c r="B158" s="20" t="n">
        <x:v>45339</x:v>
      </x:c>
      <x:c r="C158" t="str">
        <x:v>AFT-004</x:v>
      </x:c>
      <x:c r="D158" t="str">
        <x:v>S02</x:v>
      </x:c>
      <x:c r="E158" t="str">
        <x:v>AUTO-BS-A</x:v>
      </x:c>
      <x:c r="F158" t="str">
        <x:v>汽車精密零組件</x:v>
      </x:c>
      <x:c r="G158" t="n">
        <x:v>3000</x:v>
      </x:c>
      <x:c r="H158" t="n">
        <x:v>717.95</x:v>
      </x:c>
      <x:c r="I158" t="n">
        <x:v>563.81</x:v>
      </x:c>
      <x:c r="J158" s="22" t="n">
        <x:v>0.21469461661675618</x:v>
      </x:c>
      <x:c r="K158" s="22" t="n">
        <x:v>0.1403</x:v>
      </x:c>
      <x:c r="L158" t="n">
        <x:v>15</x:v>
      </x:c>
      <x:c r="M158" t="str">
        <x:v>未成交</x:v>
      </x:c>
      <x:c r="N158" s="20" t="n">
        <x:v>45350</x:v>
      </x:c>
      <x:c r="O158" t="str">
        <x:v>競品</x:v>
      </x:c>
    </x:row>
    <x:row r="159" ht="20" customHeight="1">
      <x:c r="A159" t="str">
        <x:v>Q00158</x:v>
      </x:c>
      <x:c r="B159" s="20" t="n">
        <x:v>45338</x:v>
      </x:c>
      <x:c r="C159" t="str">
        <x:v>EMS-001</x:v>
      </x:c>
      <x:c r="D159" t="str">
        <x:v>S02</x:v>
      </x:c>
      <x:c r="E159" t="str">
        <x:v>SEMI-CHB-B</x:v>
      </x:c>
      <x:c r="F159" t="str">
        <x:v>半導體設備零組件</x:v>
      </x:c>
      <x:c r="G159" t="n">
        <x:v>60</x:v>
      </x:c>
      <x:c r="H159" t="n">
        <x:v>136959.21</x:v>
      </x:c>
      <x:c r="I159" t="n">
        <x:v>108735.44</x:v>
      </x:c>
      <x:c r="J159" s="22" t="n">
        <x:v>0.20607427569128056</x:v>
      </x:c>
      <x:c r="K159" s="22" t="n">
        <x:v>0.0742</x:v>
      </x:c>
      <x:c r="L159" t="n">
        <x:v>51</x:v>
      </x:c>
      <x:c r="M159" t="str">
        <x:v>成交</x:v>
      </x:c>
      <x:c r="N159" s="20" t="n">
        <x:v>45350</x:v>
      </x:c>
      <x:c r="O159"/>
    </x:row>
    <x:row r="160" ht="20" customHeight="1">
      <x:c r="A160" t="str">
        <x:v>Q00159</x:v>
      </x:c>
      <x:c r="B160" s="20" t="n">
        <x:v>45324</x:v>
      </x:c>
      <x:c r="C160" t="str">
        <x:v>AFT-004</x:v>
      </x:c>
      <x:c r="D160" t="str">
        <x:v>S02</x:v>
      </x:c>
      <x:c r="E160" t="str">
        <x:v>PM-SUS-A</x:v>
      </x:c>
      <x:c r="F160" t="str">
        <x:v>精密金屬加工件</x:v>
      </x:c>
      <x:c r="G160" t="n">
        <x:v>300</x:v>
      </x:c>
      <x:c r="H160" t="n">
        <x:v>10692.49</x:v>
      </x:c>
      <x:c r="I160" t="n">
        <x:v>7434.59</x:v>
      </x:c>
      <x:c r="J160" s="22" t="n">
        <x:v>0.30469048837080975</x:v>
      </x:c>
      <x:c r="K160" s="22" t="n">
        <x:v>0.0548</x:v>
      </x:c>
      <x:c r="L160" t="n">
        <x:v>25</x:v>
      </x:c>
      <x:c r="M160" t="str">
        <x:v>成交</x:v>
      </x:c>
      <x:c r="N160" s="20" t="n">
        <x:v>45328</x:v>
      </x:c>
      <x:c r="O160"/>
    </x:row>
    <x:row r="161" ht="20" customHeight="1">
      <x:c r="A161" t="str">
        <x:v>Q00160</x:v>
      </x:c>
      <x:c r="B161" s="20" t="n">
        <x:v>45330</x:v>
      </x:c>
      <x:c r="C161" t="str">
        <x:v>AUT-002</x:v>
      </x:c>
      <x:c r="D161" t="str">
        <x:v>S04</x:v>
      </x:c>
      <x:c r="E161" t="str">
        <x:v>AUTO-BS-A</x:v>
      </x:c>
      <x:c r="F161" t="str">
        <x:v>汽車精密零組件</x:v>
      </x:c>
      <x:c r="G161" t="n">
        <x:v>3000</x:v>
      </x:c>
      <x:c r="H161" t="n">
        <x:v>753.82</x:v>
      </x:c>
      <x:c r="I161" t="n">
        <x:v>558.45</x:v>
      </x:c>
      <x:c r="J161" s="22" t="n">
        <x:v>0.2591732774402377</x:v>
      </x:c>
      <x:c r="K161" s="22" t="n">
        <x:v>0.0909</x:v>
      </x:c>
      <x:c r="L161" t="n">
        <x:v>12</x:v>
      </x:c>
      <x:c r="M161" t="str">
        <x:v>成交</x:v>
      </x:c>
      <x:c r="N161" s="20" t="n">
        <x:v>45336</x:v>
      </x:c>
      <x:c r="O161"/>
    </x:row>
    <x:row r="162" ht="20" customHeight="1">
      <x:c r="A162" t="str">
        <x:v>Q00161</x:v>
      </x:c>
      <x:c r="B162" s="20" t="n">
        <x:v>45350</x:v>
      </x:c>
      <x:c r="C162" t="str">
        <x:v>IAT-010</x:v>
      </x:c>
      <x:c r="D162" t="str">
        <x:v>S04</x:v>
      </x:c>
      <x:c r="E162" t="str">
        <x:v>SEMI-CHB-A</x:v>
      </x:c>
      <x:c r="F162" t="str">
        <x:v>半導體設備零組件</x:v>
      </x:c>
      <x:c r="G162" t="n">
        <x:v>60</x:v>
      </x:c>
      <x:c r="H162" t="n">
        <x:v>94455.71</x:v>
      </x:c>
      <x:c r="I162" t="n">
        <x:v>69188.51</x:v>
      </x:c>
      <x:c r="J162" s="22" t="n">
        <x:v>0.26750315041832845</x:v>
      </x:c>
      <x:c r="K162" s="22" t="n">
        <x:v>0.0545</x:v>
      </x:c>
      <x:c r="L162" t="n">
        <x:v>45</x:v>
      </x:c>
      <x:c r="M162" t="str">
        <x:v>未成交</x:v>
      </x:c>
      <x:c r="N162" s="20" t="n">
        <x:v>45357</x:v>
      </x:c>
      <x:c r="O162" t="str">
        <x:v>專案取消</x:v>
      </x:c>
    </x:row>
    <x:row r="163" ht="20" customHeight="1">
      <x:c r="A163" t="str">
        <x:v>Q00162</x:v>
      </x:c>
      <x:c r="B163" s="20" t="n">
        <x:v>45329</x:v>
      </x:c>
      <x:c r="C163" t="str">
        <x:v>IAT-010</x:v>
      </x:c>
      <x:c r="D163" t="str">
        <x:v>S04</x:v>
      </x:c>
      <x:c r="E163" t="str">
        <x:v>PM-SUS-A</x:v>
      </x:c>
      <x:c r="F163" t="str">
        <x:v>精密金屬加工件</x:v>
      </x:c>
      <x:c r="G163" t="n">
        <x:v>1200</x:v>
      </x:c>
      <x:c r="H163" t="n">
        <x:v>10986.52</x:v>
      </x:c>
      <x:c r="I163" t="n">
        <x:v>7582.83</x:v>
      </x:c>
      <x:c r="J163" s="22" t="n">
        <x:v>0.3098060168278946</x:v>
      </x:c>
      <x:c r="K163" s="22" t="n">
        <x:v>0.0186</x:v>
      </x:c>
      <x:c r="L163" t="n">
        <x:v>24</x:v>
      </x:c>
      <x:c r="M163" t="str">
        <x:v>成交</x:v>
      </x:c>
      <x:c r="N163" s="20" t="n">
        <x:v>45338</x:v>
      </x:c>
      <x:c r="O163"/>
    </x:row>
    <x:row r="164" ht="20" customHeight="1">
      <x:c r="A164" t="str">
        <x:v>Q00163</x:v>
      </x:c>
      <x:c r="B164" s="20" t="n">
        <x:v>45343</x:v>
      </x:c>
      <x:c r="C164" t="str">
        <x:v>IAT-008</x:v>
      </x:c>
      <x:c r="D164" t="str">
        <x:v>S01</x:v>
      </x:c>
      <x:c r="E164" t="str">
        <x:v>AUTO-KN-A</x:v>
      </x:c>
      <x:c r="F164" t="str">
        <x:v>汽車精密零組件</x:v>
      </x:c>
      <x:c r="G164" t="n">
        <x:v>13000</x:v>
      </x:c>
      <x:c r="H164" t="n">
        <x:v>3267.4</x:v>
      </x:c>
      <x:c r="I164" t="n">
        <x:v>2266.58</x:v>
      </x:c>
      <x:c r="J164" s="22" t="n">
        <x:v>0.30630470710656793</x:v>
      </x:c>
      <x:c r="K164" s="22" t="n">
        <x:v>0.0409</x:v>
      </x:c>
      <x:c r="L164" t="n">
        <x:v>20</x:v>
      </x:c>
      <x:c r="M164" t="str">
        <x:v>未成交</x:v>
      </x:c>
      <x:c r="N164" s="20" t="n">
        <x:v>45346</x:v>
      </x:c>
      <x:c r="O164" t="str">
        <x:v>專案取消</x:v>
      </x:c>
    </x:row>
    <x:row r="165" ht="20" customHeight="1">
      <x:c r="A165" t="str">
        <x:v>Q00164</x:v>
      </x:c>
      <x:c r="B165" s="20" t="n">
        <x:v>45348</x:v>
      </x:c>
      <x:c r="C165" t="str">
        <x:v>AUT-007</x:v>
      </x:c>
      <x:c r="D165" t="str">
        <x:v>S04</x:v>
      </x:c>
      <x:c r="E165" t="str">
        <x:v>AUTO-BRK-B</x:v>
      </x:c>
      <x:c r="F165" t="str">
        <x:v>汽車精密零組件</x:v>
      </x:c>
      <x:c r="G165" t="n">
        <x:v>5000</x:v>
      </x:c>
      <x:c r="H165" t="n">
        <x:v>2076.82</x:v>
      </x:c>
      <x:c r="I165" t="n">
        <x:v>1635.14</x:v>
      </x:c>
      <x:c r="J165" s="22" t="n">
        <x:v>0.2126712955383712</x:v>
      </x:c>
      <x:c r="K165" s="22" t="n">
        <x:v>0.085</x:v>
      </x:c>
      <x:c r="L165" t="n">
        <x:v>20</x:v>
      </x:c>
      <x:c r="M165" t="str">
        <x:v>未成交</x:v>
      </x:c>
      <x:c r="N165" s="20" t="n">
        <x:v>45358</x:v>
      </x:c>
      <x:c r="O165" t="str">
        <x:v>規格</x:v>
      </x:c>
    </x:row>
    <x:row r="166" ht="20" customHeight="1">
      <x:c r="A166" t="str">
        <x:v>Q00165</x:v>
      </x:c>
      <x:c r="B166" s="20" t="n">
        <x:v>45349</x:v>
      </x:c>
      <x:c r="C166" t="str">
        <x:v>EMS-003</x:v>
      </x:c>
      <x:c r="D166" t="str">
        <x:v>S05</x:v>
      </x:c>
      <x:c r="E166" t="str">
        <x:v>AUTO-FL-A</x:v>
      </x:c>
      <x:c r="F166" t="str">
        <x:v>汽車精密零組件</x:v>
      </x:c>
      <x:c r="G166" t="n">
        <x:v>3000</x:v>
      </x:c>
      <x:c r="H166" t="n">
        <x:v>1308.84</x:v>
      </x:c>
      <x:c r="I166" t="n">
        <x:v>971.55</x:v>
      </x:c>
      <x:c r="J166" s="22" t="n">
        <x:v>0.2577014761162556</x:v>
      </x:c>
      <x:c r="K166" s="22" t="n">
        <x:v>0.0392</x:v>
      </x:c>
      <x:c r="L166" t="n">
        <x:v>17</x:v>
      </x:c>
      <x:c r="M166" t="str">
        <x:v>未成交</x:v>
      </x:c>
      <x:c r="N166" s="20" t="n">
        <x:v>45358</x:v>
      </x:c>
      <x:c r="O166" t="str">
        <x:v>規格</x:v>
      </x:c>
    </x:row>
    <x:row r="167" ht="20" customHeight="1">
      <x:c r="A167" t="str">
        <x:v>Q00166</x:v>
      </x:c>
      <x:c r="B167" s="20" t="n">
        <x:v>45329</x:v>
      </x:c>
      <x:c r="C167" t="str">
        <x:v>EMS-007</x:v>
      </x:c>
      <x:c r="D167" t="str">
        <x:v>S04</x:v>
      </x:c>
      <x:c r="E167" t="str">
        <x:v>SEMI-WH-B</x:v>
      </x:c>
      <x:c r="F167" t="str">
        <x:v>半導體設備零組件</x:v>
      </x:c>
      <x:c r="G167" t="n">
        <x:v>60</x:v>
      </x:c>
      <x:c r="H167" t="n">
        <x:v>169131.43</x:v>
      </x:c>
      <x:c r="I167" t="n">
        <x:v>131726.06</x:v>
      </x:c>
      <x:c r="J167" s="22" t="n">
        <x:v>0.2211615546560447</x:v>
      </x:c>
      <x:c r="K167" s="22" t="n">
        <x:v>0.0547</x:v>
      </x:c>
      <x:c r="L167" t="n">
        <x:v>46</x:v>
      </x:c>
      <x:c r="M167" t="str">
        <x:v>成交</x:v>
      </x:c>
      <x:c r="N167" s="20" t="n">
        <x:v>45336</x:v>
      </x:c>
      <x:c r="O167"/>
    </x:row>
    <x:row r="168" ht="20" customHeight="1">
      <x:c r="A168" t="str">
        <x:v>Q00167</x:v>
      </x:c>
      <x:c r="B168" s="20" t="n">
        <x:v>45330</x:v>
      </x:c>
      <x:c r="C168" t="str">
        <x:v>IAT-007</x:v>
      </x:c>
      <x:c r="D168" t="str">
        <x:v>S04</x:v>
      </x:c>
      <x:c r="E168" t="str">
        <x:v>AUTO-FL-A</x:v>
      </x:c>
      <x:c r="F168" t="str">
        <x:v>汽車精密零組件</x:v>
      </x:c>
      <x:c r="G168" t="n">
        <x:v>13000</x:v>
      </x:c>
      <x:c r="H168" t="n">
        <x:v>1384.37</x:v>
      </x:c>
      <x:c r="I168" t="n">
        <x:v>945.68</x:v>
      </x:c>
      <x:c r="J168" s="22" t="n">
        <x:v>0.31688782623142653</x:v>
      </x:c>
      <x:c r="K168" s="22" t="n">
        <x:v>0.0155</x:v>
      </x:c>
      <x:c r="L168" t="n">
        <x:v>16</x:v>
      </x:c>
      <x:c r="M168" t="str">
        <x:v>成交</x:v>
      </x:c>
      <x:c r="N168" s="20" t="n">
        <x:v>45334</x:v>
      </x:c>
      <x:c r="O168"/>
    </x:row>
    <x:row r="169" ht="20" customHeight="1">
      <x:c r="A169" t="str">
        <x:v>Q00168</x:v>
      </x:c>
      <x:c r="B169" s="20" t="n">
        <x:v>45336</x:v>
      </x:c>
      <x:c r="C169" t="str">
        <x:v>AUT-005</x:v>
      </x:c>
      <x:c r="D169" t="str">
        <x:v>S04</x:v>
      </x:c>
      <x:c r="E169" t="str">
        <x:v>AUTO-KN-B</x:v>
      </x:c>
      <x:c r="F169" t="str">
        <x:v>汽車精密零組件</x:v>
      </x:c>
      <x:c r="G169" t="n">
        <x:v>5000</x:v>
      </x:c>
      <x:c r="H169" t="n">
        <x:v>3840.5</x:v>
      </x:c>
      <x:c r="I169" t="n">
        <x:v>2671.25</x:v>
      </x:c>
      <x:c r="J169" s="22" t="n">
        <x:v>0.304452545241505</x:v>
      </x:c>
      <x:c r="K169" s="22" t="n">
        <x:v>0.0484</x:v>
      </x:c>
      <x:c r="L169" t="n">
        <x:v>28</x:v>
      </x:c>
      <x:c r="M169" t="str">
        <x:v>成交</x:v>
      </x:c>
      <x:c r="N169" s="20" t="n">
        <x:v>45339</x:v>
      </x:c>
      <x:c r="O169"/>
    </x:row>
    <x:row r="170" ht="20" customHeight="1">
      <x:c r="A170" t="str">
        <x:v>Q00169</x:v>
      </x:c>
      <x:c r="B170" s="20" t="n">
        <x:v>45331</x:v>
      </x:c>
      <x:c r="C170" t="str">
        <x:v>AUT-014</x:v>
      </x:c>
      <x:c r="D170" t="str">
        <x:v>S06</x:v>
      </x:c>
      <x:c r="E170" t="str">
        <x:v>MECH-CON-B</x:v>
      </x:c>
      <x:c r="F170" t="str">
        <x:v>機電／自動化模組</x:v>
      </x:c>
      <x:c r="G170" t="n">
        <x:v>30</x:v>
      </x:c>
      <x:c r="H170" t="n">
        <x:v>161554.77</x:v>
      </x:c>
      <x:c r="I170" t="n">
        <x:v>119765.17</x:v>
      </x:c>
      <x:c r="J170" s="22" t="n">
        <x:v>0.2586714090831239</x:v>
      </x:c>
      <x:c r="K170" s="22" t="n">
        <x:v>0.0127</x:v>
      </x:c>
      <x:c r="L170" t="n">
        <x:v>34</x:v>
      </x:c>
      <x:c r="M170" t="str">
        <x:v>成交</x:v>
      </x:c>
      <x:c r="N170" s="20" t="n">
        <x:v>45334</x:v>
      </x:c>
      <x:c r="O170"/>
    </x:row>
    <x:row r="171" ht="20" customHeight="1">
      <x:c r="A171" t="str">
        <x:v>Q00170</x:v>
      </x:c>
      <x:c r="B171" s="20" t="n">
        <x:v>45344</x:v>
      </x:c>
      <x:c r="C171" t="str">
        <x:v>AFT-005</x:v>
      </x:c>
      <x:c r="D171" t="str">
        <x:v>S05</x:v>
      </x:c>
      <x:c r="E171" t="str">
        <x:v>AUTO-BRK-A</x:v>
      </x:c>
      <x:c r="F171" t="str">
        <x:v>汽車精密零組件</x:v>
      </x:c>
      <x:c r="G171" t="n">
        <x:v>5000</x:v>
      </x:c>
      <x:c r="H171" t="n">
        <x:v>1811.31</x:v>
      </x:c>
      <x:c r="I171" t="n">
        <x:v>1343.87</x:v>
      </x:c>
      <x:c r="J171" s="22" t="n">
        <x:v>0.25806736560831667</x:v>
      </x:c>
      <x:c r="K171" s="22" t="n">
        <x:v>0.0285</x:v>
      </x:c>
      <x:c r="L171" t="n">
        <x:v>18</x:v>
      </x:c>
      <x:c r="M171" t="str">
        <x:v>成交</x:v>
      </x:c>
      <x:c r="N171" s="20" t="n">
        <x:v>45350</x:v>
      </x:c>
      <x:c r="O171"/>
    </x:row>
    <x:row r="172" ht="20" customHeight="1">
      <x:c r="A172" t="str">
        <x:v>Q00171</x:v>
      </x:c>
      <x:c r="B172" s="20" t="n">
        <x:v>45324</x:v>
      </x:c>
      <x:c r="C172" t="str">
        <x:v>AFT-002</x:v>
      </x:c>
      <x:c r="D172" t="str">
        <x:v>S04</x:v>
      </x:c>
      <x:c r="E172" t="str">
        <x:v>AUTO-MH-A</x:v>
      </x:c>
      <x:c r="F172" t="str">
        <x:v>汽車精密零組件</x:v>
      </x:c>
      <x:c r="G172" t="n">
        <x:v>10000</x:v>
      </x:c>
      <x:c r="H172" t="n">
        <x:v>2542.07</x:v>
      </x:c>
      <x:c r="I172" t="n">
        <x:v>2016.52</x:v>
      </x:c>
      <x:c r="J172" s="22" t="n">
        <x:v>0.20674096307340087</x:v>
      </x:c>
      <x:c r="K172" s="22" t="n">
        <x:v>0.0591</x:v>
      </x:c>
      <x:c r="L172" t="n">
        <x:v>21</x:v>
      </x:c>
      <x:c r="M172" t="str">
        <x:v>成交</x:v>
      </x:c>
      <x:c r="N172" s="20" t="n">
        <x:v>45330</x:v>
      </x:c>
      <x:c r="O172"/>
    </x:row>
    <x:row r="173" ht="20" customHeight="1">
      <x:c r="A173" t="str">
        <x:v>Q00172</x:v>
      </x:c>
      <x:c r="B173" s="20" t="n">
        <x:v>45323</x:v>
      </x:c>
      <x:c r="C173" t="str">
        <x:v>IAT-003</x:v>
      </x:c>
      <x:c r="D173" t="str">
        <x:v>S04</x:v>
      </x:c>
      <x:c r="E173" t="str">
        <x:v>PM-BRG-B</x:v>
      </x:c>
      <x:c r="F173" t="str">
        <x:v>精密金屬加工件</x:v>
      </x:c>
      <x:c r="G173" t="n">
        <x:v>300</x:v>
      </x:c>
      <x:c r="H173" t="n">
        <x:v>8177.43</x:v>
      </x:c>
      <x:c r="I173" t="n">
        <x:v>5570.95</x:v>
      </x:c>
      <x:c r="J173" s="22" t="n">
        <x:v>0.31874072905546125</x:v>
      </x:c>
      <x:c r="K173" s="22" t="n">
        <x:v>0.0407</x:v>
      </x:c>
      <x:c r="L173" t="n">
        <x:v>15</x:v>
      </x:c>
      <x:c r="M173" t="str">
        <x:v>成交</x:v>
      </x:c>
      <x:c r="N173" s="20" t="n">
        <x:v>45330</x:v>
      </x:c>
      <x:c r="O173"/>
    </x:row>
    <x:row r="174" ht="20" customHeight="1">
      <x:c r="A174" t="str">
        <x:v>Q00173</x:v>
      </x:c>
      <x:c r="B174" s="20" t="n">
        <x:v>45349</x:v>
      </x:c>
      <x:c r="C174" t="str">
        <x:v>EMS-008</x:v>
      </x:c>
      <x:c r="D174" t="str">
        <x:v>S02</x:v>
      </x:c>
      <x:c r="E174" t="str">
        <x:v>AUTO-KN-B</x:v>
      </x:c>
      <x:c r="F174" t="str">
        <x:v>汽車精密零組件</x:v>
      </x:c>
      <x:c r="G174" t="n">
        <x:v>5000</x:v>
      </x:c>
      <x:c r="H174" t="n">
        <x:v>3420.04</x:v>
      </x:c>
      <x:c r="I174" t="n">
        <x:v>2673.93</x:v>
      </x:c>
      <x:c r="J174" s="22" t="n">
        <x:v>0.21815826715477016</x:v>
      </x:c>
      <x:c r="K174" s="22" t="n">
        <x:v>0.1324</x:v>
      </x:c>
      <x:c r="L174" t="n">
        <x:v>26</x:v>
      </x:c>
      <x:c r="M174" t="str">
        <x:v>未成交</x:v>
      </x:c>
      <x:c r="N174" s="20" t="n">
        <x:v>45359</x:v>
      </x:c>
      <x:c r="O174" t="str">
        <x:v>規格</x:v>
      </x:c>
    </x:row>
    <x:row r="175" ht="20" customHeight="1">
      <x:c r="A175" t="str">
        <x:v>Q00174</x:v>
      </x:c>
      <x:c r="B175" s="20" t="n">
        <x:v>45332</x:v>
      </x:c>
      <x:c r="C175" t="str">
        <x:v>AUT-012</x:v>
      </x:c>
      <x:c r="D175" t="str">
        <x:v>S06</x:v>
      </x:c>
      <x:c r="E175" t="str">
        <x:v>PM-VAC-A</x:v>
      </x:c>
      <x:c r="F175" t="str">
        <x:v>精密金屬加工件</x:v>
      </x:c>
      <x:c r="G175" t="n">
        <x:v>500</x:v>
      </x:c>
      <x:c r="H175" t="n">
        <x:v>14605.23</x:v>
      </x:c>
      <x:c r="I175" t="n">
        <x:v>11206.2</x:v>
      </x:c>
      <x:c r="J175" s="22" t="n">
        <x:v>0.23272690673135574</x:v>
      </x:c>
      <x:c r="K175" s="22" t="n">
        <x:v>0.1237</x:v>
      </x:c>
      <x:c r="L175" t="n">
        <x:v>22</x:v>
      </x:c>
      <x:c r="M175" t="str">
        <x:v>未成交</x:v>
      </x:c>
      <x:c r="N175" s="20" t="n">
        <x:v>45343</x:v>
      </x:c>
      <x:c r="O175" t="str">
        <x:v>交期</x:v>
      </x:c>
    </x:row>
    <x:row r="176" ht="20" customHeight="1">
      <x:c r="A176" t="str">
        <x:v>Q00175</x:v>
      </x:c>
      <x:c r="B176" s="20" t="n">
        <x:v>45382</x:v>
      </x:c>
      <x:c r="C176" t="str">
        <x:v>IAT-003</x:v>
      </x:c>
      <x:c r="D176" t="str">
        <x:v>S04</x:v>
      </x:c>
      <x:c r="E176" t="str">
        <x:v>PM-BRG-B</x:v>
      </x:c>
      <x:c r="F176" t="str">
        <x:v>精密金屬加工件</x:v>
      </x:c>
      <x:c r="G176" t="n">
        <x:v>1200</x:v>
      </x:c>
      <x:c r="H176" t="n">
        <x:v>8002.69</x:v>
      </x:c>
      <x:c r="I176" t="n">
        <x:v>5475.86</x:v>
      </x:c>
      <x:c r="J176" s="22" t="n">
        <x:v>0.3157475798762666</x:v>
      </x:c>
      <x:c r="K176" s="22" t="n">
        <x:v>0.0462</x:v>
      </x:c>
      <x:c r="L176" t="n">
        <x:v>18</x:v>
      </x:c>
      <x:c r="M176" t="str">
        <x:v>成交</x:v>
      </x:c>
      <x:c r="N176" s="20" t="n">
        <x:v>45391</x:v>
      </x:c>
      <x:c r="O176"/>
    </x:row>
    <x:row r="177" ht="20" customHeight="1">
      <x:c r="A177" t="str">
        <x:v>Q00176</x:v>
      </x:c>
      <x:c r="B177" s="20" t="n">
        <x:v>45357</x:v>
      </x:c>
      <x:c r="C177" t="str">
        <x:v>EMS-008</x:v>
      </x:c>
      <x:c r="D177" t="str">
        <x:v>S02</x:v>
      </x:c>
      <x:c r="E177" t="str">
        <x:v>AUTO-BS-B</x:v>
      </x:c>
      <x:c r="F177" t="str">
        <x:v>汽車精密零組件</x:v>
      </x:c>
      <x:c r="G177" t="n">
        <x:v>3000</x:v>
      </x:c>
      <x:c r="H177" t="n">
        <x:v>935.2</x:v>
      </x:c>
      <x:c r="I177" t="n">
        <x:v>656.51</x:v>
      </x:c>
      <x:c r="J177" s="22" t="n">
        <x:v>0.2980004277159966</x:v>
      </x:c>
      <x:c r="K177" s="22" t="n">
        <x:v>0.0346</x:v>
      </x:c>
      <x:c r="L177" t="n">
        <x:v>17</x:v>
      </x:c>
      <x:c r="M177" t="str">
        <x:v>未成交</x:v>
      </x:c>
      <x:c r="N177" s="20" t="n">
        <x:v>45362</x:v>
      </x:c>
      <x:c r="O177" t="str">
        <x:v>價格</x:v>
      </x:c>
    </x:row>
    <x:row r="178" ht="20" customHeight="1">
      <x:c r="A178" t="str">
        <x:v>Q00177</x:v>
      </x:c>
      <x:c r="B178" s="20" t="n">
        <x:v>45367</x:v>
      </x:c>
      <x:c r="C178" t="str">
        <x:v>SEM-004</x:v>
      </x:c>
      <x:c r="D178" t="str">
        <x:v>S02</x:v>
      </x:c>
      <x:c r="E178" t="str">
        <x:v>PM-SUS-B</x:v>
      </x:c>
      <x:c r="F178" t="str">
        <x:v>精密金屬加工件</x:v>
      </x:c>
      <x:c r="G178" t="n">
        <x:v>500</x:v>
      </x:c>
      <x:c r="H178" t="n">
        <x:v>15232.54</x:v>
      </x:c>
      <x:c r="I178" t="n">
        <x:v>11490.89</x:v>
      </x:c>
      <x:c r="J178" s="22" t="n">
        <x:v>0.2456353306802412</x:v>
      </x:c>
      <x:c r="K178" s="22" t="n">
        <x:v>0.0498</x:v>
      </x:c>
      <x:c r="L178" t="n">
        <x:v>26</x:v>
      </x:c>
      <x:c r="M178" t="str">
        <x:v>未成交</x:v>
      </x:c>
      <x:c r="N178" s="20" t="n">
        <x:v>45371</x:v>
      </x:c>
      <x:c r="O178" t="str">
        <x:v>專案取消</x:v>
      </x:c>
    </x:row>
    <x:row r="179" ht="20" customHeight="1">
      <x:c r="A179" t="str">
        <x:v>Q00178</x:v>
      </x:c>
      <x:c r="B179" s="20" t="n">
        <x:v>45375</x:v>
      </x:c>
      <x:c r="C179" t="str">
        <x:v>IAT-009</x:v>
      </x:c>
      <x:c r="D179" t="str">
        <x:v>S04</x:v>
      </x:c>
      <x:c r="E179" t="str">
        <x:v>PM-VAC-A</x:v>
      </x:c>
      <x:c r="F179" t="str">
        <x:v>精密金屬加工件</x:v>
      </x:c>
      <x:c r="G179" t="n">
        <x:v>1200</x:v>
      </x:c>
      <x:c r="H179" t="n">
        <x:v>14311.42</x:v>
      </x:c>
      <x:c r="I179" t="n">
        <x:v>10951.26</x:v>
      </x:c>
      <x:c r="J179" s="22" t="n">
        <x:v>0.23478872117511748</x:v>
      </x:c>
      <x:c r="K179" s="22" t="n">
        <x:v>0.1375</x:v>
      </x:c>
      <x:c r="L179" t="n">
        <x:v>33</x:v>
      </x:c>
      <x:c r="M179" t="str">
        <x:v>未成交</x:v>
      </x:c>
      <x:c r="N179" s="20" t="n">
        <x:v>45384</x:v>
      </x:c>
      <x:c r="O179" t="str">
        <x:v>價格</x:v>
      </x:c>
    </x:row>
    <x:row r="180" ht="20" customHeight="1">
      <x:c r="A180" t="str">
        <x:v>Q00179</x:v>
      </x:c>
      <x:c r="B180" s="20" t="n">
        <x:v>45371</x:v>
      </x:c>
      <x:c r="C180" t="str">
        <x:v>IAT-002</x:v>
      </x:c>
      <x:c r="D180" t="str">
        <x:v>S01</x:v>
      </x:c>
      <x:c r="E180" t="str">
        <x:v>PM-BRG-A</x:v>
      </x:c>
      <x:c r="F180" t="str">
        <x:v>精密金屬加工件</x:v>
      </x:c>
      <x:c r="G180" t="n">
        <x:v>800</x:v>
      </x:c>
      <x:c r="H180" t="n">
        <x:v>6572.26</x:v>
      </x:c>
      <x:c r="I180" t="n">
        <x:v>4567.47</x:v>
      </x:c>
      <x:c r="J180" s="22" t="n">
        <x:v>0.30503814517380623</x:v>
      </x:c>
      <x:c r="K180" s="22" t="n">
        <x:v>0.0779</x:v>
      </x:c>
      <x:c r="L180" t="n">
        <x:v>19</x:v>
      </x:c>
      <x:c r="M180" t="str">
        <x:v>成交</x:v>
      </x:c>
      <x:c r="N180" s="20" t="n">
        <x:v>45383</x:v>
      </x:c>
      <x:c r="O180"/>
    </x:row>
    <x:row r="181" ht="20" customHeight="1">
      <x:c r="A181" t="str">
        <x:v>Q00180</x:v>
      </x:c>
      <x:c r="B181" s="20" t="n">
        <x:v>45373</x:v>
      </x:c>
      <x:c r="C181" t="str">
        <x:v>IAT-010</x:v>
      </x:c>
      <x:c r="D181" t="str">
        <x:v>S04</x:v>
      </x:c>
      <x:c r="E181" t="str">
        <x:v>AUTO-LG-A</x:v>
      </x:c>
      <x:c r="F181" t="str">
        <x:v>汽車精密零組件</x:v>
      </x:c>
      <x:c r="G181" t="n">
        <x:v>5000</x:v>
      </x:c>
      <x:c r="H181" t="n">
        <x:v>1107.53</x:v>
      </x:c>
      <x:c r="I181" t="n">
        <x:v>819.69</x:v>
      </x:c>
      <x:c r="J181" s="22" t="n">
        <x:v>0.2598936371926719</x:v>
      </x:c>
      <x:c r="K181" s="22" t="n">
        <x:v>0.0667</x:v>
      </x:c>
      <x:c r="L181" t="n">
        <x:v>19</x:v>
      </x:c>
      <x:c r="M181" t="str">
        <x:v>成交</x:v>
      </x:c>
      <x:c r="N181" s="20" t="n">
        <x:v>45382</x:v>
      </x:c>
      <x:c r="O181"/>
    </x:row>
    <x:row r="182" ht="20" customHeight="1">
      <x:c r="A182" t="str">
        <x:v>Q00181</x:v>
      </x:c>
      <x:c r="B182" s="20" t="n">
        <x:v>45378</x:v>
      </x:c>
      <x:c r="C182" t="str">
        <x:v>AFT-006</x:v>
      </x:c>
      <x:c r="D182" t="str">
        <x:v>S01</x:v>
      </x:c>
      <x:c r="E182" t="str">
        <x:v>AUTO-BRK-A</x:v>
      </x:c>
      <x:c r="F182" t="str">
        <x:v>汽車精密零組件</x:v>
      </x:c>
      <x:c r="G182" t="n">
        <x:v>5000</x:v>
      </x:c>
      <x:c r="H182" t="n">
        <x:v>1761.21</x:v>
      </x:c>
      <x:c r="I182" t="n">
        <x:v>1415.33</x:v>
      </x:c>
      <x:c r="J182" s="22" t="n">
        <x:v>0.19638771072160624</x:v>
      </x:c>
      <x:c r="K182" s="22" t="n">
        <x:v>0.0493</x:v>
      </x:c>
      <x:c r="L182" t="n">
        <x:v>14</x:v>
      </x:c>
      <x:c r="M182" t="str">
        <x:v>成交</x:v>
      </x:c>
      <x:c r="N182" s="20" t="n">
        <x:v>45383</x:v>
      </x:c>
      <x:c r="O182"/>
    </x:row>
    <x:row r="183" ht="20" customHeight="1">
      <x:c r="A183" t="str">
        <x:v>Q00182</x:v>
      </x:c>
      <x:c r="B183" s="20" t="n">
        <x:v>45373</x:v>
      </x:c>
      <x:c r="C183" t="str">
        <x:v>EMS-006</x:v>
      </x:c>
      <x:c r="D183" t="str">
        <x:v>S03</x:v>
      </x:c>
      <x:c r="E183" t="str">
        <x:v>PM-BRG-B</x:v>
      </x:c>
      <x:c r="F183" t="str">
        <x:v>精密金屬加工件</x:v>
      </x:c>
      <x:c r="G183" t="n">
        <x:v>1200</x:v>
      </x:c>
      <x:c r="H183" t="n">
        <x:v>7489.55</x:v>
      </x:c>
      <x:c r="I183" t="n">
        <x:v>5413.98</x:v>
      </x:c>
      <x:c r="J183" s="22" t="n">
        <x:v>0.27712879946058183</x:v>
      </x:c>
      <x:c r="K183" s="22" t="n">
        <x:v>0.1031</x:v>
      </x:c>
      <x:c r="L183" t="n">
        <x:v>20</x:v>
      </x:c>
      <x:c r="M183" t="str">
        <x:v>未成交</x:v>
      </x:c>
      <x:c r="N183" s="20" t="n">
        <x:v>45382</x:v>
      </x:c>
      <x:c r="O183" t="str">
        <x:v>專案取消</x:v>
      </x:c>
    </x:row>
    <x:row r="184" ht="20" customHeight="1">
      <x:c r="A184" t="str">
        <x:v>Q00183</x:v>
      </x:c>
      <x:c r="B184" s="20" t="n">
        <x:v>45380</x:v>
      </x:c>
      <x:c r="C184" t="str">
        <x:v>IAT-009</x:v>
      </x:c>
      <x:c r="D184" t="str">
        <x:v>S04</x:v>
      </x:c>
      <x:c r="E184" t="str">
        <x:v>AUTO-MH-A</x:v>
      </x:c>
      <x:c r="F184" t="str">
        <x:v>汽車精密零組件</x:v>
      </x:c>
      <x:c r="G184" t="n">
        <x:v>5000</x:v>
      </x:c>
      <x:c r="H184" t="n">
        <x:v>2625.19</x:v>
      </x:c>
      <x:c r="I184" t="n">
        <x:v>2031.94</x:v>
      </x:c>
      <x:c r="J184" s="22" t="n">
        <x:v>0.2259836430886907</x:v>
      </x:c>
      <x:c r="K184" s="22" t="n">
        <x:v>0.01</x:v>
      </x:c>
      <x:c r="L184" t="n">
        <x:v>16</x:v>
      </x:c>
      <x:c r="M184" t="str">
        <x:v>成交</x:v>
      </x:c>
      <x:c r="N184" s="20" t="n">
        <x:v>45392</x:v>
      </x:c>
      <x:c r="O184"/>
    </x:row>
    <x:row r="185" ht="20" customHeight="1">
      <x:c r="A185" t="str">
        <x:v>Q00184</x:v>
      </x:c>
      <x:c r="B185" s="20" t="n">
        <x:v>45353</x:v>
      </x:c>
      <x:c r="C185" t="str">
        <x:v>SEM-002</x:v>
      </x:c>
      <x:c r="D185" t="str">
        <x:v>S02</x:v>
      </x:c>
      <x:c r="E185" t="str">
        <x:v>MECH-STG-A</x:v>
      </x:c>
      <x:c r="F185" t="str">
        <x:v>機電／自動化模組</x:v>
      </x:c>
      <x:c r="G185" t="n">
        <x:v>40</x:v>
      </x:c>
      <x:c r="H185" t="n">
        <x:v>126770.93</x:v>
      </x:c>
      <x:c r="I185" t="n">
        <x:v>101784.85</x:v>
      </x:c>
      <x:c r="J185" s="22" t="n">
        <x:v>0.19709629013528565</x:v>
      </x:c>
      <x:c r="K185" s="22" t="n">
        <x:v>0.1212</x:v>
      </x:c>
      <x:c r="L185" t="n">
        <x:v>41</x:v>
      </x:c>
      <x:c r="M185" t="str">
        <x:v>未成交</x:v>
      </x:c>
      <x:c r="N185" s="20" t="n">
        <x:v>45365</x:v>
      </x:c>
      <x:c r="O185" t="str">
        <x:v>交期</x:v>
      </x:c>
    </x:row>
    <x:row r="186" ht="20" customHeight="1">
      <x:c r="A186" t="str">
        <x:v>Q00185</x:v>
      </x:c>
      <x:c r="B186" s="20" t="n">
        <x:v>45381</x:v>
      </x:c>
      <x:c r="C186" t="str">
        <x:v>IAT-008</x:v>
      </x:c>
      <x:c r="D186" t="str">
        <x:v>S01</x:v>
      </x:c>
      <x:c r="E186" t="str">
        <x:v>PM-SUS-B</x:v>
      </x:c>
      <x:c r="F186" t="str">
        <x:v>精密金屬加工件</x:v>
      </x:c>
      <x:c r="G186" t="n">
        <x:v>1200</x:v>
      </x:c>
      <x:c r="H186" t="n">
        <x:v>13846.72</x:v>
      </x:c>
      <x:c r="I186" t="n">
        <x:v>11484.9</x:v>
      </x:c>
      <x:c r="J186" s="22" t="n">
        <x:v>0.17056891451549536</x:v>
      </x:c>
      <x:c r="K186" s="22" t="n">
        <x:v>0.1271</x:v>
      </x:c>
      <x:c r="L186" t="n">
        <x:v>21</x:v>
      </x:c>
      <x:c r="M186" t="str">
        <x:v>成交</x:v>
      </x:c>
      <x:c r="N186" s="20" t="n">
        <x:v>45392</x:v>
      </x:c>
      <x:c r="O186"/>
    </x:row>
    <x:row r="187" ht="20" customHeight="1">
      <x:c r="A187" t="str">
        <x:v>Q00186</x:v>
      </x:c>
      <x:c r="B187" s="20" t="n">
        <x:v>45362</x:v>
      </x:c>
      <x:c r="C187" t="str">
        <x:v>AUT-014</x:v>
      </x:c>
      <x:c r="D187" t="str">
        <x:v>S06</x:v>
      </x:c>
      <x:c r="E187" t="str">
        <x:v>AUTO-KN-B</x:v>
      </x:c>
      <x:c r="F187" t="str">
        <x:v>汽車精密零組件</x:v>
      </x:c>
      <x:c r="G187" t="n">
        <x:v>5000</x:v>
      </x:c>
      <x:c r="H187" t="n">
        <x:v>3578.67</x:v>
      </x:c>
      <x:c r="I187" t="n">
        <x:v>2551.57</x:v>
      </x:c>
      <x:c r="J187" s="22" t="n">
        <x:v>0.28700606649956545</x:v>
      </x:c>
      <x:c r="K187" s="22" t="n">
        <x:v>0.095</x:v>
      </x:c>
      <x:c r="L187" t="n">
        <x:v>21</x:v>
      </x:c>
      <x:c r="M187" t="str">
        <x:v>成交</x:v>
      </x:c>
      <x:c r="N187" s="20" t="n">
        <x:v>45370</x:v>
      </x:c>
      <x:c r="O187"/>
    </x:row>
    <x:row r="188" ht="20" customHeight="1">
      <x:c r="A188" t="str">
        <x:v>Q00187</x:v>
      </x:c>
      <x:c r="B188" s="20" t="n">
        <x:v>45354</x:v>
      </x:c>
      <x:c r="C188" t="str">
        <x:v>AUT-005</x:v>
      </x:c>
      <x:c r="D188" t="str">
        <x:v>S04</x:v>
      </x:c>
      <x:c r="E188" t="str">
        <x:v>PM-ALB-A</x:v>
      </x:c>
      <x:c r="F188" t="str">
        <x:v>精密金屬加工件</x:v>
      </x:c>
      <x:c r="G188" t="n">
        <x:v>1600</x:v>
      </x:c>
      <x:c r="H188" t="n">
        <x:v>10697.81</x:v>
      </x:c>
      <x:c r="I188" t="n">
        <x:v>8041.45</x:v>
      </x:c>
      <x:c r="J188" s="22" t="n">
        <x:v>0.24830876599977003</x:v>
      </x:c>
      <x:c r="K188" s="22" t="n">
        <x:v>0.0905</x:v>
      </x:c>
      <x:c r="L188" t="n">
        <x:v>21</x:v>
      </x:c>
      <x:c r="M188" t="str">
        <x:v>成交</x:v>
      </x:c>
      <x:c r="N188" s="20" t="n">
        <x:v>45363</x:v>
      </x:c>
      <x:c r="O188"/>
    </x:row>
    <x:row r="189" ht="20" customHeight="1">
      <x:c r="A189" t="str">
        <x:v>Q00188</x:v>
      </x:c>
      <x:c r="B189" s="20" t="n">
        <x:v>45357</x:v>
      </x:c>
      <x:c r="C189" t="str">
        <x:v>AUT-012</x:v>
      </x:c>
      <x:c r="D189" t="str">
        <x:v>S06</x:v>
      </x:c>
      <x:c r="E189" t="str">
        <x:v>AUTO-BS-A</x:v>
      </x:c>
      <x:c r="F189" t="str">
        <x:v>汽車精密零組件</x:v>
      </x:c>
      <x:c r="G189" t="n">
        <x:v>10000</x:v>
      </x:c>
      <x:c r="H189" t="n">
        <x:v>702.34</x:v>
      </x:c>
      <x:c r="I189" t="n">
        <x:v>568.22</x:v>
      </x:c>
      <x:c r="J189" s="22" t="n">
        <x:v>0.19096164250932596</x:v>
      </x:c>
      <x:c r="K189" s="22" t="n">
        <x:v>0.1325</x:v>
      </x:c>
      <x:c r="L189" t="n">
        <x:v>13</x:v>
      </x:c>
      <x:c r="M189" t="str">
        <x:v>成交</x:v>
      </x:c>
      <x:c r="N189" s="20" t="n">
        <x:v>45369</x:v>
      </x:c>
      <x:c r="O189"/>
    </x:row>
    <x:row r="190" ht="20" customHeight="1">
      <x:c r="A190" t="str">
        <x:v>Q00189</x:v>
      </x:c>
      <x:c r="B190" s="20" t="n">
        <x:v>45368</x:v>
      </x:c>
      <x:c r="C190" t="str">
        <x:v>AUT-009</x:v>
      </x:c>
      <x:c r="D190" t="str">
        <x:v>S04</x:v>
      </x:c>
      <x:c r="E190" t="str">
        <x:v>AUTO-KN-A</x:v>
      </x:c>
      <x:c r="F190" t="str">
        <x:v>汽車精密零組件</x:v>
      </x:c>
      <x:c r="G190" t="n">
        <x:v>3000</x:v>
      </x:c>
      <x:c r="H190" t="n">
        <x:v>3096.82</x:v>
      </x:c>
      <x:c r="I190" t="n">
        <x:v>2257.75</x:v>
      </x:c>
      <x:c r="J190" s="22" t="n">
        <x:v>0.2709456797618202</x:v>
      </x:c>
      <x:c r="K190" s="22" t="n">
        <x:v>0.0872</x:v>
      </x:c>
      <x:c r="L190" t="n">
        <x:v>22</x:v>
      </x:c>
      <x:c r="M190" t="str">
        <x:v>未成交</x:v>
      </x:c>
      <x:c r="N190" s="20" t="n">
        <x:v>45371</x:v>
      </x:c>
      <x:c r="O190" t="str">
        <x:v>交期</x:v>
      </x:c>
    </x:row>
    <x:row r="191" ht="20" customHeight="1">
      <x:c r="A191" t="str">
        <x:v>Q00190</x:v>
      </x:c>
      <x:c r="B191" s="20" t="n">
        <x:v>45360</x:v>
      </x:c>
      <x:c r="C191" t="str">
        <x:v>EMS-005</x:v>
      </x:c>
      <x:c r="D191" t="str">
        <x:v>S01</x:v>
      </x:c>
      <x:c r="E191" t="str">
        <x:v>SEMI-CHB-A</x:v>
      </x:c>
      <x:c r="F191" t="str">
        <x:v>半導體設備零組件</x:v>
      </x:c>
      <x:c r="G191" t="n">
        <x:v>80</x:v>
      </x:c>
      <x:c r="H191" t="n">
        <x:v>91116.94</x:v>
      </x:c>
      <x:c r="I191" t="n">
        <x:v>69236.81</x:v>
      </x:c>
      <x:c r="J191" s="22" t="n">
        <x:v>0.24013240567560767</x:v>
      </x:c>
      <x:c r="K191" s="22" t="n">
        <x:v>0.0566</x:v>
      </x:c>
      <x:c r="L191" t="n">
        <x:v>48</x:v>
      </x:c>
      <x:c r="M191" t="str">
        <x:v>成交</x:v>
      </x:c>
      <x:c r="N191" s="20" t="n">
        <x:v>45370</x:v>
      </x:c>
      <x:c r="O191"/>
    </x:row>
    <x:row r="192" ht="20" customHeight="1">
      <x:c r="A192" t="str">
        <x:v>Q00191</x:v>
      </x:c>
      <x:c r="B192" s="20" t="n">
        <x:v>45372</x:v>
      </x:c>
      <x:c r="C192" t="str">
        <x:v>EMS-007</x:v>
      </x:c>
      <x:c r="D192" t="str">
        <x:v>S04</x:v>
      </x:c>
      <x:c r="E192" t="str">
        <x:v>AUTO-BRK-A</x:v>
      </x:c>
      <x:c r="F192" t="str">
        <x:v>汽車精密零組件</x:v>
      </x:c>
      <x:c r="G192" t="n">
        <x:v>5000</x:v>
      </x:c>
      <x:c r="H192" t="n">
        <x:v>1810.56</x:v>
      </x:c>
      <x:c r="I192" t="n">
        <x:v>1424.92</x:v>
      </x:c>
      <x:c r="J192" s="22" t="n">
        <x:v>0.21299487451396246</x:v>
      </x:c>
      <x:c r="K192" s="22" t="n">
        <x:v>0.0213</x:v>
      </x:c>
      <x:c r="L192" t="n">
        <x:v>20</x:v>
      </x:c>
      <x:c r="M192" t="str">
        <x:v>成交</x:v>
      </x:c>
      <x:c r="N192" s="20" t="n">
        <x:v>45377</x:v>
      </x:c>
      <x:c r="O192"/>
    </x:row>
    <x:row r="193" ht="20" customHeight="1">
      <x:c r="A193" t="str">
        <x:v>Q00192</x:v>
      </x:c>
      <x:c r="B193" s="20" t="n">
        <x:v>45352</x:v>
      </x:c>
      <x:c r="C193" t="str">
        <x:v>IAT-008</x:v>
      </x:c>
      <x:c r="D193" t="str">
        <x:v>S01</x:v>
      </x:c>
      <x:c r="E193" t="str">
        <x:v>AUTO-MH-A</x:v>
      </x:c>
      <x:c r="F193" t="str">
        <x:v>汽車精密零組件</x:v>
      </x:c>
      <x:c r="G193" t="n">
        <x:v>13000</x:v>
      </x:c>
      <x:c r="H193" t="n">
        <x:v>2313.3</x:v>
      </x:c>
      <x:c r="I193" t="n">
        <x:v>1952.9</x:v>
      </x:c>
      <x:c r="J193" s="22" t="n">
        <x:v>0.15579475208576496</x:v>
      </x:c>
      <x:c r="K193" s="22" t="n">
        <x:v>0.148</x:v>
      </x:c>
      <x:c r="L193" t="n">
        <x:v>21</x:v>
      </x:c>
      <x:c r="M193" t="str">
        <x:v>未成交</x:v>
      </x:c>
      <x:c r="N193" s="20" t="n">
        <x:v>45360</x:v>
      </x:c>
      <x:c r="O193" t="str">
        <x:v>價格</x:v>
      </x:c>
    </x:row>
    <x:row r="194" ht="20" customHeight="1">
      <x:c r="A194" t="str">
        <x:v>Q00193</x:v>
      </x:c>
      <x:c r="B194" s="20" t="n">
        <x:v>45382</x:v>
      </x:c>
      <x:c r="C194" t="str">
        <x:v>SEM-010</x:v>
      </x:c>
      <x:c r="D194" t="str">
        <x:v>S01</x:v>
      </x:c>
      <x:c r="E194" t="str">
        <x:v>MECH-CON-B</x:v>
      </x:c>
      <x:c r="F194" t="str">
        <x:v>機電／自動化模組</x:v>
      </x:c>
      <x:c r="G194" t="n">
        <x:v>40</x:v>
      </x:c>
      <x:c r="H194" t="n">
        <x:v>152509.99</x:v>
      </x:c>
      <x:c r="I194" t="n">
        <x:v>117535.34</x:v>
      </x:c>
      <x:c r="J194" s="22" t="n">
        <x:v>0.22932694441852627</x:v>
      </x:c>
      <x:c r="K194" s="22" t="n">
        <x:v>0.0637</x:v>
      </x:c>
      <x:c r="L194" t="n">
        <x:v>47</x:v>
      </x:c>
      <x:c r="M194" t="str">
        <x:v>成交</x:v>
      </x:c>
      <x:c r="N194" s="20" t="n">
        <x:v>45386</x:v>
      </x:c>
      <x:c r="O194"/>
    </x:row>
    <x:row r="195" ht="20" customHeight="1">
      <x:c r="A195" t="str">
        <x:v>Q00194</x:v>
      </x:c>
      <x:c r="B195" s="20" t="n">
        <x:v>45374</x:v>
      </x:c>
      <x:c r="C195" t="str">
        <x:v>IAT-002</x:v>
      </x:c>
      <x:c r="D195" t="str">
        <x:v>S01</x:v>
      </x:c>
      <x:c r="E195" t="str">
        <x:v>AUTO-FL-B</x:v>
      </x:c>
      <x:c r="F195" t="str">
        <x:v>汽車精密零組件</x:v>
      </x:c>
      <x:c r="G195" t="n">
        <x:v>7000</x:v>
      </x:c>
      <x:c r="H195" t="n">
        <x:v>1572.51</x:v>
      </x:c>
      <x:c r="I195" t="n">
        <x:v>1193.76</x:v>
      </x:c>
      <x:c r="J195" s="22" t="n">
        <x:v>0.24085697388251903</x:v>
      </x:c>
      <x:c r="K195" s="22" t="n">
        <x:v>0.0474</x:v>
      </x:c>
      <x:c r="L195" t="n">
        <x:v>17</x:v>
      </x:c>
      <x:c r="M195" t="str">
        <x:v>成交</x:v>
      </x:c>
      <x:c r="N195" s="20" t="n">
        <x:v>45382</x:v>
      </x:c>
      <x:c r="O195"/>
    </x:row>
    <x:row r="196" ht="20" customHeight="1">
      <x:c r="A196" t="str">
        <x:v>Q00195</x:v>
      </x:c>
      <x:c r="B196" s="20" t="n">
        <x:v>45363</x:v>
      </x:c>
      <x:c r="C196" t="str">
        <x:v>AFT-005</x:v>
      </x:c>
      <x:c r="D196" t="str">
        <x:v>S05</x:v>
      </x:c>
      <x:c r="E196" t="str">
        <x:v>PM-SUS-B</x:v>
      </x:c>
      <x:c r="F196" t="str">
        <x:v>精密金屬加工件</x:v>
      </x:c>
      <x:c r="G196" t="n">
        <x:v>500</x:v>
      </x:c>
      <x:c r="H196" t="n">
        <x:v>15343.82</x:v>
      </x:c>
      <x:c r="I196" t="n">
        <x:v>11192.22</x:v>
      </x:c>
      <x:c r="J196" s="22" t="n">
        <x:v>0.2705714743786098</x:v>
      </x:c>
      <x:c r="K196" s="22" t="n">
        <x:v>0.036</x:v>
      </x:c>
      <x:c r="L196" t="n">
        <x:v>22</x:v>
      </x:c>
      <x:c r="M196" t="str">
        <x:v>未成交</x:v>
      </x:c>
      <x:c r="N196" s="20" t="n">
        <x:v>45372</x:v>
      </x:c>
      <x:c r="O196" t="str">
        <x:v>價格</x:v>
      </x:c>
    </x:row>
    <x:row r="197" ht="20" customHeight="1">
      <x:c r="A197" t="str">
        <x:v>Q00196</x:v>
      </x:c>
      <x:c r="B197" s="20" t="n">
        <x:v>45376</x:v>
      </x:c>
      <x:c r="C197" t="str">
        <x:v>EMS-007</x:v>
      </x:c>
      <x:c r="D197" t="str">
        <x:v>S04</x:v>
      </x:c>
      <x:c r="E197" t="str">
        <x:v>AUTO-KN-A</x:v>
      </x:c>
      <x:c r="F197" t="str">
        <x:v>汽車精密零組件</x:v>
      </x:c>
      <x:c r="G197" t="n">
        <x:v>13000</x:v>
      </x:c>
      <x:c r="H197" t="n">
        <x:v>2954.4</x:v>
      </x:c>
      <x:c r="I197" t="n">
        <x:v>2182.71</x:v>
      </x:c>
      <x:c r="J197" s="22" t="n">
        <x:v>0.26120024370430545</x:v>
      </x:c>
      <x:c r="K197" s="22" t="n">
        <x:v>0.1254</x:v>
      </x:c>
      <x:c r="L197" t="n">
        <x:v>21</x:v>
      </x:c>
      <x:c r="M197" t="str">
        <x:v>成交</x:v>
      </x:c>
      <x:c r="N197" s="20" t="n">
        <x:v>45379</x:v>
      </x:c>
      <x:c r="O197"/>
    </x:row>
    <x:row r="198" ht="20" customHeight="1">
      <x:c r="A198" t="str">
        <x:v>Q00197</x:v>
      </x:c>
      <x:c r="B198" s="20" t="n">
        <x:v>45371</x:v>
      </x:c>
      <x:c r="C198" t="str">
        <x:v>EMS-004</x:v>
      </x:c>
      <x:c r="D198" t="str">
        <x:v>S03</x:v>
      </x:c>
      <x:c r="E198" t="str">
        <x:v>SEMI-CHB-A</x:v>
      </x:c>
      <x:c r="F198" t="str">
        <x:v>半導體設備零組件</x:v>
      </x:c>
      <x:c r="G198" t="n">
        <x:v>120</x:v>
      </x:c>
      <x:c r="H198" t="n">
        <x:v>86534.51</x:v>
      </x:c>
      <x:c r="I198" t="n">
        <x:v>70909.84</x:v>
      </x:c>
      <x:c r="J198" s="22" t="n">
        <x:v>0.1805599869924727</x:v>
      </x:c>
      <x:c r="K198" s="22" t="n">
        <x:v>0.1068</x:v>
      </x:c>
      <x:c r="L198" t="n">
        <x:v>36</x:v>
      </x:c>
      <x:c r="M198" t="str">
        <x:v>成交</x:v>
      </x:c>
      <x:c r="N198" s="20" t="n">
        <x:v>45382</x:v>
      </x:c>
      <x:c r="O198"/>
    </x:row>
    <x:row r="199" ht="20" customHeight="1">
      <x:c r="A199" t="str">
        <x:v>Q00198</x:v>
      </x:c>
      <x:c r="B199" s="20" t="n">
        <x:v>45370</x:v>
      </x:c>
      <x:c r="C199" t="str">
        <x:v>IAT-009</x:v>
      </x:c>
      <x:c r="D199" t="str">
        <x:v>S04</x:v>
      </x:c>
      <x:c r="E199" t="str">
        <x:v>AUTO-KN-B</x:v>
      </x:c>
      <x:c r="F199" t="str">
        <x:v>汽車精密零組件</x:v>
      </x:c>
      <x:c r="G199" t="n">
        <x:v>10000</x:v>
      </x:c>
      <x:c r="H199" t="n">
        <x:v>3768.45</x:v>
      </x:c>
      <x:c r="I199" t="n">
        <x:v>2593.74</x:v>
      </x:c>
      <x:c r="J199" s="22" t="n">
        <x:v>0.31172232615531587</x:v>
      </x:c>
      <x:c r="K199" s="22" t="n">
        <x:v>0.0412</x:v>
      </x:c>
      <x:c r="L199" t="n">
        <x:v>24</x:v>
      </x:c>
      <x:c r="M199" t="str">
        <x:v>未成交</x:v>
      </x:c>
      <x:c r="N199" s="20" t="n">
        <x:v>45377</x:v>
      </x:c>
      <x:c r="O199" t="str">
        <x:v>專案取消</x:v>
      </x:c>
    </x:row>
    <x:row r="200" ht="20" customHeight="1">
      <x:c r="A200" t="str">
        <x:v>Q00199</x:v>
      </x:c>
      <x:c r="B200" s="20" t="n">
        <x:v>45360</x:v>
      </x:c>
      <x:c r="C200" t="str">
        <x:v>EMS-007</x:v>
      </x:c>
      <x:c r="D200" t="str">
        <x:v>S04</x:v>
      </x:c>
      <x:c r="E200" t="str">
        <x:v>AUTO-LG-B</x:v>
      </x:c>
      <x:c r="F200" t="str">
        <x:v>汽車精密零組件</x:v>
      </x:c>
      <x:c r="G200" t="n">
        <x:v>3000</x:v>
      </x:c>
      <x:c r="H200" t="n">
        <x:v>1219.92</x:v>
      </x:c>
      <x:c r="I200" t="n">
        <x:v>900.16</x:v>
      </x:c>
      <x:c r="J200" s="22" t="n">
        <x:v>0.2621155485605614</x:v>
      </x:c>
      <x:c r="K200" s="22" t="n">
        <x:v>0.053</x:v>
      </x:c>
      <x:c r="L200" t="n">
        <x:v>13</x:v>
      </x:c>
      <x:c r="M200" t="str">
        <x:v>成交</x:v>
      </x:c>
      <x:c r="N200" s="20" t="n">
        <x:v>45372</x:v>
      </x:c>
      <x:c r="O200"/>
    </x:row>
    <x:row r="201" ht="20" customHeight="1">
      <x:c r="A201" t="str">
        <x:v>Q00200</x:v>
      </x:c>
      <x:c r="B201" s="20" t="n">
        <x:v>45368</x:v>
      </x:c>
      <x:c r="C201" t="str">
        <x:v>IAT-003</x:v>
      </x:c>
      <x:c r="D201" t="str">
        <x:v>S04</x:v>
      </x:c>
      <x:c r="E201" t="str">
        <x:v>AUTO-KN-B</x:v>
      </x:c>
      <x:c r="F201" t="str">
        <x:v>汽車精密零組件</x:v>
      </x:c>
      <x:c r="G201" t="n">
        <x:v>3000</x:v>
      </x:c>
      <x:c r="H201" t="n">
        <x:v>3716.16</x:v>
      </x:c>
      <x:c r="I201" t="n">
        <x:v>2679.59</x:v>
      </x:c>
      <x:c r="J201" s="22" t="n">
        <x:v>0.27893578317402906</x:v>
      </x:c>
      <x:c r="K201" s="22" t="n">
        <x:v>0.054</x:v>
      </x:c>
      <x:c r="L201" t="n">
        <x:v>23</x:v>
      </x:c>
      <x:c r="M201" t="str">
        <x:v>未成交</x:v>
      </x:c>
      <x:c r="N201" s="20" t="n">
        <x:v>45375</x:v>
      </x:c>
      <x:c r="O201" t="str">
        <x:v>競品</x:v>
      </x:c>
    </x:row>
    <x:row r="202" ht="20" customHeight="1">
      <x:c r="A202" t="str">
        <x:v>Q00201</x:v>
      </x:c>
      <x:c r="B202" s="20" t="n">
        <x:v>45357</x:v>
      </x:c>
      <x:c r="C202" t="str">
        <x:v>AUT-011</x:v>
      </x:c>
      <x:c r="D202" t="str">
        <x:v>S02</x:v>
      </x:c>
      <x:c r="E202" t="str">
        <x:v>PM-SUS-B</x:v>
      </x:c>
      <x:c r="F202" t="str">
        <x:v>精密金屬加工件</x:v>
      </x:c>
      <x:c r="G202" t="n">
        <x:v>1200</x:v>
      </x:c>
      <x:c r="H202" t="n">
        <x:v>15377.39</x:v>
      </x:c>
      <x:c r="I202" t="n">
        <x:v>10797.03</x:v>
      </x:c>
      <x:c r="J202" s="22" t="n">
        <x:v>0.29786329149485047</x:v>
      </x:c>
      <x:c r="K202" s="22" t="n">
        <x:v>0.037</x:v>
      </x:c>
      <x:c r="L202" t="n">
        <x:v>26</x:v>
      </x:c>
      <x:c r="M202" t="str">
        <x:v>成交</x:v>
      </x:c>
      <x:c r="N202" s="20" t="n">
        <x:v>45366</x:v>
      </x:c>
      <x:c r="O202"/>
    </x:row>
    <x:row r="203" ht="20" customHeight="1">
      <x:c r="A203" t="str">
        <x:v>Q00202</x:v>
      </x:c>
      <x:c r="B203" s="20" t="n">
        <x:v>45380</x:v>
      </x:c>
      <x:c r="C203" t="str">
        <x:v>EMS-006</x:v>
      </x:c>
      <x:c r="D203" t="str">
        <x:v>S03</x:v>
      </x:c>
      <x:c r="E203" t="str">
        <x:v>SEMI-CHB-B</x:v>
      </x:c>
      <x:c r="F203" t="str">
        <x:v>半導體設備零組件</x:v>
      </x:c>
      <x:c r="G203" t="n">
        <x:v>60</x:v>
      </x:c>
      <x:c r="H203" t="n">
        <x:v>134058.35</x:v>
      </x:c>
      <x:c r="I203" t="n">
        <x:v>109847.81</x:v>
      </x:c>
      <x:c r="J203" s="22" t="n">
        <x:v>0.18059703106893385</x:v>
      </x:c>
      <x:c r="K203" s="22" t="n">
        <x:v>0.1027</x:v>
      </x:c>
      <x:c r="L203" t="n">
        <x:v>58</x:v>
      </x:c>
      <x:c r="M203" t="str">
        <x:v>未成交</x:v>
      </x:c>
      <x:c r="N203" s="20" t="n">
        <x:v>45388</x:v>
      </x:c>
      <x:c r="O203" t="str">
        <x:v>專案取消</x:v>
      </x:c>
    </x:row>
    <x:row r="204" ht="20" customHeight="1">
      <x:c r="A204" t="str">
        <x:v>Q00203</x:v>
      </x:c>
      <x:c r="B204" s="20" t="n">
        <x:v>45364</x:v>
      </x:c>
      <x:c r="C204" t="str">
        <x:v>IAT-003</x:v>
      </x:c>
      <x:c r="D204" t="str">
        <x:v>S04</x:v>
      </x:c>
      <x:c r="E204" t="str">
        <x:v>AUTO-LG-B</x:v>
      </x:c>
      <x:c r="F204" t="str">
        <x:v>汽車精密零組件</x:v>
      </x:c>
      <x:c r="G204" t="n">
        <x:v>7000</x:v>
      </x:c>
      <x:c r="H204" t="n">
        <x:v>1117.33</x:v>
      </x:c>
      <x:c r="I204" t="n">
        <x:v>950.38</x:v>
      </x:c>
      <x:c r="J204" s="22" t="n">
        <x:v>0.14941870351641856</x:v>
      </x:c>
      <x:c r="K204" s="22" t="n">
        <x:v>0.1224</x:v>
      </x:c>
      <x:c r="L204" t="n">
        <x:v>18</x:v>
      </x:c>
      <x:c r="M204" t="str">
        <x:v>成交</x:v>
      </x:c>
      <x:c r="N204" s="20" t="n">
        <x:v>45376</x:v>
      </x:c>
      <x:c r="O204"/>
    </x:row>
    <x:row r="205" ht="20" customHeight="1">
      <x:c r="A205" t="str">
        <x:v>Q00204</x:v>
      </x:c>
      <x:c r="B205" s="20" t="n">
        <x:v>45375</x:v>
      </x:c>
      <x:c r="C205" t="str">
        <x:v>AUT-010</x:v>
      </x:c>
      <x:c r="D205" t="str">
        <x:v>S05</x:v>
      </x:c>
      <x:c r="E205" t="str">
        <x:v>AUTO-FL-B</x:v>
      </x:c>
      <x:c r="F205" t="str">
        <x:v>汽車精密零組件</x:v>
      </x:c>
      <x:c r="G205" t="n">
        <x:v>3000</x:v>
      </x:c>
      <x:c r="H205" t="n">
        <x:v>1528.63</x:v>
      </x:c>
      <x:c r="I205" t="n">
        <x:v>1175.72</x:v>
      </x:c>
      <x:c r="J205" s="22" t="n">
        <x:v>0.23086685463454207</x:v>
      </x:c>
      <x:c r="K205" s="22" t="n">
        <x:v>0.0556</x:v>
      </x:c>
      <x:c r="L205" t="n">
        <x:v>15</x:v>
      </x:c>
      <x:c r="M205" t="str">
        <x:v>成交</x:v>
      </x:c>
      <x:c r="N205" s="20" t="n">
        <x:v>45382</x:v>
      </x:c>
      <x:c r="O205"/>
    </x:row>
    <x:row r="206" ht="20" customHeight="1">
      <x:c r="A206" t="str">
        <x:v>Q00205</x:v>
      </x:c>
      <x:c r="B206" s="20" t="n">
        <x:v>45357</x:v>
      </x:c>
      <x:c r="C206" t="str">
        <x:v>AFT-002</x:v>
      </x:c>
      <x:c r="D206" t="str">
        <x:v>S04</x:v>
      </x:c>
      <x:c r="E206" t="str">
        <x:v>AUTO-BS-A</x:v>
      </x:c>
      <x:c r="F206" t="str">
        <x:v>汽車精密零組件</x:v>
      </x:c>
      <x:c r="G206" t="n">
        <x:v>5000</x:v>
      </x:c>
      <x:c r="H206" t="n">
        <x:v>735.47</x:v>
      </x:c>
      <x:c r="I206" t="n">
        <x:v>539.23</x:v>
      </x:c>
      <x:c r="J206" s="22" t="n">
        <x:v>0.2668225760398113</x:v>
      </x:c>
      <x:c r="K206" s="22" t="n">
        <x:v>0.1135</x:v>
      </x:c>
      <x:c r="L206" t="n">
        <x:v>15</x:v>
      </x:c>
      <x:c r="M206" t="str">
        <x:v>成交</x:v>
      </x:c>
      <x:c r="N206" s="20" t="n">
        <x:v>45362</x:v>
      </x:c>
      <x:c r="O206"/>
    </x:row>
    <x:row r="207" ht="20" customHeight="1">
      <x:c r="A207" t="str">
        <x:v>Q00206</x:v>
      </x:c>
      <x:c r="B207" s="20" t="n">
        <x:v>45389</x:v>
      </x:c>
      <x:c r="C207" t="str">
        <x:v>SEM-006</x:v>
      </x:c>
      <x:c r="D207" t="str">
        <x:v>S06</x:v>
      </x:c>
      <x:c r="E207" t="str">
        <x:v>MECH-CON-A</x:v>
      </x:c>
      <x:c r="F207" t="str">
        <x:v>機電／自動化模組</x:v>
      </x:c>
      <x:c r="G207" t="n">
        <x:v>30</x:v>
      </x:c>
      <x:c r="H207" t="n">
        <x:v>97719.64</x:v>
      </x:c>
      <x:c r="I207" t="n">
        <x:v>83681.52</x:v>
      </x:c>
      <x:c r="J207" s="22" t="n">
        <x:v>0.14365709902328738</x:v>
      </x:c>
      <x:c r="K207" s="22" t="n">
        <x:v>0.18</x:v>
      </x:c>
      <x:c r="L207" t="n">
        <x:v>29</x:v>
      </x:c>
      <x:c r="M207" t="str">
        <x:v>未成交</x:v>
      </x:c>
      <x:c r="N207" s="20" t="n">
        <x:v>45398</x:v>
      </x:c>
      <x:c r="O207" t="str">
        <x:v>規格</x:v>
      </x:c>
    </x:row>
    <x:row r="208" ht="20" customHeight="1">
      <x:c r="A208" t="str">
        <x:v>Q00207</x:v>
      </x:c>
      <x:c r="B208" s="20" t="n">
        <x:v>45383</x:v>
      </x:c>
      <x:c r="C208" t="str">
        <x:v>EMS-005</x:v>
      </x:c>
      <x:c r="D208" t="str">
        <x:v>S01</x:v>
      </x:c>
      <x:c r="E208" t="str">
        <x:v>PM-SUS-B</x:v>
      </x:c>
      <x:c r="F208" t="str">
        <x:v>精密金屬加工件</x:v>
      </x:c>
      <x:c r="G208" t="n">
        <x:v>800</x:v>
      </x:c>
      <x:c r="H208" t="n">
        <x:v>15351.1</x:v>
      </x:c>
      <x:c r="I208" t="n">
        <x:v>10921.2</x:v>
      </x:c>
      <x:c r="J208" s="22" t="n">
        <x:v>0.28857215443844414</x:v>
      </x:c>
      <x:c r="K208" s="22" t="n">
        <x:v>0.0191</x:v>
      </x:c>
      <x:c r="L208" t="n">
        <x:v>26</x:v>
      </x:c>
      <x:c r="M208" t="str">
        <x:v>未成交</x:v>
      </x:c>
      <x:c r="N208" s="20" t="n">
        <x:v>45388</x:v>
      </x:c>
      <x:c r="O208" t="str">
        <x:v>價格</x:v>
      </x:c>
    </x:row>
    <x:row r="209" ht="20" customHeight="1">
      <x:c r="A209" t="str">
        <x:v>Q00208</x:v>
      </x:c>
      <x:c r="B209" s="20" t="n">
        <x:v>45392</x:v>
      </x:c>
      <x:c r="C209" t="str">
        <x:v>AUT-012</x:v>
      </x:c>
      <x:c r="D209" t="str">
        <x:v>S06</x:v>
      </x:c>
      <x:c r="E209" t="str">
        <x:v>AUTO-KN-A</x:v>
      </x:c>
      <x:c r="F209" t="str">
        <x:v>汽車精密零組件</x:v>
      </x:c>
      <x:c r="G209" t="n">
        <x:v>7000</x:v>
      </x:c>
      <x:c r="H209" t="n">
        <x:v>3250.37</x:v>
      </x:c>
      <x:c r="I209" t="n">
        <x:v>2244.2</x:v>
      </x:c>
      <x:c r="J209" s="22" t="n">
        <x:v>0.3095555275245588</x:v>
      </x:c>
      <x:c r="K209" s="22" t="n">
        <x:v>0.0489</x:v>
      </x:c>
      <x:c r="L209" t="n">
        <x:v>23</x:v>
      </x:c>
      <x:c r="M209" t="str">
        <x:v>成交</x:v>
      </x:c>
      <x:c r="N209" s="20" t="n">
        <x:v>45395</x:v>
      </x:c>
      <x:c r="O209"/>
    </x:row>
    <x:row r="210" ht="20" customHeight="1">
      <x:c r="A210" t="str">
        <x:v>Q00209</x:v>
      </x:c>
      <x:c r="B210" s="20" t="n">
        <x:v>45406</x:v>
      </x:c>
      <x:c r="C210" t="str">
        <x:v>EMS-005</x:v>
      </x:c>
      <x:c r="D210" t="str">
        <x:v>S01</x:v>
      </x:c>
      <x:c r="E210" t="str">
        <x:v>PM-VAC-A</x:v>
      </x:c>
      <x:c r="F210" t="str">
        <x:v>精密金屬加工件</x:v>
      </x:c>
      <x:c r="G210" t="n">
        <x:v>1600</x:v>
      </x:c>
      <x:c r="H210" t="n">
        <x:v>16082.61</x:v>
      </x:c>
      <x:c r="I210" t="n">
        <x:v>11182.58</x:v>
      </x:c>
      <x:c r="J210" s="22" t="n">
        <x:v>0.3046787803720914</x:v>
      </x:c>
      <x:c r="K210" s="22" t="n">
        <x:v>0.0356</x:v>
      </x:c>
      <x:c r="L210" t="n">
        <x:v>22</x:v>
      </x:c>
      <x:c r="M210" t="str">
        <x:v>成交</x:v>
      </x:c>
      <x:c r="N210" s="20" t="n">
        <x:v>45412</x:v>
      </x:c>
      <x:c r="O210"/>
    </x:row>
    <x:row r="211" ht="20" customHeight="1">
      <x:c r="A211" t="str">
        <x:v>Q00210</x:v>
      </x:c>
      <x:c r="B211" s="20" t="n">
        <x:v>45404</x:v>
      </x:c>
      <x:c r="C211" t="str">
        <x:v>AUT-002</x:v>
      </x:c>
      <x:c r="D211" t="str">
        <x:v>S04</x:v>
      </x:c>
      <x:c r="E211" t="str">
        <x:v>AUTO-LG-A</x:v>
      </x:c>
      <x:c r="F211" t="str">
        <x:v>汽車精密零組件</x:v>
      </x:c>
      <x:c r="G211" t="n">
        <x:v>10000</x:v>
      </x:c>
      <x:c r="H211" t="n">
        <x:v>1167.23</x:v>
      </x:c>
      <x:c r="I211" t="n">
        <x:v>832.68</x:v>
      </x:c>
      <x:c r="J211" s="22" t="n">
        <x:v>0.28661874694790235</x:v>
      </x:c>
      <x:c r="K211" s="22" t="n">
        <x:v>0.0202</x:v>
      </x:c>
      <x:c r="L211" t="n">
        <x:v>20</x:v>
      </x:c>
      <x:c r="M211" t="str">
        <x:v>成交</x:v>
      </x:c>
      <x:c r="N211" s="20" t="n">
        <x:v>45408</x:v>
      </x:c>
      <x:c r="O211"/>
    </x:row>
    <x:row r="212" ht="20" customHeight="1">
      <x:c r="A212" t="str">
        <x:v>Q00211</x:v>
      </x:c>
      <x:c r="B212" s="20" t="n">
        <x:v>45388</x:v>
      </x:c>
      <x:c r="C212" t="str">
        <x:v>EMS-002</x:v>
      </x:c>
      <x:c r="D212" t="str">
        <x:v>S05</x:v>
      </x:c>
      <x:c r="E212" t="str">
        <x:v>AUTO-KN-B</x:v>
      </x:c>
      <x:c r="F212" t="str">
        <x:v>汽車精密零組件</x:v>
      </x:c>
      <x:c r="G212" t="n">
        <x:v>3000</x:v>
      </x:c>
      <x:c r="H212" t="n">
        <x:v>3688.45</x:v>
      </x:c>
      <x:c r="I212" t="n">
        <x:v>2580.61</x:v>
      </x:c>
      <x:c r="J212" s="22" t="n">
        <x:v>0.30035380715476684</x:v>
      </x:c>
      <x:c r="K212" s="22" t="n">
        <x:v>0.0632</x:v>
      </x:c>
      <x:c r="L212" t="n">
        <x:v>21</x:v>
      </x:c>
      <x:c r="M212" t="str">
        <x:v>成交</x:v>
      </x:c>
      <x:c r="N212" s="20" t="n">
        <x:v>45393</x:v>
      </x:c>
      <x:c r="O212"/>
    </x:row>
    <x:row r="213" ht="20" customHeight="1">
      <x:c r="A213" t="str">
        <x:v>Q00212</x:v>
      </x:c>
      <x:c r="B213" s="20" t="n">
        <x:v>45396</x:v>
      </x:c>
      <x:c r="C213" t="str">
        <x:v>SEM-006</x:v>
      </x:c>
      <x:c r="D213" t="str">
        <x:v>S06</x:v>
      </x:c>
      <x:c r="E213" t="str">
        <x:v>PM-SUS-B</x:v>
      </x:c>
      <x:c r="F213" t="str">
        <x:v>精密金屬加工件</x:v>
      </x:c>
      <x:c r="G213" t="n">
        <x:v>1200</x:v>
      </x:c>
      <x:c r="H213" t="n">
        <x:v>14327.6</x:v>
      </x:c>
      <x:c r="I213" t="n">
        <x:v>11168.81</x:v>
      </x:c>
      <x:c r="J213" s="22" t="n">
        <x:v>0.22046888522851008</x:v>
      </x:c>
      <x:c r="K213" s="22" t="n">
        <x:v>0.0884</x:v>
      </x:c>
      <x:c r="L213" t="n">
        <x:v>31</x:v>
      </x:c>
      <x:c r="M213" t="str">
        <x:v>成交</x:v>
      </x:c>
      <x:c r="N213" s="20" t="n">
        <x:v>45405</x:v>
      </x:c>
      <x:c r="O213"/>
    </x:row>
    <x:row r="214" ht="20" customHeight="1">
      <x:c r="A214" t="str">
        <x:v>Q00213</x:v>
      </x:c>
      <x:c r="B214" s="20" t="n">
        <x:v>45408</x:v>
      </x:c>
      <x:c r="C214" t="str">
        <x:v>IAT-007</x:v>
      </x:c>
      <x:c r="D214" t="str">
        <x:v>S04</x:v>
      </x:c>
      <x:c r="E214" t="str">
        <x:v>PM-VAC-B</x:v>
      </x:c>
      <x:c r="F214" t="str">
        <x:v>精密金屬加工件</x:v>
      </x:c>
      <x:c r="G214" t="n">
        <x:v>1200</x:v>
      </x:c>
      <x:c r="H214" t="n">
        <x:v>20829.85</x:v>
      </x:c>
      <x:c r="I214" t="n">
        <x:v>15348.56</x:v>
      </x:c>
      <x:c r="J214" s="22" t="n">
        <x:v>0.26314591799748915</x:v>
      </x:c>
      <x:c r="K214" s="22" t="n">
        <x:v>0.1244</x:v>
      </x:c>
      <x:c r="L214" t="n">
        <x:v>27</x:v>
      </x:c>
      <x:c r="M214" t="str">
        <x:v>成交</x:v>
      </x:c>
      <x:c r="N214" s="20" t="n">
        <x:v>45414</x:v>
      </x:c>
      <x:c r="O214"/>
    </x:row>
    <x:row r="215" ht="20" customHeight="1">
      <x:c r="A215" t="str">
        <x:v>Q00214</x:v>
      </x:c>
      <x:c r="B215" s="20" t="n">
        <x:v>45404</x:v>
      </x:c>
      <x:c r="C215" t="str">
        <x:v>AFT-005</x:v>
      </x:c>
      <x:c r="D215" t="str">
        <x:v>S05</x:v>
      </x:c>
      <x:c r="E215" t="str">
        <x:v>PM-BRG-B</x:v>
      </x:c>
      <x:c r="F215" t="str">
        <x:v>精密金屬加工件</x:v>
      </x:c>
      <x:c r="G215" t="n">
        <x:v>500</x:v>
      </x:c>
      <x:c r="H215" t="n">
        <x:v>7754.61</x:v>
      </x:c>
      <x:c r="I215" t="n">
        <x:v>5583.79</x:v>
      </x:c>
      <x:c r="J215" s="22" t="n">
        <x:v>0.2799392877269134</x:v>
      </x:c>
      <x:c r="K215" s="22" t="n">
        <x:v>0.0703</x:v>
      </x:c>
      <x:c r="L215" t="n">
        <x:v>23</x:v>
      </x:c>
      <x:c r="M215" t="str">
        <x:v>未成交</x:v>
      </x:c>
      <x:c r="N215" s="20" t="n">
        <x:v>45415</x:v>
      </x:c>
      <x:c r="O215" t="str">
        <x:v>專案取消</x:v>
      </x:c>
    </x:row>
    <x:row r="216" ht="20" customHeight="1">
      <x:c r="A216" t="str">
        <x:v>Q00215</x:v>
      </x:c>
      <x:c r="B216" s="20" t="n">
        <x:v>45384</x:v>
      </x:c>
      <x:c r="C216" t="str">
        <x:v>AUT-009</x:v>
      </x:c>
      <x:c r="D216" t="str">
        <x:v>S04</x:v>
      </x:c>
      <x:c r="E216" t="str">
        <x:v>AUTO-BS-A</x:v>
      </x:c>
      <x:c r="F216" t="str">
        <x:v>汽車精密零組件</x:v>
      </x:c>
      <x:c r="G216" t="n">
        <x:v>7000</x:v>
      </x:c>
      <x:c r="H216" t="n">
        <x:v>770.95</x:v>
      </x:c>
      <x:c r="I216" t="n">
        <x:v>559.25</x:v>
      </x:c>
      <x:c r="J216" s="22" t="n">
        <x:v>0.27459627732018943</x:v>
      </x:c>
      <x:c r="K216" s="22" t="n">
        <x:v>0.0694</x:v>
      </x:c>
      <x:c r="L216" t="n">
        <x:v>10</x:v>
      </x:c>
      <x:c r="M216" t="str">
        <x:v>成交</x:v>
      </x:c>
      <x:c r="N216" s="20" t="n">
        <x:v>45394</x:v>
      </x:c>
      <x:c r="O216"/>
    </x:row>
    <x:row r="217" ht="20" customHeight="1">
      <x:c r="A217" t="str">
        <x:v>Q00216</x:v>
      </x:c>
      <x:c r="B217" s="20" t="n">
        <x:v>45390</x:v>
      </x:c>
      <x:c r="C217" t="str">
        <x:v>SEM-001</x:v>
      </x:c>
      <x:c r="D217" t="str">
        <x:v>S01</x:v>
      </x:c>
      <x:c r="E217" t="str">
        <x:v>PM-VAC-A</x:v>
      </x:c>
      <x:c r="F217" t="str">
        <x:v>精密金屬加工件</x:v>
      </x:c>
      <x:c r="G217" t="n">
        <x:v>1200</x:v>
      </x:c>
      <x:c r="H217" t="n">
        <x:v>15744.2</x:v>
      </x:c>
      <x:c r="I217" t="n">
        <x:v>10907.36</x:v>
      </x:c>
      <x:c r="J217" s="22" t="n">
        <x:v>0.307214085186926</x:v>
      </x:c>
      <x:c r="K217" s="22" t="n">
        <x:v>0.0519</x:v>
      </x:c>
      <x:c r="L217" t="n">
        <x:v>23</x:v>
      </x:c>
      <x:c r="M217" t="str">
        <x:v>成交</x:v>
      </x:c>
      <x:c r="N217" s="20" t="n">
        <x:v>45396</x:v>
      </x:c>
      <x:c r="O217"/>
    </x:row>
    <x:row r="218" ht="20" customHeight="1">
      <x:c r="A218" t="str">
        <x:v>Q00217</x:v>
      </x:c>
      <x:c r="B218" s="20" t="n">
        <x:v>45412</x:v>
      </x:c>
      <x:c r="C218" t="str">
        <x:v>EMS-005</x:v>
      </x:c>
      <x:c r="D218" t="str">
        <x:v>S01</x:v>
      </x:c>
      <x:c r="E218" t="str">
        <x:v>PM-BRG-A</x:v>
      </x:c>
      <x:c r="F218" t="str">
        <x:v>精密金屬加工件</x:v>
      </x:c>
      <x:c r="G218" t="n">
        <x:v>300</x:v>
      </x:c>
      <x:c r="H218" t="n">
        <x:v>6745.7</x:v>
      </x:c>
      <x:c r="I218" t="n">
        <x:v>4583.29</x:v>
      </x:c>
      <x:c r="J218" s="22" t="n">
        <x:v>0.32056124642364764</x:v>
      </x:c>
      <x:c r="K218" s="22" t="n">
        <x:v>0.0657</x:v>
      </x:c>
      <x:c r="L218" t="n">
        <x:v>21</x:v>
      </x:c>
      <x:c r="M218" t="str">
        <x:v>未成交</x:v>
      </x:c>
      <x:c r="N218" s="20" t="n">
        <x:v>45421</x:v>
      </x:c>
      <x:c r="O218" t="str">
        <x:v>價格</x:v>
      </x:c>
    </x:row>
    <x:row r="219" ht="20" customHeight="1">
      <x:c r="A219" t="str">
        <x:v>Q00218</x:v>
      </x:c>
      <x:c r="B219" s="20" t="n">
        <x:v>45403</x:v>
      </x:c>
      <x:c r="C219" t="str">
        <x:v>EMS-003</x:v>
      </x:c>
      <x:c r="D219" t="str">
        <x:v>S05</x:v>
      </x:c>
      <x:c r="E219" t="str">
        <x:v>PM-VAC-A</x:v>
      </x:c>
      <x:c r="F219" t="str">
        <x:v>精密金屬加工件</x:v>
      </x:c>
      <x:c r="G219" t="n">
        <x:v>500</x:v>
      </x:c>
      <x:c r="H219" t="n">
        <x:v>14972.93</x:v>
      </x:c>
      <x:c r="I219" t="n">
        <x:v>10902.13</x:v>
      </x:c>
      <x:c r="J219" s="22" t="n">
        <x:v>0.2718773145937369</x:v>
      </x:c>
      <x:c r="K219" s="22" t="n">
        <x:v>0.1152</x:v>
      </x:c>
      <x:c r="L219" t="n">
        <x:v>33</x:v>
      </x:c>
      <x:c r="M219" t="str">
        <x:v>未成交</x:v>
      </x:c>
      <x:c r="N219" s="20" t="n">
        <x:v>45406</x:v>
      </x:c>
      <x:c r="O219" t="str">
        <x:v>規格</x:v>
      </x:c>
    </x:row>
    <x:row r="220" ht="20" customHeight="1">
      <x:c r="A220" t="str">
        <x:v>Q00219</x:v>
      </x:c>
      <x:c r="B220" s="20" t="n">
        <x:v>45393</x:v>
      </x:c>
      <x:c r="C220" t="str">
        <x:v>EMS-004</x:v>
      </x:c>
      <x:c r="D220" t="str">
        <x:v>S03</x:v>
      </x:c>
      <x:c r="E220" t="str">
        <x:v>SEMI-CHB-B</x:v>
      </x:c>
      <x:c r="F220" t="str">
        <x:v>半導體設備零組件</x:v>
      </x:c>
      <x:c r="G220" t="n">
        <x:v>160</x:v>
      </x:c>
      <x:c r="H220" t="n">
        <x:v>127179.97</x:v>
      </x:c>
      <x:c r="I220" t="n">
        <x:v>112132.77</x:v>
      </x:c>
      <x:c r="J220" s="22" t="n">
        <x:v>0.1183142282546536</x:v>
      </x:c>
      <x:c r="K220" s="22" t="n">
        <x:v>0.1343</x:v>
      </x:c>
      <x:c r="L220" t="n">
        <x:v>47</x:v>
      </x:c>
      <x:c r="M220" t="str">
        <x:v>未成交</x:v>
      </x:c>
      <x:c r="N220" s="20" t="n">
        <x:v>45397</x:v>
      </x:c>
      <x:c r="O220" t="str">
        <x:v>規格</x:v>
      </x:c>
    </x:row>
    <x:row r="221" ht="20" customHeight="1">
      <x:c r="A221" t="str">
        <x:v>Q00220</x:v>
      </x:c>
      <x:c r="B221" s="20" t="n">
        <x:v>45406</x:v>
      </x:c>
      <x:c r="C221" t="str">
        <x:v>IAT-003</x:v>
      </x:c>
      <x:c r="D221" t="str">
        <x:v>S04</x:v>
      </x:c>
      <x:c r="E221" t="str">
        <x:v>PM-BRG-A</x:v>
      </x:c>
      <x:c r="F221" t="str">
        <x:v>精密金屬加工件</x:v>
      </x:c>
      <x:c r="G221" t="n">
        <x:v>500</x:v>
      </x:c>
      <x:c r="H221" t="n">
        <x:v>6894.78</x:v>
      </x:c>
      <x:c r="I221" t="n">
        <x:v>4545.54</x:v>
      </x:c>
      <x:c r="J221" s="22" t="n">
        <x:v>0.3407273328518096</x:v>
      </x:c>
      <x:c r="K221" s="22" t="n">
        <x:v>0.0374</x:v>
      </x:c>
      <x:c r="L221" t="n">
        <x:v>20</x:v>
      </x:c>
      <x:c r="M221" t="str">
        <x:v>成交</x:v>
      </x:c>
      <x:c r="N221" s="20" t="n">
        <x:v>45417</x:v>
      </x:c>
      <x:c r="O221"/>
    </x:row>
    <x:row r="222" ht="20" customHeight="1">
      <x:c r="A222" t="str">
        <x:v>Q00221</x:v>
      </x:c>
      <x:c r="B222" s="20" t="n">
        <x:v>45383</x:v>
      </x:c>
      <x:c r="C222" t="str">
        <x:v>AFT-007</x:v>
      </x:c>
      <x:c r="D222" t="str">
        <x:v>S04</x:v>
      </x:c>
      <x:c r="E222" t="str">
        <x:v>PM-ALB-B</x:v>
      </x:c>
      <x:c r="F222" t="str">
        <x:v>精密金屬加工件</x:v>
      </x:c>
      <x:c r="G222" t="n">
        <x:v>1200</x:v>
      </x:c>
      <x:c r="H222" t="n">
        <x:v>16008.88</x:v>
      </x:c>
      <x:c r="I222" t="n">
        <x:v>12086.64</x:v>
      </x:c>
      <x:c r="J222" s="22" t="n">
        <x:v>0.2450040227673641</x:v>
      </x:c>
      <x:c r="K222" s="22" t="n">
        <x:v>0.0654</x:v>
      </x:c>
      <x:c r="L222" t="n">
        <x:v>33</x:v>
      </x:c>
      <x:c r="M222" t="str">
        <x:v>成交</x:v>
      </x:c>
      <x:c r="N222" s="20" t="n">
        <x:v>45387</x:v>
      </x:c>
      <x:c r="O222"/>
    </x:row>
    <x:row r="223" ht="20" customHeight="1">
      <x:c r="A223" t="str">
        <x:v>Q00222</x:v>
      </x:c>
      <x:c r="B223" s="20" t="n">
        <x:v>45401</x:v>
      </x:c>
      <x:c r="C223" t="str">
        <x:v>EMS-003</x:v>
      </x:c>
      <x:c r="D223" t="str">
        <x:v>S05</x:v>
      </x:c>
      <x:c r="E223" t="str">
        <x:v>MECH-STG-A</x:v>
      </x:c>
      <x:c r="F223" t="str">
        <x:v>機電／自動化模組</x:v>
      </x:c>
      <x:c r="G223" t="n">
        <x:v>50</x:v>
      </x:c>
      <x:c r="H223" t="n">
        <x:v>139486.23</x:v>
      </x:c>
      <x:c r="I223" t="n">
        <x:v>102985.93</x:v>
      </x:c>
      <x:c r="J223" s="22" t="n">
        <x:v>0.26167672608256753</x:v>
      </x:c>
      <x:c r="K223" s="22" t="n">
        <x:v>0.025</x:v>
      </x:c>
      <x:c r="L223" t="n">
        <x:v>30</x:v>
      </x:c>
      <x:c r="M223" t="str">
        <x:v>成交</x:v>
      </x:c>
      <x:c r="N223" s="20" t="n">
        <x:v>45413</x:v>
      </x:c>
      <x:c r="O223"/>
    </x:row>
    <x:row r="224" ht="20" customHeight="1">
      <x:c r="A224" t="str">
        <x:v>Q00223</x:v>
      </x:c>
      <x:c r="B224" s="20" t="n">
        <x:v>45408</x:v>
      </x:c>
      <x:c r="C224" t="str">
        <x:v>AUT-013</x:v>
      </x:c>
      <x:c r="D224" t="str">
        <x:v>S01</x:v>
      </x:c>
      <x:c r="E224" t="str">
        <x:v>AUTO-FL-B</x:v>
      </x:c>
      <x:c r="F224" t="str">
        <x:v>汽車精密零組件</x:v>
      </x:c>
      <x:c r="G224" t="n">
        <x:v>3000</x:v>
      </x:c>
      <x:c r="H224" t="n">
        <x:v>1450.25</x:v>
      </x:c>
      <x:c r="I224" t="n">
        <x:v>1144.48</x:v>
      </x:c>
      <x:c r="J224" s="22" t="n">
        <x:v>0.21083951042923632</x:v>
      </x:c>
      <x:c r="K224" s="22" t="n">
        <x:v>0.113</x:v>
      </x:c>
      <x:c r="L224" t="n">
        <x:v>14</x:v>
      </x:c>
      <x:c r="M224" t="str">
        <x:v>未成交</x:v>
      </x:c>
      <x:c r="N224" s="20" t="n">
        <x:v>45420</x:v>
      </x:c>
      <x:c r="O224" t="str">
        <x:v>專案取消</x:v>
      </x:c>
    </x:row>
    <x:row r="225" ht="20" customHeight="1">
      <x:c r="A225" t="str">
        <x:v>Q00224</x:v>
      </x:c>
      <x:c r="B225" s="20" t="n">
        <x:v>45389</x:v>
      </x:c>
      <x:c r="C225" t="str">
        <x:v>EMS-001</x:v>
      </x:c>
      <x:c r="D225" t="str">
        <x:v>S02</x:v>
      </x:c>
      <x:c r="E225" t="str">
        <x:v>AUTO-BS-B</x:v>
      </x:c>
      <x:c r="F225" t="str">
        <x:v>汽車精密零組件</x:v>
      </x:c>
      <x:c r="G225" t="n">
        <x:v>5000</x:v>
      </x:c>
      <x:c r="H225" t="n">
        <x:v>898.53</x:v>
      </x:c>
      <x:c r="I225" t="n">
        <x:v>636.34</x:v>
      </x:c>
      <x:c r="J225" s="22" t="n">
        <x:v>0.2917988269729446</x:v>
      </x:c>
      <x:c r="K225" s="22" t="n">
        <x:v>0.0705</x:v>
      </x:c>
      <x:c r="L225" t="n">
        <x:v>14</x:v>
      </x:c>
      <x:c r="M225" t="str">
        <x:v>未成交</x:v>
      </x:c>
      <x:c r="N225" s="20" t="n">
        <x:v>45398</x:v>
      </x:c>
      <x:c r="O225" t="str">
        <x:v>競品</x:v>
      </x:c>
    </x:row>
    <x:row r="226" ht="20" customHeight="1">
      <x:c r="A226" t="str">
        <x:v>Q00225</x:v>
      </x:c>
      <x:c r="B226" s="20" t="n">
        <x:v>45402</x:v>
      </x:c>
      <x:c r="C226" t="str">
        <x:v>AUT-011</x:v>
      </x:c>
      <x:c r="D226" t="str">
        <x:v>S02</x:v>
      </x:c>
      <x:c r="E226" t="str">
        <x:v>PM-VAC-B</x:v>
      </x:c>
      <x:c r="F226" t="str">
        <x:v>精密金屬加工件</x:v>
      </x:c>
      <x:c r="G226" t="n">
        <x:v>500</x:v>
      </x:c>
      <x:c r="H226" t="n">
        <x:v>23682.01</x:v>
      </x:c>
      <x:c r="I226" t="n">
        <x:v>15458.08</x:v>
      </x:c>
      <x:c r="J226" s="22" t="n">
        <x:v>0.3472648647644351</x:v>
      </x:c>
      <x:c r="K226" s="22" t="n">
        <x:v>0.0116</x:v>
      </x:c>
      <x:c r="L226" t="n">
        <x:v>30</x:v>
      </x:c>
      <x:c r="M226" t="str">
        <x:v>成交</x:v>
      </x:c>
      <x:c r="N226" s="20" t="n">
        <x:v>45409</x:v>
      </x:c>
      <x:c r="O226"/>
    </x:row>
    <x:row r="227" ht="20" customHeight="1">
      <x:c r="A227" t="str">
        <x:v>Q00226</x:v>
      </x:c>
      <x:c r="B227" s="20" t="n">
        <x:v>45397</x:v>
      </x:c>
      <x:c r="C227" t="str">
        <x:v>IAT-003</x:v>
      </x:c>
      <x:c r="D227" t="str">
        <x:v>S04</x:v>
      </x:c>
      <x:c r="E227" t="str">
        <x:v>AUTO-FL-A</x:v>
      </x:c>
      <x:c r="F227" t="str">
        <x:v>汽車精密零組件</x:v>
      </x:c>
      <x:c r="G227" t="n">
        <x:v>10000</x:v>
      </x:c>
      <x:c r="H227" t="n">
        <x:v>1320.63</x:v>
      </x:c>
      <x:c r="I227" t="n">
        <x:v>1005.6</x:v>
      </x:c>
      <x:c r="J227" s="22" t="n">
        <x:v>0.23854523977192707</x:v>
      </x:c>
      <x:c r="K227" s="22" t="n">
        <x:v>0.0441</x:v>
      </x:c>
      <x:c r="L227" t="n">
        <x:v>15</x:v>
      </x:c>
      <x:c r="M227" t="str">
        <x:v>未成交</x:v>
      </x:c>
      <x:c r="N227" s="20" t="n">
        <x:v>45407</x:v>
      </x:c>
      <x:c r="O227" t="str">
        <x:v>競品</x:v>
      </x:c>
    </x:row>
    <x:row r="228" ht="20" customHeight="1">
      <x:c r="A228" t="str">
        <x:v>Q00227</x:v>
      </x:c>
      <x:c r="B228" s="20" t="n">
        <x:v>45408</x:v>
      </x:c>
      <x:c r="C228" t="str">
        <x:v>AFT-007</x:v>
      </x:c>
      <x:c r="D228" t="str">
        <x:v>S04</x:v>
      </x:c>
      <x:c r="E228" t="str">
        <x:v>AUTO-BS-A</x:v>
      </x:c>
      <x:c r="F228" t="str">
        <x:v>汽車精密零組件</x:v>
      </x:c>
      <x:c r="G228" t="n">
        <x:v>10000</x:v>
      </x:c>
      <x:c r="H228" t="n">
        <x:v>787.95</x:v>
      </x:c>
      <x:c r="I228" t="n">
        <x:v>564.84</x:v>
      </x:c>
      <x:c r="J228" s="22" t="n">
        <x:v>0.28315248429468876</x:v>
      </x:c>
      <x:c r="K228" s="22" t="n">
        <x:v>0.0468</x:v>
      </x:c>
      <x:c r="L228" t="n">
        <x:v>13</x:v>
      </x:c>
      <x:c r="M228" t="str">
        <x:v>未成交</x:v>
      </x:c>
      <x:c r="N228" s="20" t="n">
        <x:v>45416</x:v>
      </x:c>
      <x:c r="O228" t="str">
        <x:v>價格</x:v>
      </x:c>
    </x:row>
    <x:row r="229" ht="20" customHeight="1">
      <x:c r="A229" t="str">
        <x:v>Q00228</x:v>
      </x:c>
      <x:c r="B229" s="20" t="n">
        <x:v>45405</x:v>
      </x:c>
      <x:c r="C229" t="str">
        <x:v>AFT-005</x:v>
      </x:c>
      <x:c r="D229" t="str">
        <x:v>S05</x:v>
      </x:c>
      <x:c r="E229" t="str">
        <x:v>AUTO-BS-A</x:v>
      </x:c>
      <x:c r="F229" t="str">
        <x:v>汽車精密零組件</x:v>
      </x:c>
      <x:c r="G229" t="n">
        <x:v>5000</x:v>
      </x:c>
      <x:c r="H229" t="n">
        <x:v>761.88</x:v>
      </x:c>
      <x:c r="I229" t="n">
        <x:v>570.3</x:v>
      </x:c>
      <x:c r="J229" s="22" t="n">
        <x:v>0.2514569223499764</x:v>
      </x:c>
      <x:c r="K229" s="22" t="n">
        <x:v>0.0656</x:v>
      </x:c>
      <x:c r="L229" t="n">
        <x:v>12</x:v>
      </x:c>
      <x:c r="M229" t="str">
        <x:v>成交</x:v>
      </x:c>
      <x:c r="N229" s="20" t="n">
        <x:v>45411</x:v>
      </x:c>
      <x:c r="O229"/>
    </x:row>
    <x:row r="230" ht="20" customHeight="1">
      <x:c r="A230" t="str">
        <x:v>Q00229</x:v>
      </x:c>
      <x:c r="B230" s="20" t="n">
        <x:v>45386</x:v>
      </x:c>
      <x:c r="C230" t="str">
        <x:v>AUT-008</x:v>
      </x:c>
      <x:c r="D230" t="str">
        <x:v>S01</x:v>
      </x:c>
      <x:c r="E230" t="str">
        <x:v>AUTO-BRK-A</x:v>
      </x:c>
      <x:c r="F230" t="str">
        <x:v>汽車精密零組件</x:v>
      </x:c>
      <x:c r="G230" t="n">
        <x:v>10000</x:v>
      </x:c>
      <x:c r="H230" t="n">
        <x:v>1613.66</x:v>
      </x:c>
      <x:c r="I230" t="n">
        <x:v>1431.88</x:v>
      </x:c>
      <x:c r="J230" s="22" t="n">
        <x:v>0.11265074427078813</x:v>
      </x:c>
      <x:c r="K230" s="22" t="n">
        <x:v>0.1225</x:v>
      </x:c>
      <x:c r="L230" t="n">
        <x:v>14</x:v>
      </x:c>
      <x:c r="M230" t="str">
        <x:v>成交</x:v>
      </x:c>
      <x:c r="N230" s="20" t="n">
        <x:v>45398</x:v>
      </x:c>
      <x:c r="O230"/>
    </x:row>
    <x:row r="231" ht="20" customHeight="1">
      <x:c r="A231" t="str">
        <x:v>Q00230</x:v>
      </x:c>
      <x:c r="B231" s="20" t="n">
        <x:v>45389</x:v>
      </x:c>
      <x:c r="C231" t="str">
        <x:v>IAT-010</x:v>
      </x:c>
      <x:c r="D231" t="str">
        <x:v>S04</x:v>
      </x:c>
      <x:c r="E231" t="str">
        <x:v>SEMI-WH-A</x:v>
      </x:c>
      <x:c r="F231" t="str">
        <x:v>半導體設備零組件</x:v>
      </x:c>
      <x:c r="G231" t="n">
        <x:v>60</x:v>
      </x:c>
      <x:c r="H231" t="n">
        <x:v>109342.85</x:v>
      </x:c>
      <x:c r="I231" t="n">
        <x:v>91140.91</x:v>
      </x:c>
      <x:c r="J231" s="22" t="n">
        <x:v>0.1664666688311124</x:v>
      </x:c>
      <x:c r="K231" s="22" t="n">
        <x:v>0.1058</x:v>
      </x:c>
      <x:c r="L231" t="n">
        <x:v>50</x:v>
      </x:c>
      <x:c r="M231" t="str">
        <x:v>未成交</x:v>
      </x:c>
      <x:c r="N231" s="20" t="n">
        <x:v>45400</x:v>
      </x:c>
      <x:c r="O231" t="str">
        <x:v>交期</x:v>
      </x:c>
    </x:row>
    <x:row r="232" ht="20" customHeight="1">
      <x:c r="A232" t="str">
        <x:v>Q00231</x:v>
      </x:c>
      <x:c r="B232" s="20" t="n">
        <x:v>45407</x:v>
      </x:c>
      <x:c r="C232" t="str">
        <x:v>AFT-001</x:v>
      </x:c>
      <x:c r="D232" t="str">
        <x:v>S05</x:v>
      </x:c>
      <x:c r="E232" t="str">
        <x:v>AUTO-KN-B</x:v>
      </x:c>
      <x:c r="F232" t="str">
        <x:v>汽車精密零組件</x:v>
      </x:c>
      <x:c r="G232" t="n">
        <x:v>10000</x:v>
      </x:c>
      <x:c r="H232" t="n">
        <x:v>3506.91</x:v>
      </x:c>
      <x:c r="I232" t="n">
        <x:v>2667.63</x:v>
      </x:c>
      <x:c r="J232" s="22" t="n">
        <x:v>0.2393217961111063</x:v>
      </x:c>
      <x:c r="K232" s="22" t="n">
        <x:v>0.1358</x:v>
      </x:c>
      <x:c r="L232" t="n">
        <x:v>22</x:v>
      </x:c>
      <x:c r="M232" t="str">
        <x:v>未成交</x:v>
      </x:c>
      <x:c r="N232" s="20" t="n">
        <x:v>45417</x:v>
      </x:c>
      <x:c r="O232" t="str">
        <x:v>競品</x:v>
      </x:c>
    </x:row>
    <x:row r="233" ht="20" customHeight="1">
      <x:c r="A233" t="str">
        <x:v>Q00232</x:v>
      </x:c>
      <x:c r="B233" s="20" t="n">
        <x:v>45383</x:v>
      </x:c>
      <x:c r="C233" t="str">
        <x:v>IAT-004</x:v>
      </x:c>
      <x:c r="D233" t="str">
        <x:v>S05</x:v>
      </x:c>
      <x:c r="E233" t="str">
        <x:v>PM-VAC-B</x:v>
      </x:c>
      <x:c r="F233" t="str">
        <x:v>精密金屬加工件</x:v>
      </x:c>
      <x:c r="G233" t="n">
        <x:v>300</x:v>
      </x:c>
      <x:c r="H233" t="n">
        <x:v>20209.25</x:v>
      </x:c>
      <x:c r="I233" t="n">
        <x:v>15141.24</x:v>
      </x:c>
      <x:c r="J233" s="22" t="n">
        <x:v>0.25077674827121244</x:v>
      </x:c>
      <x:c r="K233" s="22" t="n">
        <x:v>0.1353</x:v>
      </x:c>
      <x:c r="L233" t="n">
        <x:v>30</x:v>
      </x:c>
      <x:c r="M233" t="str">
        <x:v>未成交</x:v>
      </x:c>
      <x:c r="N233" s="20" t="n">
        <x:v>45387</x:v>
      </x:c>
      <x:c r="O233" t="str">
        <x:v>價格</x:v>
      </x:c>
    </x:row>
    <x:row r="234" ht="20" customHeight="1">
      <x:c r="A234" t="str">
        <x:v>Q00233</x:v>
      </x:c>
      <x:c r="B234" s="20" t="n">
        <x:v>45405</x:v>
      </x:c>
      <x:c r="C234" t="str">
        <x:v>SEM-009</x:v>
      </x:c>
      <x:c r="D234" t="str">
        <x:v>S02</x:v>
      </x:c>
      <x:c r="E234" t="str">
        <x:v>SEMI-WH-A</x:v>
      </x:c>
      <x:c r="F234" t="str">
        <x:v>半導體設備零組件</x:v>
      </x:c>
      <x:c r="G234" t="n">
        <x:v>160</x:v>
      </x:c>
      <x:c r="H234" t="n">
        <x:v>116848.5</x:v>
      </x:c>
      <x:c r="I234" t="n">
        <x:v>91255.24</x:v>
      </x:c>
      <x:c r="J234" s="22" t="n">
        <x:v>0.21902942699307218</x:v>
      </x:c>
      <x:c r="K234" s="22" t="n">
        <x:v>0.035</x:v>
      </x:c>
      <x:c r="L234" t="n">
        <x:v>53</x:v>
      </x:c>
      <x:c r="M234" t="str">
        <x:v>成交</x:v>
      </x:c>
      <x:c r="N234" s="20" t="n">
        <x:v>45409</x:v>
      </x:c>
      <x:c r="O234"/>
    </x:row>
    <x:row r="235" ht="20" customHeight="1">
      <x:c r="A235" t="str">
        <x:v>Q00234</x:v>
      </x:c>
      <x:c r="B235" s="20" t="n">
        <x:v>45426</x:v>
      </x:c>
      <x:c r="C235" t="str">
        <x:v>AUT-008</x:v>
      </x:c>
      <x:c r="D235" t="str">
        <x:v>S01</x:v>
      </x:c>
      <x:c r="E235" t="str">
        <x:v>AUTO-FL-A</x:v>
      </x:c>
      <x:c r="F235" t="str">
        <x:v>汽車精密零組件</x:v>
      </x:c>
      <x:c r="G235" t="n">
        <x:v>10000</x:v>
      </x:c>
      <x:c r="H235" t="n">
        <x:v>1331.31</x:v>
      </x:c>
      <x:c r="I235" t="n">
        <x:v>1002.76</x:v>
      </x:c>
      <x:c r="J235" s="22" t="n">
        <x:v>0.24678699927139433</x:v>
      </x:c>
      <x:c r="K235" s="22" t="n">
        <x:v>0.0262</x:v>
      </x:c>
      <x:c r="L235" t="n">
        <x:v>16</x:v>
      </x:c>
      <x:c r="M235" t="str">
        <x:v>未成交</x:v>
      </x:c>
      <x:c r="N235" s="20" t="n">
        <x:v>45433</x:v>
      </x:c>
      <x:c r="O235" t="str">
        <x:v>規格</x:v>
      </x:c>
    </x:row>
    <x:row r="236" ht="20" customHeight="1">
      <x:c r="A236" t="str">
        <x:v>Q00235</x:v>
      </x:c>
      <x:c r="B236" s="20" t="n">
        <x:v>45423</x:v>
      </x:c>
      <x:c r="C236" t="str">
        <x:v>AUT-013</x:v>
      </x:c>
      <x:c r="D236" t="str">
        <x:v>S01</x:v>
      </x:c>
      <x:c r="E236" t="str">
        <x:v>AUTO-BS-A</x:v>
      </x:c>
      <x:c r="F236" t="str">
        <x:v>汽車精密零組件</x:v>
      </x:c>
      <x:c r="G236" t="n">
        <x:v>5000</x:v>
      </x:c>
      <x:c r="H236" t="n">
        <x:v>774.47</x:v>
      </x:c>
      <x:c r="I236" t="n">
        <x:v>564.54</x:v>
      </x:c>
      <x:c r="J236" s="22" t="n">
        <x:v>0.2710627913282633</x:v>
      </x:c>
      <x:c r="K236" s="22" t="n">
        <x:v>0.0586</x:v>
      </x:c>
      <x:c r="L236" t="n">
        <x:v>11</x:v>
      </x:c>
      <x:c r="M236" t="str">
        <x:v>成交</x:v>
      </x:c>
      <x:c r="N236" s="20" t="n">
        <x:v>45429</x:v>
      </x:c>
      <x:c r="O236"/>
    </x:row>
    <x:row r="237" ht="20" customHeight="1">
      <x:c r="A237" t="str">
        <x:v>Q00236</x:v>
      </x:c>
      <x:c r="B237" s="20" t="n">
        <x:v>45441</x:v>
      </x:c>
      <x:c r="C237" t="str">
        <x:v>AUT-013</x:v>
      </x:c>
      <x:c r="D237" t="str">
        <x:v>S01</x:v>
      </x:c>
      <x:c r="E237" t="str">
        <x:v>AUTO-FL-B</x:v>
      </x:c>
      <x:c r="F237" t="str">
        <x:v>汽車精密零組件</x:v>
      </x:c>
      <x:c r="G237" t="n">
        <x:v>5000</x:v>
      </x:c>
      <x:c r="H237" t="n">
        <x:v>1467.19</x:v>
      </x:c>
      <x:c r="I237" t="n">
        <x:v>1144.11</x:v>
      </x:c>
      <x:c r="J237" s="22" t="n">
        <x:v>0.22020324566007138</x:v>
      </x:c>
      <x:c r="K237" s="22" t="n">
        <x:v>0.098</x:v>
      </x:c>
      <x:c r="L237" t="n">
        <x:v>16</x:v>
      </x:c>
      <x:c r="M237" t="str">
        <x:v>成交</x:v>
      </x:c>
      <x:c r="N237" s="20" t="n">
        <x:v>45446</x:v>
      </x:c>
      <x:c r="O237"/>
    </x:row>
    <x:row r="238" ht="20" customHeight="1">
      <x:c r="A238" t="str">
        <x:v>Q00237</x:v>
      </x:c>
      <x:c r="B238" s="20" t="n">
        <x:v>45413</x:v>
      </x:c>
      <x:c r="C238" t="str">
        <x:v>SEM-004</x:v>
      </x:c>
      <x:c r="D238" t="str">
        <x:v>S02</x:v>
      </x:c>
      <x:c r="E238" t="str">
        <x:v>MECH-CON-A</x:v>
      </x:c>
      <x:c r="F238" t="str">
        <x:v>機電／自動化模組</x:v>
      </x:c>
      <x:c r="G238" t="n">
        <x:v>10</x:v>
      </x:c>
      <x:c r="H238" t="n">
        <x:v>113361.65</x:v>
      </x:c>
      <x:c r="I238" t="n">
        <x:v>82396.03</x:v>
      </x:c>
      <x:c r="J238" s="22" t="n">
        <x:v>0.27315780954141017</x:v>
      </x:c>
      <x:c r="K238" s="22" t="n">
        <x:v>0.0431</x:v>
      </x:c>
      <x:c r="L238" t="n">
        <x:v>38</x:v>
      </x:c>
      <x:c r="M238" t="str">
        <x:v>成交</x:v>
      </x:c>
      <x:c r="N238" s="20" t="n">
        <x:v>45424</x:v>
      </x:c>
      <x:c r="O238"/>
    </x:row>
    <x:row r="239" ht="20" customHeight="1">
      <x:c r="A239" t="str">
        <x:v>Q00238</x:v>
      </x:c>
      <x:c r="B239" s="20" t="n">
        <x:v>45415</x:v>
      </x:c>
      <x:c r="C239" t="str">
        <x:v>IAT-002</x:v>
      </x:c>
      <x:c r="D239" t="str">
        <x:v>S01</x:v>
      </x:c>
      <x:c r="E239" t="str">
        <x:v>SEMI-CHB-A</x:v>
      </x:c>
      <x:c r="F239" t="str">
        <x:v>半導體設備零組件</x:v>
      </x:c>
      <x:c r="G239" t="n">
        <x:v>160</x:v>
      </x:c>
      <x:c r="H239" t="n">
        <x:v>93772.84</x:v>
      </x:c>
      <x:c r="I239" t="n">
        <x:v>69568.25</x:v>
      </x:c>
      <x:c r="J239" s="22" t="n">
        <x:v>0.2581194085622233</x:v>
      </x:c>
      <x:c r="K239" s="22" t="n">
        <x:v>0.0308</x:v>
      </x:c>
      <x:c r="L239" t="n">
        <x:v>48</x:v>
      </x:c>
      <x:c r="M239" t="str">
        <x:v>成交</x:v>
      </x:c>
      <x:c r="N239" s="20" t="n">
        <x:v>45427</x:v>
      </x:c>
      <x:c r="O239"/>
    </x:row>
    <x:row r="240" ht="20" customHeight="1">
      <x:c r="A240" t="str">
        <x:v>Q00239</x:v>
      </x:c>
      <x:c r="B240" s="20" t="n">
        <x:v>45418</x:v>
      </x:c>
      <x:c r="C240" t="str">
        <x:v>AUT-010</x:v>
      </x:c>
      <x:c r="D240" t="str">
        <x:v>S05</x:v>
      </x:c>
      <x:c r="E240" t="str">
        <x:v>AUTO-BS-A</x:v>
      </x:c>
      <x:c r="F240" t="str">
        <x:v>汽車精密零組件</x:v>
      </x:c>
      <x:c r="G240" t="n">
        <x:v>5000</x:v>
      </x:c>
      <x:c r="H240" t="n">
        <x:v>735.13</x:v>
      </x:c>
      <x:c r="I240" t="n">
        <x:v>563.38</x:v>
      </x:c>
      <x:c r="J240" s="22" t="n">
        <x:v>0.23363214669514235</x:v>
      </x:c>
      <x:c r="K240" s="22" t="n">
        <x:v>0.1084</x:v>
      </x:c>
      <x:c r="L240" t="n">
        <x:v>12</x:v>
      </x:c>
      <x:c r="M240" t="str">
        <x:v>未成交</x:v>
      </x:c>
      <x:c r="N240" s="20" t="n">
        <x:v>45422</x:v>
      </x:c>
      <x:c r="O240" t="str">
        <x:v>專案取消</x:v>
      </x:c>
    </x:row>
    <x:row r="241" ht="20" customHeight="1">
      <x:c r="A241" t="str">
        <x:v>Q00240</x:v>
      </x:c>
      <x:c r="B241" s="20" t="n">
        <x:v>45438</x:v>
      </x:c>
      <x:c r="C241" t="str">
        <x:v>IAT-001</x:v>
      </x:c>
      <x:c r="D241" t="str">
        <x:v>S05</x:v>
      </x:c>
      <x:c r="E241" t="str">
        <x:v>PM-SUS-A</x:v>
      </x:c>
      <x:c r="F241" t="str">
        <x:v>精密金屬加工件</x:v>
      </x:c>
      <x:c r="G241" t="n">
        <x:v>800</x:v>
      </x:c>
      <x:c r="H241" t="n">
        <x:v>10561.53</x:v>
      </x:c>
      <x:c r="I241" t="n">
        <x:v>7794.88</x:v>
      </x:c>
      <x:c r="J241" s="22" t="n">
        <x:v>0.2619554174442529</x:v>
      </x:c>
      <x:c r="K241" s="22" t="n">
        <x:v>0.0676</x:v>
      </x:c>
      <x:c r="L241" t="n">
        <x:v>19</x:v>
      </x:c>
      <x:c r="M241" t="str">
        <x:v>成交</x:v>
      </x:c>
      <x:c r="N241" s="20" t="n">
        <x:v>45443</x:v>
      </x:c>
      <x:c r="O241"/>
    </x:row>
    <x:row r="242" ht="20" customHeight="1">
      <x:c r="A242" t="str">
        <x:v>Q00241</x:v>
      </x:c>
      <x:c r="B242" s="20" t="n">
        <x:v>45420</x:v>
      </x:c>
      <x:c r="C242" t="str">
        <x:v>EMS-006</x:v>
      </x:c>
      <x:c r="D242" t="str">
        <x:v>S03</x:v>
      </x:c>
      <x:c r="E242" t="str">
        <x:v>SEMI-WH-B</x:v>
      </x:c>
      <x:c r="F242" t="str">
        <x:v>半導體設備零組件</x:v>
      </x:c>
      <x:c r="G242" t="n">
        <x:v>40</x:v>
      </x:c>
      <x:c r="H242" t="n">
        <x:v>164764.36</x:v>
      </x:c>
      <x:c r="I242" t="n">
        <x:v>130539.66</x:v>
      </x:c>
      <x:c r="J242" s="22" t="n">
        <x:v>0.20771907225567462</x:v>
      </x:c>
      <x:c r="K242" s="22" t="n">
        <x:v>0.0774</x:v>
      </x:c>
      <x:c r="L242" t="n">
        <x:v>56</x:v>
      </x:c>
      <x:c r="M242" t="str">
        <x:v>成交</x:v>
      </x:c>
      <x:c r="N242" s="20" t="n">
        <x:v>45428</x:v>
      </x:c>
      <x:c r="O242"/>
    </x:row>
    <x:row r="243" ht="20" customHeight="1">
      <x:c r="A243" t="str">
        <x:v>Q00242</x:v>
      </x:c>
      <x:c r="B243" s="20" t="n">
        <x:v>45439</x:v>
      </x:c>
      <x:c r="C243" t="str">
        <x:v>IAT-006</x:v>
      </x:c>
      <x:c r="D243" t="str">
        <x:v>S01</x:v>
      </x:c>
      <x:c r="E243" t="str">
        <x:v>PM-BRG-A</x:v>
      </x:c>
      <x:c r="F243" t="str">
        <x:v>精密金屬加工件</x:v>
      </x:c>
      <x:c r="G243" t="n">
        <x:v>500</x:v>
      </x:c>
      <x:c r="H243" t="n">
        <x:v>6883.32</x:v>
      </x:c>
      <x:c r="I243" t="n">
        <x:v>4407.02</x:v>
      </x:c>
      <x:c r="J243" s="22" t="n">
        <x:v>0.3597537234938953</x:v>
      </x:c>
      <x:c r="K243" s="22" t="n">
        <x:v>0.0537</x:v>
      </x:c>
      <x:c r="L243" t="n">
        <x:v>15</x:v>
      </x:c>
      <x:c r="M243" t="str">
        <x:v>成交</x:v>
      </x:c>
      <x:c r="N243" s="20" t="n">
        <x:v>45450</x:v>
      </x:c>
      <x:c r="O243"/>
    </x:row>
    <x:row r="244" ht="20" customHeight="1">
      <x:c r="A244" t="str">
        <x:v>Q00243</x:v>
      </x:c>
      <x:c r="B244" s="20" t="n">
        <x:v>45418</x:v>
      </x:c>
      <x:c r="C244" t="str">
        <x:v>IAT-010</x:v>
      </x:c>
      <x:c r="D244" t="str">
        <x:v>S04</x:v>
      </x:c>
      <x:c r="E244" t="str">
        <x:v>AUTO-BRK-B</x:v>
      </x:c>
      <x:c r="F244" t="str">
        <x:v>汽車精密零組件</x:v>
      </x:c>
      <x:c r="G244" t="n">
        <x:v>3000</x:v>
      </x:c>
      <x:c r="H244" t="n">
        <x:v>2008.88</x:v>
      </x:c>
      <x:c r="I244" t="n">
        <x:v>1668.36</x:v>
      </x:c>
      <x:c r="J244" s="22" t="n">
        <x:v>0.16950738720082842</x:v>
      </x:c>
      <x:c r="K244" s="22" t="n">
        <x:v>0.1087</x:v>
      </x:c>
      <x:c r="L244" t="n">
        <x:v>19</x:v>
      </x:c>
      <x:c r="M244" t="str">
        <x:v>未成交</x:v>
      </x:c>
      <x:c r="N244" s="20" t="n">
        <x:v>45423</x:v>
      </x:c>
      <x:c r="O244" t="str">
        <x:v>價格</x:v>
      </x:c>
    </x:row>
    <x:row r="245" ht="20" customHeight="1">
      <x:c r="A245" t="str">
        <x:v>Q00244</x:v>
      </x:c>
      <x:c r="B245" s="20" t="n">
        <x:v>45416</x:v>
      </x:c>
      <x:c r="C245" t="str">
        <x:v>AFT-001</x:v>
      </x:c>
      <x:c r="D245" t="str">
        <x:v>S05</x:v>
      </x:c>
      <x:c r="E245" t="str">
        <x:v>AUTO-KN-A</x:v>
      </x:c>
      <x:c r="F245" t="str">
        <x:v>汽車精密零組件</x:v>
      </x:c>
      <x:c r="G245" t="n">
        <x:v>10000</x:v>
      </x:c>
      <x:c r="H245" t="n">
        <x:v>3198.64</x:v>
      </x:c>
      <x:c r="I245" t="n">
        <x:v>2281.23</x:v>
      </x:c>
      <x:c r="J245" s="22" t="n">
        <x:v>0.28681252032113647</x:v>
      </x:c>
      <x:c r="K245" s="22" t="n">
        <x:v>0.056</x:v>
      </x:c>
      <x:c r="L245" t="n">
        <x:v>21</x:v>
      </x:c>
      <x:c r="M245" t="str">
        <x:v>成交</x:v>
      </x:c>
      <x:c r="N245" s="20" t="n">
        <x:v>45422</x:v>
      </x:c>
      <x:c r="O245"/>
    </x:row>
    <x:row r="246" ht="20" customHeight="1">
      <x:c r="A246" t="str">
        <x:v>Q00245</x:v>
      </x:c>
      <x:c r="B246" s="20" t="n">
        <x:v>45426</x:v>
      </x:c>
      <x:c r="C246" t="str">
        <x:v>AUT-003</x:v>
      </x:c>
      <x:c r="D246" t="str">
        <x:v>S03</x:v>
      </x:c>
      <x:c r="E246" t="str">
        <x:v>AUTO-BS-A</x:v>
      </x:c>
      <x:c r="F246" t="str">
        <x:v>汽車精密零組件</x:v>
      </x:c>
      <x:c r="G246" t="n">
        <x:v>10000</x:v>
      </x:c>
      <x:c r="H246" t="n">
        <x:v>790.51</x:v>
      </x:c>
      <x:c r="I246" t="n">
        <x:v>540.28</x:v>
      </x:c>
      <x:c r="J246" s="22" t="n">
        <x:v>0.3165424852310534</x:v>
      </x:c>
      <x:c r="K246" s="22" t="n">
        <x:v>0.0357</x:v>
      </x:c>
      <x:c r="L246" t="n">
        <x:v>10</x:v>
      </x:c>
      <x:c r="M246" t="str">
        <x:v>成交</x:v>
      </x:c>
      <x:c r="N246" s="20" t="n">
        <x:v>45431</x:v>
      </x:c>
      <x:c r="O246"/>
    </x:row>
    <x:row r="247" ht="20" customHeight="1">
      <x:c r="A247" t="str">
        <x:v>Q00246</x:v>
      </x:c>
      <x:c r="B247" s="20" t="n">
        <x:v>45418</x:v>
      </x:c>
      <x:c r="C247" t="str">
        <x:v>EMS-007</x:v>
      </x:c>
      <x:c r="D247" t="str">
        <x:v>S04</x:v>
      </x:c>
      <x:c r="E247" t="str">
        <x:v>AUTO-LG-B</x:v>
      </x:c>
      <x:c r="F247" t="str">
        <x:v>汽車精密零組件</x:v>
      </x:c>
      <x:c r="G247" t="n">
        <x:v>5000</x:v>
      </x:c>
      <x:c r="H247" t="n">
        <x:v>1230.73</x:v>
      </x:c>
      <x:c r="I247" t="n">
        <x:v>934.32</x:v>
      </x:c>
      <x:c r="J247" s="22" t="n">
        <x:v>0.24084080180055736</x:v>
      </x:c>
      <x:c r="K247" s="22" t="n">
        <x:v>0.0455</x:v>
      </x:c>
      <x:c r="L247" t="n">
        <x:v>19</x:v>
      </x:c>
      <x:c r="M247" t="str">
        <x:v>成交</x:v>
      </x:c>
      <x:c r="N247" s="20" t="n">
        <x:v>45425</x:v>
      </x:c>
      <x:c r="O247"/>
    </x:row>
    <x:row r="248" ht="20" customHeight="1">
      <x:c r="A248" t="str">
        <x:v>Q00247</x:v>
      </x:c>
      <x:c r="B248" s="20" t="n">
        <x:v>45427</x:v>
      </x:c>
      <x:c r="C248" t="str">
        <x:v>AUT-004</x:v>
      </x:c>
      <x:c r="D248" t="str">
        <x:v>S03</x:v>
      </x:c>
      <x:c r="E248" t="str">
        <x:v>AUTO-BS-B</x:v>
      </x:c>
      <x:c r="F248" t="str">
        <x:v>汽車精密零組件</x:v>
      </x:c>
      <x:c r="G248" t="n">
        <x:v>5000</x:v>
      </x:c>
      <x:c r="H248" t="n">
        <x:v>844.64</x:v>
      </x:c>
      <x:c r="I248" t="n">
        <x:v>648.28</x:v>
      </x:c>
      <x:c r="J248" s="22" t="n">
        <x:v>0.23247774199659027</x:v>
      </x:c>
      <x:c r="K248" s="22" t="n">
        <x:v>0.1211</x:v>
      </x:c>
      <x:c r="L248" t="n">
        <x:v>14</x:v>
      </x:c>
      <x:c r="M248" t="str">
        <x:v>成交</x:v>
      </x:c>
      <x:c r="N248" s="20" t="n">
        <x:v>45432</x:v>
      </x:c>
      <x:c r="O248"/>
    </x:row>
    <x:row r="249" ht="20" customHeight="1">
      <x:c r="A249" t="str">
        <x:v>Q00248</x:v>
      </x:c>
      <x:c r="B249" s="20" t="n">
        <x:v>45432</x:v>
      </x:c>
      <x:c r="C249" t="str">
        <x:v>EMS-005</x:v>
      </x:c>
      <x:c r="D249" t="str">
        <x:v>S01</x:v>
      </x:c>
      <x:c r="E249" t="str">
        <x:v>PM-SUS-B</x:v>
      </x:c>
      <x:c r="F249" t="str">
        <x:v>精密金屬加工件</x:v>
      </x:c>
      <x:c r="G249" t="n">
        <x:v>1600</x:v>
      </x:c>
      <x:c r="H249" t="n">
        <x:v>14215.2</x:v>
      </x:c>
      <x:c r="I249" t="n">
        <x:v>11284.21</x:v>
      </x:c>
      <x:c r="J249" s="22" t="n">
        <x:v>0.20618703922561776</x:v>
      </x:c>
      <x:c r="K249" s="22" t="n">
        <x:v>0.0937</x:v>
      </x:c>
      <x:c r="L249" t="n">
        <x:v>31</x:v>
      </x:c>
      <x:c r="M249" t="str">
        <x:v>成交</x:v>
      </x:c>
      <x:c r="N249" s="20" t="n">
        <x:v>45440</x:v>
      </x:c>
      <x:c r="O249"/>
    </x:row>
    <x:row r="250" ht="20" customHeight="1">
      <x:c r="A250" t="str">
        <x:v>Q00249</x:v>
      </x:c>
      <x:c r="B250" s="20" t="n">
        <x:v>45425</x:v>
      </x:c>
      <x:c r="C250" t="str">
        <x:v>AUT-010</x:v>
      </x:c>
      <x:c r="D250" t="str">
        <x:v>S05</x:v>
      </x:c>
      <x:c r="E250" t="str">
        <x:v>PM-BRG-B</x:v>
      </x:c>
      <x:c r="F250" t="str">
        <x:v>精密金屬加工件</x:v>
      </x:c>
      <x:c r="G250" t="n">
        <x:v>1600</x:v>
      </x:c>
      <x:c r="H250" t="n">
        <x:v>7888.99</x:v>
      </x:c>
      <x:c r="I250" t="n">
        <x:v>5528.3</x:v>
      </x:c>
      <x:c r="J250" s="22" t="n">
        <x:v>0.2992385590550881</x:v>
      </x:c>
      <x:c r="K250" s="22" t="n">
        <x:v>0.0653</x:v>
      </x:c>
      <x:c r="L250" t="n">
        <x:v>23</x:v>
      </x:c>
      <x:c r="M250" t="str">
        <x:v>未成交</x:v>
      </x:c>
      <x:c r="N250" s="20" t="n">
        <x:v>45429</x:v>
      </x:c>
      <x:c r="O250" t="str">
        <x:v>價格</x:v>
      </x:c>
    </x:row>
    <x:row r="251" ht="20" customHeight="1">
      <x:c r="A251" t="str">
        <x:v>Q00250</x:v>
      </x:c>
      <x:c r="B251" s="20" t="n">
        <x:v>45431</x:v>
      </x:c>
      <x:c r="C251" t="str">
        <x:v>IAT-005</x:v>
      </x:c>
      <x:c r="D251" t="str">
        <x:v>S02</x:v>
      </x:c>
      <x:c r="E251" t="str">
        <x:v>AUTO-MH-B</x:v>
      </x:c>
      <x:c r="F251" t="str">
        <x:v>汽車精密零組件</x:v>
      </x:c>
      <x:c r="G251" t="n">
        <x:v>10000</x:v>
      </x:c>
      <x:c r="H251" t="n">
        <x:v>2897.58</x:v>
      </x:c>
      <x:c r="I251" t="n">
        <x:v>2329.35</x:v>
      </x:c>
      <x:c r="J251" s="22" t="n">
        <x:v>0.19610502557306442</x:v>
      </x:c>
      <x:c r="K251" s="22" t="n">
        <x:v>0.0834</x:v>
      </x:c>
      <x:c r="L251" t="n">
        <x:v>22</x:v>
      </x:c>
      <x:c r="M251" t="str">
        <x:v>成交</x:v>
      </x:c>
      <x:c r="N251" s="20" t="n">
        <x:v>45437</x:v>
      </x:c>
      <x:c r="O251"/>
    </x:row>
    <x:row r="252" ht="20" customHeight="1">
      <x:c r="A252" t="str">
        <x:v>Q00251</x:v>
      </x:c>
      <x:c r="B252" s="20" t="n">
        <x:v>45429</x:v>
      </x:c>
      <x:c r="C252" t="str">
        <x:v>SEM-007</x:v>
      </x:c>
      <x:c r="D252" t="str">
        <x:v>S03</x:v>
      </x:c>
      <x:c r="E252" t="str">
        <x:v>PM-VAC-A</x:v>
      </x:c>
      <x:c r="F252" t="str">
        <x:v>精密金屬加工件</x:v>
      </x:c>
      <x:c r="G252" t="n">
        <x:v>500</x:v>
      </x:c>
      <x:c r="H252" t="n">
        <x:v>15816.2</x:v>
      </x:c>
      <x:c r="I252" t="n">
        <x:v>10568.42</x:v>
      </x:c>
      <x:c r="J252" s="22" t="n">
        <x:v>0.3317977769628609</x:v>
      </x:c>
      <x:c r="K252" s="22" t="n">
        <x:v>0.0656</x:v>
      </x:c>
      <x:c r="L252" t="n">
        <x:v>23</x:v>
      </x:c>
      <x:c r="M252" t="str">
        <x:v>成交</x:v>
      </x:c>
      <x:c r="N252" s="20" t="n">
        <x:v>45437</x:v>
      </x:c>
      <x:c r="O252"/>
    </x:row>
    <x:row r="253" ht="20" customHeight="1">
      <x:c r="A253" t="str">
        <x:v>Q00252</x:v>
      </x:c>
      <x:c r="B253" s="20" t="n">
        <x:v>45436</x:v>
      </x:c>
      <x:c r="C253" t="str">
        <x:v>AUT-007</x:v>
      </x:c>
      <x:c r="D253" t="str">
        <x:v>S04</x:v>
      </x:c>
      <x:c r="E253" t="str">
        <x:v>PM-ALB-B</x:v>
      </x:c>
      <x:c r="F253" t="str">
        <x:v>精密金屬加工件</x:v>
      </x:c>
      <x:c r="G253" t="n">
        <x:v>1200</x:v>
      </x:c>
      <x:c r="H253" t="n">
        <x:v>16110.64</x:v>
      </x:c>
      <x:c r="I253" t="n">
        <x:v>12156.7</x:v>
      </x:c>
      <x:c r="J253" s="22" t="n">
        <x:v>0.24542414205767113</x:v>
      </x:c>
      <x:c r="K253" s="22" t="n">
        <x:v>0.056</x:v>
      </x:c>
      <x:c r="L253" t="n">
        <x:v>29</x:v>
      </x:c>
      <x:c r="M253" t="str">
        <x:v>成交</x:v>
      </x:c>
      <x:c r="N253" s="20" t="n">
        <x:v>45447</x:v>
      </x:c>
      <x:c r="O253"/>
    </x:row>
    <x:row r="254" ht="20" customHeight="1">
      <x:c r="A254" t="str">
        <x:v>Q00253</x:v>
      </x:c>
      <x:c r="B254" s="20" t="n">
        <x:v>45427</x:v>
      </x:c>
      <x:c r="C254" t="str">
        <x:v>IAT-007</x:v>
      </x:c>
      <x:c r="D254" t="str">
        <x:v>S04</x:v>
      </x:c>
      <x:c r="E254" t="str">
        <x:v>AUTO-BS-B</x:v>
      </x:c>
      <x:c r="F254" t="str">
        <x:v>汽車精密零組件</x:v>
      </x:c>
      <x:c r="G254" t="n">
        <x:v>7000</x:v>
      </x:c>
      <x:c r="H254" t="n">
        <x:v>886.4</x:v>
      </x:c>
      <x:c r="I254" t="n">
        <x:v>654.53</x:v>
      </x:c>
      <x:c r="J254" s="22" t="n">
        <x:v>0.26158619133574007</x:v>
      </x:c>
      <x:c r="K254" s="22" t="n">
        <x:v>0.0626</x:v>
      </x:c>
      <x:c r="L254" t="n">
        <x:v>14</x:v>
      </x:c>
      <x:c r="M254" t="str">
        <x:v>成交</x:v>
      </x:c>
      <x:c r="N254" s="20" t="n">
        <x:v>45433</x:v>
      </x:c>
      <x:c r="O254"/>
    </x:row>
    <x:row r="255" ht="20" customHeight="1">
      <x:c r="A255" t="str">
        <x:v>Q00254</x:v>
      </x:c>
      <x:c r="B255" s="20" t="n">
        <x:v>45431</x:v>
      </x:c>
      <x:c r="C255" t="str">
        <x:v>IAT-002</x:v>
      </x:c>
      <x:c r="D255" t="str">
        <x:v>S01</x:v>
      </x:c>
      <x:c r="E255" t="str">
        <x:v>AUTO-MH-A</x:v>
      </x:c>
      <x:c r="F255" t="str">
        <x:v>汽車精密零組件</x:v>
      </x:c>
      <x:c r="G255" t="n">
        <x:v>13000</x:v>
      </x:c>
      <x:c r="H255" t="n">
        <x:v>2494.1</x:v>
      </x:c>
      <x:c r="I255" t="n">
        <x:v>1997.89</x:v>
      </x:c>
      <x:c r="J255" s="22" t="n">
        <x:v>0.19895353033158247</x:v>
      </x:c>
      <x:c r="K255" s="22" t="n">
        <x:v>0.0785</x:v>
      </x:c>
      <x:c r="L255" t="n">
        <x:v>22</x:v>
      </x:c>
      <x:c r="M255" t="str">
        <x:v>成交</x:v>
      </x:c>
      <x:c r="N255" s="20" t="n">
        <x:v>45435</x:v>
      </x:c>
      <x:c r="O255"/>
    </x:row>
    <x:row r="256" ht="20" customHeight="1">
      <x:c r="A256" t="str">
        <x:v>Q00255</x:v>
      </x:c>
      <x:c r="B256" s="20" t="n">
        <x:v>45441</x:v>
      </x:c>
      <x:c r="C256" t="str">
        <x:v>SEM-004</x:v>
      </x:c>
      <x:c r="D256" t="str">
        <x:v>S02</x:v>
      </x:c>
      <x:c r="E256" t="str">
        <x:v>MECH-CON-B</x:v>
      </x:c>
      <x:c r="F256" t="str">
        <x:v>機電／自動化模組</x:v>
      </x:c>
      <x:c r="G256" t="n">
        <x:v>10</x:v>
      </x:c>
      <x:c r="H256" t="n">
        <x:v>153322.12</x:v>
      </x:c>
      <x:c r="I256" t="n">
        <x:v>118582.94</x:v>
      </x:c>
      <x:c r="J256" s="22" t="n">
        <x:v>0.22657643919872744</x:v>
      </x:c>
      <x:c r="K256" s="22" t="n">
        <x:v>0.0663</x:v>
      </x:c>
      <x:c r="L256" t="n">
        <x:v>47</x:v>
      </x:c>
      <x:c r="M256" t="str">
        <x:v>成交</x:v>
      </x:c>
      <x:c r="N256" s="20" t="n">
        <x:v>45453</x:v>
      </x:c>
      <x:c r="O256"/>
    </x:row>
    <x:row r="257" ht="20" customHeight="1">
      <x:c r="A257" t="str">
        <x:v>Q00256</x:v>
      </x:c>
      <x:c r="B257" s="20" t="n">
        <x:v>45419</x:v>
      </x:c>
      <x:c r="C257" t="str">
        <x:v>AFT-001</x:v>
      </x:c>
      <x:c r="D257" t="str">
        <x:v>S05</x:v>
      </x:c>
      <x:c r="E257" t="str">
        <x:v>AUTO-MH-A</x:v>
      </x:c>
      <x:c r="F257" t="str">
        <x:v>汽車精密零組件</x:v>
      </x:c>
      <x:c r="G257" t="n">
        <x:v>10000</x:v>
      </x:c>
      <x:c r="H257" t="n">
        <x:v>2628.77</x:v>
      </x:c>
      <x:c r="I257" t="n">
        <x:v>1958.64</x:v>
      </x:c>
      <x:c r="J257" s="22" t="n">
        <x:v>0.254921503212529</x:v>
      </x:c>
      <x:c r="K257" s="22" t="n">
        <x:v>0.0113</x:v>
      </x:c>
      <x:c r="L257" t="n">
        <x:v>21</x:v>
      </x:c>
      <x:c r="M257" t="str">
        <x:v>成交</x:v>
      </x:c>
      <x:c r="N257" s="20" t="n">
        <x:v>45429</x:v>
      </x:c>
      <x:c r="O257"/>
    </x:row>
    <x:row r="258" ht="20" customHeight="1">
      <x:c r="A258" t="str">
        <x:v>Q00257</x:v>
      </x:c>
      <x:c r="B258" s="20" t="n">
        <x:v>45421</x:v>
      </x:c>
      <x:c r="C258" t="str">
        <x:v>AFT-008</x:v>
      </x:c>
      <x:c r="D258" t="str">
        <x:v>S04</x:v>
      </x:c>
      <x:c r="E258" t="str">
        <x:v>AUTO-FL-B</x:v>
      </x:c>
      <x:c r="F258" t="str">
        <x:v>汽車精密零組件</x:v>
      </x:c>
      <x:c r="G258" t="n">
        <x:v>13000</x:v>
      </x:c>
      <x:c r="H258" t="n">
        <x:v>1454.95</x:v>
      </x:c>
      <x:c r="I258" t="n">
        <x:v>1156.49</x:v>
      </x:c>
      <x:c r="J258" s="22" t="n">
        <x:v>0.2051341970514451</x:v>
      </x:c>
      <x:c r="K258" s="22" t="n">
        <x:v>0.0997</x:v>
      </x:c>
      <x:c r="L258" t="n">
        <x:v>14</x:v>
      </x:c>
      <x:c r="M258" t="str">
        <x:v>未成交</x:v>
      </x:c>
      <x:c r="N258" s="20" t="n">
        <x:v>45430</x:v>
      </x:c>
      <x:c r="O258" t="str">
        <x:v>專案取消</x:v>
      </x:c>
    </x:row>
    <x:row r="259" ht="20" customHeight="1">
      <x:c r="A259" t="str">
        <x:v>Q00258</x:v>
      </x:c>
      <x:c r="B259" s="20" t="n">
        <x:v>45427</x:v>
      </x:c>
      <x:c r="C259" t="str">
        <x:v>AUT-013</x:v>
      </x:c>
      <x:c r="D259" t="str">
        <x:v>S01</x:v>
      </x:c>
      <x:c r="E259" t="str">
        <x:v>AUTO-BRK-A</x:v>
      </x:c>
      <x:c r="F259" t="str">
        <x:v>汽車精密零組件</x:v>
      </x:c>
      <x:c r="G259" t="n">
        <x:v>5000</x:v>
      </x:c>
      <x:c r="H259" t="n">
        <x:v>1847.99</x:v>
      </x:c>
      <x:c r="I259" t="n">
        <x:v>1393.91</x:v>
      </x:c>
      <x:c r="J259" s="22" t="n">
        <x:v>0.24571561534423883</x:v>
      </x:c>
      <x:c r="K259" s="22" t="n">
        <x:v>0.0146</x:v>
      </x:c>
      <x:c r="L259" t="n">
        <x:v>13</x:v>
      </x:c>
      <x:c r="M259" t="str">
        <x:v>成交</x:v>
      </x:c>
      <x:c r="N259" s="20" t="n">
        <x:v>45431</x:v>
      </x:c>
      <x:c r="O259"/>
    </x:row>
    <x:row r="260" ht="20" customHeight="1">
      <x:c r="A260" t="str">
        <x:v>Q00259</x:v>
      </x:c>
      <x:c r="B260" s="20" t="n">
        <x:v>45432</x:v>
      </x:c>
      <x:c r="C260" t="str">
        <x:v>IAT-005</x:v>
      </x:c>
      <x:c r="D260" t="str">
        <x:v>S02</x:v>
      </x:c>
      <x:c r="E260" t="str">
        <x:v>PM-ALB-A</x:v>
      </x:c>
      <x:c r="F260" t="str">
        <x:v>精密金屬加工件</x:v>
      </x:c>
      <x:c r="G260" t="n">
        <x:v>1600</x:v>
      </x:c>
      <x:c r="H260" t="n">
        <x:v>11088.41</x:v>
      </x:c>
      <x:c r="I260" t="n">
        <x:v>8007.07</x:v>
      </x:c>
      <x:c r="J260" s="22" t="n">
        <x:v>0.2778883536954352</x:v>
      </x:c>
      <x:c r="K260" s="22" t="n">
        <x:v>0.0508</x:v>
      </x:c>
      <x:c r="L260" t="n">
        <x:v>19</x:v>
      </x:c>
      <x:c r="M260" t="str">
        <x:v>成交</x:v>
      </x:c>
      <x:c r="N260" s="20" t="n">
        <x:v>45439</x:v>
      </x:c>
      <x:c r="O260"/>
    </x:row>
    <x:row r="261" ht="20" customHeight="1">
      <x:c r="A261" t="str">
        <x:v>Q00260</x:v>
      </x:c>
      <x:c r="B261" s="20" t="n">
        <x:v>45434</x:v>
      </x:c>
      <x:c r="C261" t="str">
        <x:v>SEM-009</x:v>
      </x:c>
      <x:c r="D261" t="str">
        <x:v>S02</x:v>
      </x:c>
      <x:c r="E261" t="str">
        <x:v>PM-BRG-B</x:v>
      </x:c>
      <x:c r="F261" t="str">
        <x:v>精密金屬加工件</x:v>
      </x:c>
      <x:c r="G261" t="n">
        <x:v>500</x:v>
      </x:c>
      <x:c r="H261" t="n">
        <x:v>7755.6</x:v>
      </x:c>
      <x:c r="I261" t="n">
        <x:v>5548.49</x:v>
      </x:c>
      <x:c r="J261" s="22" t="n">
        <x:v>0.2845827531074321</x:v>
      </x:c>
      <x:c r="K261" s="22" t="n">
        <x:v>0.0631</x:v>
      </x:c>
      <x:c r="L261" t="n">
        <x:v>25</x:v>
      </x:c>
      <x:c r="M261" t="str">
        <x:v>成交</x:v>
      </x:c>
      <x:c r="N261" s="20" t="n">
        <x:v>45442</x:v>
      </x:c>
      <x:c r="O261"/>
    </x:row>
    <x:row r="262" ht="20" customHeight="1">
      <x:c r="A262" t="str">
        <x:v>Q00261</x:v>
      </x:c>
      <x:c r="B262" s="20" t="n">
        <x:v>45466</x:v>
      </x:c>
      <x:c r="C262" t="str">
        <x:v>SEM-001</x:v>
      </x:c>
      <x:c r="D262" t="str">
        <x:v>S01</x:v>
      </x:c>
      <x:c r="E262" t="str">
        <x:v>SEMI-WH-B</x:v>
      </x:c>
      <x:c r="F262" t="str">
        <x:v>半導體設備零組件</x:v>
      </x:c>
      <x:c r="G262" t="n">
        <x:v>120</x:v>
      </x:c>
      <x:c r="H262" t="n">
        <x:v>173680.8</x:v>
      </x:c>
      <x:c r="I262" t="n">
        <x:v>129476.18</x:v>
      </x:c>
      <x:c r="J262" s="22" t="n">
        <x:v>0.2545164462623387</x:v>
      </x:c>
      <x:c r="K262" s="22" t="n">
        <x:v>0.0312</x:v>
      </x:c>
      <x:c r="L262" t="n">
        <x:v>54</x:v>
      </x:c>
      <x:c r="M262" t="str">
        <x:v>成交</x:v>
      </x:c>
      <x:c r="N262" s="20" t="n">
        <x:v>45476</x:v>
      </x:c>
      <x:c r="O262"/>
    </x:row>
    <x:row r="263" ht="20" customHeight="1">
      <x:c r="A263" t="str">
        <x:v>Q00262</x:v>
      </x:c>
      <x:c r="B263" s="20" t="n">
        <x:v>45460</x:v>
      </x:c>
      <x:c r="C263" t="str">
        <x:v>IAT-001</x:v>
      </x:c>
      <x:c r="D263" t="str">
        <x:v>S05</x:v>
      </x:c>
      <x:c r="E263" t="str">
        <x:v>AUTO-BS-B</x:v>
      </x:c>
      <x:c r="F263" t="str">
        <x:v>汽車精密零組件</x:v>
      </x:c>
      <x:c r="G263" t="n">
        <x:v>7000</x:v>
      </x:c>
      <x:c r="H263" t="n">
        <x:v>948.41</x:v>
      </x:c>
      <x:c r="I263" t="n">
        <x:v>655.26</x:v>
      </x:c>
      <x:c r="J263" s="22" t="n">
        <x:v>0.30909627692664565</x:v>
      </x:c>
      <x:c r="K263" s="22" t="n">
        <x:v>0.0141</x:v>
      </x:c>
      <x:c r="L263" t="n">
        <x:v>15</x:v>
      </x:c>
      <x:c r="M263" t="str">
        <x:v>成交</x:v>
      </x:c>
      <x:c r="N263" s="20" t="n">
        <x:v>45463</x:v>
      </x:c>
      <x:c r="O263"/>
    </x:row>
    <x:row r="264" ht="20" customHeight="1">
      <x:c r="A264" t="str">
        <x:v>Q00263</x:v>
      </x:c>
      <x:c r="B264" s="20" t="n">
        <x:v>45444</x:v>
      </x:c>
      <x:c r="C264" t="str">
        <x:v>EMS-008</x:v>
      </x:c>
      <x:c r="D264" t="str">
        <x:v>S02</x:v>
      </x:c>
      <x:c r="E264" t="str">
        <x:v>AUTO-FL-B</x:v>
      </x:c>
      <x:c r="F264" t="str">
        <x:v>汽車精密零組件</x:v>
      </x:c>
      <x:c r="G264" t="n">
        <x:v>13000</x:v>
      </x:c>
      <x:c r="H264" t="n">
        <x:v>1561.35</x:v>
      </x:c>
      <x:c r="I264" t="n">
        <x:v>1194.44</x:v>
      </x:c>
      <x:c r="J264" s="22" t="n">
        <x:v>0.2349953565824446</x:v>
      </x:c>
      <x:c r="K264" s="22" t="n">
        <x:v>0.0541</x:v>
      </x:c>
      <x:c r="L264" t="n">
        <x:v>14</x:v>
      </x:c>
      <x:c r="M264" t="str">
        <x:v>成交</x:v>
      </x:c>
      <x:c r="N264" s="20" t="n">
        <x:v>45450</x:v>
      </x:c>
      <x:c r="O264"/>
    </x:row>
    <x:row r="265" ht="20" customHeight="1">
      <x:c r="A265" t="str">
        <x:v>Q00264</x:v>
      </x:c>
      <x:c r="B265" s="20" t="n">
        <x:v>45462</x:v>
      </x:c>
      <x:c r="C265" t="str">
        <x:v>IAT-008</x:v>
      </x:c>
      <x:c r="D265" t="str">
        <x:v>S01</x:v>
      </x:c>
      <x:c r="E265" t="str">
        <x:v>AUTO-FL-A</x:v>
      </x:c>
      <x:c r="F265" t="str">
        <x:v>汽車精密零組件</x:v>
      </x:c>
      <x:c r="G265" t="n">
        <x:v>7000</x:v>
      </x:c>
      <x:c r="H265" t="n">
        <x:v>1310.75</x:v>
      </x:c>
      <x:c r="I265" t="n">
        <x:v>960.98</x:v>
      </x:c>
      <x:c r="J265" s="22" t="n">
        <x:v>0.2668472248712569</x:v>
      </x:c>
      <x:c r="K265" s="22" t="n">
        <x:v>0.0502</x:v>
      </x:c>
      <x:c r="L265" t="n">
        <x:v>16</x:v>
      </x:c>
      <x:c r="M265" t="str">
        <x:v>成交</x:v>
      </x:c>
      <x:c r="N265" s="20" t="n">
        <x:v>45474</x:v>
      </x:c>
      <x:c r="O265"/>
    </x:row>
    <x:row r="266" ht="20" customHeight="1">
      <x:c r="A266" t="str">
        <x:v>Q00265</x:v>
      </x:c>
      <x:c r="B266" s="20" t="n">
        <x:v>45467</x:v>
      </x:c>
      <x:c r="C266" t="str">
        <x:v>AUT-003</x:v>
      </x:c>
      <x:c r="D266" t="str">
        <x:v>S03</x:v>
      </x:c>
      <x:c r="E266" t="str">
        <x:v>AUTO-MH-A</x:v>
      </x:c>
      <x:c r="F266" t="str">
        <x:v>汽車精密零組件</x:v>
      </x:c>
      <x:c r="G266" t="n">
        <x:v>13000</x:v>
      </x:c>
      <x:c r="H266" t="n">
        <x:v>2491.2</x:v>
      </x:c>
      <x:c r="I266" t="n">
        <x:v>1962.43</x:v>
      </x:c>
      <x:c r="J266" s="22" t="n">
        <x:v>0.21225513808606286</x:v>
      </x:c>
      <x:c r="K266" s="22" t="n">
        <x:v>0.0723</x:v>
      </x:c>
      <x:c r="L266" t="n">
        <x:v>21</x:v>
      </x:c>
      <x:c r="M266" t="str">
        <x:v>未成交</x:v>
      </x:c>
      <x:c r="N266" s="20" t="n">
        <x:v>45472</x:v>
      </x:c>
      <x:c r="O266" t="str">
        <x:v>專案取消</x:v>
      </x:c>
    </x:row>
    <x:row r="267" ht="20" customHeight="1">
      <x:c r="A267" t="str">
        <x:v>Q00266</x:v>
      </x:c>
      <x:c r="B267" s="20" t="n">
        <x:v>45472</x:v>
      </x:c>
      <x:c r="C267" t="str">
        <x:v>SEM-005</x:v>
      </x:c>
      <x:c r="D267" t="str">
        <x:v>S06</x:v>
      </x:c>
      <x:c r="E267" t="str">
        <x:v>PM-VAC-B</x:v>
      </x:c>
      <x:c r="F267" t="str">
        <x:v>精密金屬加工件</x:v>
      </x:c>
      <x:c r="G267" t="n">
        <x:v>1600</x:v>
      </x:c>
      <x:c r="H267" t="n">
        <x:v>23352.64</x:v>
      </x:c>
      <x:c r="I267" t="n">
        <x:v>15159.79</x:v>
      </x:c>
      <x:c r="J267" s="22" t="n">
        <x:v>0.3508318545569151</x:v>
      </x:c>
      <x:c r="K267" s="22" t="n">
        <x:v>0.0156</x:v>
      </x:c>
      <x:c r="L267" t="n">
        <x:v>27</x:v>
      </x:c>
      <x:c r="M267" t="str">
        <x:v>成交</x:v>
      </x:c>
      <x:c r="N267" s="20" t="n">
        <x:v>45480</x:v>
      </x:c>
      <x:c r="O267"/>
    </x:row>
    <x:row r="268" ht="20" customHeight="1">
      <x:c r="A268" t="str">
        <x:v>Q00267</x:v>
      </x:c>
      <x:c r="B268" s="20" t="n">
        <x:v>45446</x:v>
      </x:c>
      <x:c r="C268" t="str">
        <x:v>SEM-002</x:v>
      </x:c>
      <x:c r="D268" t="str">
        <x:v>S02</x:v>
      </x:c>
      <x:c r="E268" t="str">
        <x:v>MECH-STG-A</x:v>
      </x:c>
      <x:c r="F268" t="str">
        <x:v>機電／自動化模組</x:v>
      </x:c>
      <x:c r="G268" t="n">
        <x:v>30</x:v>
      </x:c>
      <x:c r="H268" t="n">
        <x:v>133361.64</x:v>
      </x:c>
      <x:c r="I268" t="n">
        <x:v>103219.09</x:v>
      </x:c>
      <x:c r="J268" s="22" t="n">
        <x:v>0.226021140711827</x:v>
      </x:c>
      <x:c r="K268" s="22" t="n">
        <x:v>0.0852</x:v>
      </x:c>
      <x:c r="L268" t="n">
        <x:v>40</x:v>
      </x:c>
      <x:c r="M268" t="str">
        <x:v>未成交</x:v>
      </x:c>
      <x:c r="N268" s="20" t="n">
        <x:v>45453</x:v>
      </x:c>
      <x:c r="O268" t="str">
        <x:v>競品</x:v>
      </x:c>
    </x:row>
    <x:row r="269" ht="20" customHeight="1">
      <x:c r="A269" t="str">
        <x:v>Q00268</x:v>
      </x:c>
      <x:c r="B269" s="20" t="n">
        <x:v>45457</x:v>
      </x:c>
      <x:c r="C269" t="str">
        <x:v>IAT-007</x:v>
      </x:c>
      <x:c r="D269" t="str">
        <x:v>S04</x:v>
      </x:c>
      <x:c r="E269" t="str">
        <x:v>MECH-STG-B</x:v>
      </x:c>
      <x:c r="F269" t="str">
        <x:v>機電／自動化模組</x:v>
      </x:c>
      <x:c r="G269" t="n">
        <x:v>50</x:v>
      </x:c>
      <x:c r="H269" t="n">
        <x:v>195322.56</x:v>
      </x:c>
      <x:c r="I269" t="n">
        <x:v>147880.22</x:v>
      </x:c>
      <x:c r="J269" s="22" t="n">
        <x:v>0.24289227009926553</x:v>
      </x:c>
      <x:c r="K269" s="22" t="n">
        <x:v>0.0485</x:v>
      </x:c>
      <x:c r="L269" t="n">
        <x:v>48</x:v>
      </x:c>
      <x:c r="M269" t="str">
        <x:v>成交</x:v>
      </x:c>
      <x:c r="N269" s="20" t="n">
        <x:v>45465</x:v>
      </x:c>
      <x:c r="O269"/>
    </x:row>
    <x:row r="270" ht="20" customHeight="1">
      <x:c r="A270" t="str">
        <x:v>Q00269</x:v>
      </x:c>
      <x:c r="B270" s="20" t="n">
        <x:v>45446</x:v>
      </x:c>
      <x:c r="C270" t="str">
        <x:v>AUT-013</x:v>
      </x:c>
      <x:c r="D270" t="str">
        <x:v>S01</x:v>
      </x:c>
      <x:c r="E270" t="str">
        <x:v>MECH-CON-B</x:v>
      </x:c>
      <x:c r="F270" t="str">
        <x:v>機電／自動化模組</x:v>
      </x:c>
      <x:c r="G270" t="n">
        <x:v>30</x:v>
      </x:c>
      <x:c r="H270" t="n">
        <x:v>150190.16</x:v>
      </x:c>
      <x:c r="I270" t="n">
        <x:v>120451.39</x:v>
      </x:c>
      <x:c r="J270" s="22" t="n">
        <x:v>0.19800744602708995</x:v>
      </x:c>
      <x:c r="K270" s="22" t="n">
        <x:v>0.0898</x:v>
      </x:c>
      <x:c r="L270" t="n">
        <x:v>38</x:v>
      </x:c>
      <x:c r="M270" t="str">
        <x:v>成交</x:v>
      </x:c>
      <x:c r="N270" s="20" t="n">
        <x:v>45450</x:v>
      </x:c>
      <x:c r="O270"/>
    </x:row>
    <x:row r="271" ht="20" customHeight="1">
      <x:c r="A271" t="str">
        <x:v>Q00270</x:v>
      </x:c>
      <x:c r="B271" s="20" t="n">
        <x:v>45468</x:v>
      </x:c>
      <x:c r="C271" t="str">
        <x:v>IAT-003</x:v>
      </x:c>
      <x:c r="D271" t="str">
        <x:v>S04</x:v>
      </x:c>
      <x:c r="E271" t="str">
        <x:v>PM-BRG-A</x:v>
      </x:c>
      <x:c r="F271" t="str">
        <x:v>精密金屬加工件</x:v>
      </x:c>
      <x:c r="G271" t="n">
        <x:v>300</x:v>
      </x:c>
      <x:c r="H271" t="n">
        <x:v>6434</x:v>
      </x:c>
      <x:c r="I271" t="n">
        <x:v>4598.86</x:v>
      </x:c>
      <x:c r="J271" s="22" t="n">
        <x:v>0.2852253652471247</x:v>
      </x:c>
      <x:c r="K271" s="22" t="n">
        <x:v>0.0958</x:v>
      </x:c>
      <x:c r="L271" t="n">
        <x:v>20</x:v>
      </x:c>
      <x:c r="M271" t="str">
        <x:v>未成交</x:v>
      </x:c>
      <x:c r="N271" s="20" t="n">
        <x:v>45473</x:v>
      </x:c>
      <x:c r="O271" t="str">
        <x:v>競品</x:v>
      </x:c>
    </x:row>
    <x:row r="272" ht="20" customHeight="1">
      <x:c r="A272" t="str">
        <x:v>Q00271</x:v>
      </x:c>
      <x:c r="B272" s="20" t="n">
        <x:v>45458</x:v>
      </x:c>
      <x:c r="C272" t="str">
        <x:v>AFT-006</x:v>
      </x:c>
      <x:c r="D272" t="str">
        <x:v>S01</x:v>
      </x:c>
      <x:c r="E272" t="str">
        <x:v>AUTO-LG-A</x:v>
      </x:c>
      <x:c r="F272" t="str">
        <x:v>汽車精密零組件</x:v>
      </x:c>
      <x:c r="G272" t="n">
        <x:v>10000</x:v>
      </x:c>
      <x:c r="H272" t="n">
        <x:v>1112.06</x:v>
      </x:c>
      <x:c r="I272" t="n">
        <x:v>838.01</x:v>
      </x:c>
      <x:c r="J272" s="22" t="n">
        <x:v>0.24643454489865652</x:v>
      </x:c>
      <x:c r="K272" s="22" t="n">
        <x:v>0.0621</x:v>
      </x:c>
      <x:c r="L272" t="n">
        <x:v>15</x:v>
      </x:c>
      <x:c r="M272" t="str">
        <x:v>未成交</x:v>
      </x:c>
      <x:c r="N272" s="20" t="n">
        <x:v>45462</x:v>
      </x:c>
      <x:c r="O272" t="str">
        <x:v>專案取消</x:v>
      </x:c>
    </x:row>
    <x:row r="273" ht="20" customHeight="1">
      <x:c r="A273" t="str">
        <x:v>Q00272</x:v>
      </x:c>
      <x:c r="B273" s="20" t="n">
        <x:v>45471</x:v>
      </x:c>
      <x:c r="C273" t="str">
        <x:v>SEM-001</x:v>
      </x:c>
      <x:c r="D273" t="str">
        <x:v>S01</x:v>
      </x:c>
      <x:c r="E273" t="str">
        <x:v>PM-ALB-B</x:v>
      </x:c>
      <x:c r="F273" t="str">
        <x:v>精密金屬加工件</x:v>
      </x:c>
      <x:c r="G273" t="n">
        <x:v>800</x:v>
      </x:c>
      <x:c r="H273" t="n">
        <x:v>14977.08</x:v>
      </x:c>
      <x:c r="I273" t="n">
        <x:v>11647.18</x:v>
      </x:c>
      <x:c r="J273" s="22" t="n">
        <x:v>0.2223330582463337</x:v>
      </x:c>
      <x:c r="K273" s="22" t="n">
        <x:v>0.1167</x:v>
      </x:c>
      <x:c r="L273" t="n">
        <x:v>31</x:v>
      </x:c>
      <x:c r="M273" t="str">
        <x:v>未成交</x:v>
      </x:c>
      <x:c r="N273" s="20" t="n">
        <x:v>45483</x:v>
      </x:c>
      <x:c r="O273" t="str">
        <x:v>交期</x:v>
      </x:c>
    </x:row>
    <x:row r="274" ht="20" customHeight="1">
      <x:c r="A274" t="str">
        <x:v>Q00273</x:v>
      </x:c>
      <x:c r="B274" s="20" t="n">
        <x:v>45472</x:v>
      </x:c>
      <x:c r="C274" t="str">
        <x:v>AUT-004</x:v>
      </x:c>
      <x:c r="D274" t="str">
        <x:v>S03</x:v>
      </x:c>
      <x:c r="E274" t="str">
        <x:v>AUTO-FL-B</x:v>
      </x:c>
      <x:c r="F274" t="str">
        <x:v>汽車精密零組件</x:v>
      </x:c>
      <x:c r="G274" t="n">
        <x:v>5000</x:v>
      </x:c>
      <x:c r="H274" t="n">
        <x:v>1490.62</x:v>
      </x:c>
      <x:c r="I274" t="n">
        <x:v>1185.25</x:v>
      </x:c>
      <x:c r="J274" s="22" t="n">
        <x:v>0.20486106452348682</x:v>
      </x:c>
      <x:c r="K274" s="22" t="n">
        <x:v>0.0884</x:v>
      </x:c>
      <x:c r="L274" t="n">
        <x:v>16</x:v>
      </x:c>
      <x:c r="M274" t="str">
        <x:v>成交</x:v>
      </x:c>
      <x:c r="N274" s="20" t="n">
        <x:v>45484</x:v>
      </x:c>
      <x:c r="O274"/>
    </x:row>
    <x:row r="275" ht="20" customHeight="1">
      <x:c r="A275" t="str">
        <x:v>Q00274</x:v>
      </x:c>
      <x:c r="B275" s="20" t="n">
        <x:v>45463</x:v>
      </x:c>
      <x:c r="C275" t="str">
        <x:v>EMS-008</x:v>
      </x:c>
      <x:c r="D275" t="str">
        <x:v>S02</x:v>
      </x:c>
      <x:c r="E275" t="str">
        <x:v>AUTO-LG-B</x:v>
      </x:c>
      <x:c r="F275" t="str">
        <x:v>汽車精密零組件</x:v>
      </x:c>
      <x:c r="G275" t="n">
        <x:v>3000</x:v>
      </x:c>
      <x:c r="H275" t="n">
        <x:v>1253.16</x:v>
      </x:c>
      <x:c r="I275" t="n">
        <x:v>905.18</x:v>
      </x:c>
      <x:c r="J275" s="22" t="n">
        <x:v>0.27768201985380964</x:v>
      </x:c>
      <x:c r="K275" s="22" t="n">
        <x:v>0.0403</x:v>
      </x:c>
      <x:c r="L275" t="n">
        <x:v>18</x:v>
      </x:c>
      <x:c r="M275" t="str">
        <x:v>成交</x:v>
      </x:c>
      <x:c r="N275" s="20" t="n">
        <x:v>45469</x:v>
      </x:c>
      <x:c r="O275"/>
    </x:row>
    <x:row r="276" ht="20" customHeight="1">
      <x:c r="A276" t="str">
        <x:v>Q00275</x:v>
      </x:c>
      <x:c r="B276" s="20" t="n">
        <x:v>45463</x:v>
      </x:c>
      <x:c r="C276" t="str">
        <x:v>AUT-010</x:v>
      </x:c>
      <x:c r="D276" t="str">
        <x:v>S05</x:v>
      </x:c>
      <x:c r="E276" t="str">
        <x:v>AUTO-FL-B</x:v>
      </x:c>
      <x:c r="F276" t="str">
        <x:v>汽車精密零組件</x:v>
      </x:c>
      <x:c r="G276" t="n">
        <x:v>7000</x:v>
      </x:c>
      <x:c r="H276" t="n">
        <x:v>1510.79</x:v>
      </x:c>
      <x:c r="I276" t="n">
        <x:v>1204.15</x:v>
      </x:c>
      <x:c r="J276" s="22" t="n">
        <x:v>0.20296665982697787</x:v>
      </x:c>
      <x:c r="K276" s="22" t="n">
        <x:v>0.0808</x:v>
      </x:c>
      <x:c r="L276" t="n">
        <x:v>19</x:v>
      </x:c>
      <x:c r="M276" t="str">
        <x:v>成交</x:v>
      </x:c>
      <x:c r="N276" s="20" t="n">
        <x:v>45475</x:v>
      </x:c>
      <x:c r="O276"/>
    </x:row>
    <x:row r="277" ht="20" customHeight="1">
      <x:c r="A277" t="str">
        <x:v>Q00276</x:v>
      </x:c>
      <x:c r="B277" s="20" t="n">
        <x:v>45461</x:v>
      </x:c>
      <x:c r="C277" t="str">
        <x:v>AUT-002</x:v>
      </x:c>
      <x:c r="D277" t="str">
        <x:v>S04</x:v>
      </x:c>
      <x:c r="E277" t="str">
        <x:v>AUTO-KN-B</x:v>
      </x:c>
      <x:c r="F277" t="str">
        <x:v>汽車精密零組件</x:v>
      </x:c>
      <x:c r="G277" t="n">
        <x:v>10000</x:v>
      </x:c>
      <x:c r="H277" t="n">
        <x:v>3836.34</x:v>
      </x:c>
      <x:c r="I277" t="n">
        <x:v>2565.88</x:v>
      </x:c>
      <x:c r="J277" s="22" t="n">
        <x:v>0.33116459959231975</x:v>
      </x:c>
      <x:c r="K277" s="22" t="n">
        <x:v>0.0437</x:v>
      </x:c>
      <x:c r="L277" t="n">
        <x:v>19</x:v>
      </x:c>
      <x:c r="M277" t="str">
        <x:v>成交</x:v>
      </x:c>
      <x:c r="N277" s="20" t="n">
        <x:v>45466</x:v>
      </x:c>
      <x:c r="O277"/>
    </x:row>
    <x:row r="278" ht="20" customHeight="1">
      <x:c r="A278" t="str">
        <x:v>Q00277</x:v>
      </x:c>
      <x:c r="B278" s="20" t="n">
        <x:v>45467</x:v>
      </x:c>
      <x:c r="C278" t="str">
        <x:v>AUT-007</x:v>
      </x:c>
      <x:c r="D278" t="str">
        <x:v>S04</x:v>
      </x:c>
      <x:c r="E278" t="str">
        <x:v>PM-ALB-B</x:v>
      </x:c>
      <x:c r="F278" t="str">
        <x:v>精密金屬加工件</x:v>
      </x:c>
      <x:c r="G278" t="n">
        <x:v>500</x:v>
      </x:c>
      <x:c r="H278" t="n">
        <x:v>15004.08</x:v>
      </x:c>
      <x:c r="I278" t="n">
        <x:v>11483.44</x:v>
      </x:c>
      <x:c r="J278" s="22" t="n">
        <x:v>0.23464550975468002</x:v>
      </x:c>
      <x:c r="K278" s="22" t="n">
        <x:v>0.117</x:v>
      </x:c>
      <x:c r="L278" t="n">
        <x:v>26</x:v>
      </x:c>
      <x:c r="M278" t="str">
        <x:v>成交</x:v>
      </x:c>
      <x:c r="N278" s="20" t="n">
        <x:v>45479</x:v>
      </x:c>
      <x:c r="O278"/>
    </x:row>
    <x:row r="279" ht="20" customHeight="1">
      <x:c r="A279" t="str">
        <x:v>Q00278</x:v>
      </x:c>
      <x:c r="B279" s="20" t="n">
        <x:v>45451</x:v>
      </x:c>
      <x:c r="C279" t="str">
        <x:v>IAT-006</x:v>
      </x:c>
      <x:c r="D279" t="str">
        <x:v>S01</x:v>
      </x:c>
      <x:c r="E279" t="str">
        <x:v>PM-ALB-A</x:v>
      </x:c>
      <x:c r="F279" t="str">
        <x:v>精密金屬加工件</x:v>
      </x:c>
      <x:c r="G279" t="n">
        <x:v>300</x:v>
      </x:c>
      <x:c r="H279" t="n">
        <x:v>11290.96</x:v>
      </x:c>
      <x:c r="I279" t="n">
        <x:v>8114.99</x:v>
      </x:c>
      <x:c r="J279" s="22" t="n">
        <x:v>0.281284319490991</x:v>
      </x:c>
      <x:c r="K279" s="22" t="n">
        <x:v>0.0595</x:v>
      </x:c>
      <x:c r="L279" t="n">
        <x:v>22</x:v>
      </x:c>
      <x:c r="M279" t="str">
        <x:v>成交</x:v>
      </x:c>
      <x:c r="N279" s="20" t="n">
        <x:v>45461</x:v>
      </x:c>
      <x:c r="O279"/>
    </x:row>
    <x:row r="280" ht="20" customHeight="1">
      <x:c r="A280" t="str">
        <x:v>Q00279</x:v>
      </x:c>
      <x:c r="B280" s="20" t="n">
        <x:v>45471</x:v>
      </x:c>
      <x:c r="C280" t="str">
        <x:v>EMS-003</x:v>
      </x:c>
      <x:c r="D280" t="str">
        <x:v>S05</x:v>
      </x:c>
      <x:c r="E280" t="str">
        <x:v>PM-SUS-B</x:v>
      </x:c>
      <x:c r="F280" t="str">
        <x:v>精密金屬加工件</x:v>
      </x:c>
      <x:c r="G280" t="n">
        <x:v>300</x:v>
      </x:c>
      <x:c r="H280" t="n">
        <x:v>14200.88</x:v>
      </x:c>
      <x:c r="I280" t="n">
        <x:v>11520.21</x:v>
      </x:c>
      <x:c r="J280" s="22" t="n">
        <x:v>0.18876787917368504</x:v>
      </x:c>
      <x:c r="K280" s="22" t="n">
        <x:v>0.098</x:v>
      </x:c>
      <x:c r="L280" t="n">
        <x:v>25</x:v>
      </x:c>
      <x:c r="M280" t="str">
        <x:v>未成交</x:v>
      </x:c>
      <x:c r="N280" s="20" t="n">
        <x:v>45481</x:v>
      </x:c>
      <x:c r="O280" t="str">
        <x:v>競品</x:v>
      </x:c>
    </x:row>
    <x:row r="281" ht="20" customHeight="1">
      <x:c r="A281" t="str">
        <x:v>Q00280</x:v>
      </x:c>
      <x:c r="B281" s="20" t="n">
        <x:v>45444</x:v>
      </x:c>
      <x:c r="C281" t="str">
        <x:v>AUT-013</x:v>
      </x:c>
      <x:c r="D281" t="str">
        <x:v>S01</x:v>
      </x:c>
      <x:c r="E281" t="str">
        <x:v>AUTO-LG-B</x:v>
      </x:c>
      <x:c r="F281" t="str">
        <x:v>汽車精密零組件</x:v>
      </x:c>
      <x:c r="G281" t="n">
        <x:v>10000</x:v>
      </x:c>
      <x:c r="H281" t="n">
        <x:v>1221.24</x:v>
      </x:c>
      <x:c r="I281" t="n">
        <x:v>918.92</x:v>
      </x:c>
      <x:c r="J281" s="22" t="n">
        <x:v>0.24755166879565035</x:v>
      </x:c>
      <x:c r="K281" s="22" t="n">
        <x:v>0.0582</x:v>
      </x:c>
      <x:c r="L281" t="n">
        <x:v>14</x:v>
      </x:c>
      <x:c r="M281" t="str">
        <x:v>成交</x:v>
      </x:c>
      <x:c r="N281" s="20" t="n">
        <x:v>45447</x:v>
      </x:c>
      <x:c r="O281"/>
    </x:row>
    <x:row r="282" ht="20" customHeight="1">
      <x:c r="A282" t="str">
        <x:v>Q00281</x:v>
      </x:c>
      <x:c r="B282" s="20" t="n">
        <x:v>45464</x:v>
      </x:c>
      <x:c r="C282" t="str">
        <x:v>EMS-004</x:v>
      </x:c>
      <x:c r="D282" t="str">
        <x:v>S03</x:v>
      </x:c>
      <x:c r="E282" t="str">
        <x:v>PM-BRG-B</x:v>
      </x:c>
      <x:c r="F282" t="str">
        <x:v>精密金屬加工件</x:v>
      </x:c>
      <x:c r="G282" t="n">
        <x:v>500</x:v>
      </x:c>
      <x:c r="H282" t="n">
        <x:v>8259.29</x:v>
      </x:c>
      <x:c r="I282" t="n">
        <x:v>5373.12</x:v>
      </x:c>
      <x:c r="J282" s="22" t="n">
        <x:v>0.3494452913022791</x:v>
      </x:c>
      <x:c r="K282" s="22" t="n">
        <x:v>0.0239</x:v>
      </x:c>
      <x:c r="L282" t="n">
        <x:v>23</x:v>
      </x:c>
      <x:c r="M282" t="str">
        <x:v>未成交</x:v>
      </x:c>
      <x:c r="N282" s="20" t="n">
        <x:v>45467</x:v>
      </x:c>
      <x:c r="O282" t="str">
        <x:v>規格</x:v>
      </x:c>
    </x:row>
    <x:row r="283" ht="20" customHeight="1">
      <x:c r="A283" t="str">
        <x:v>Q00282</x:v>
      </x:c>
      <x:c r="B283" s="20" t="n">
        <x:v>45451</x:v>
      </x:c>
      <x:c r="C283" t="str">
        <x:v>SEM-004</x:v>
      </x:c>
      <x:c r="D283" t="str">
        <x:v>S02</x:v>
      </x:c>
      <x:c r="E283" t="str">
        <x:v>PM-ALB-A</x:v>
      </x:c>
      <x:c r="F283" t="str">
        <x:v>精密金屬加工件</x:v>
      </x:c>
      <x:c r="G283" t="n">
        <x:v>1200</x:v>
      </x:c>
      <x:c r="H283" t="n">
        <x:v>11495.65</x:v>
      </x:c>
      <x:c r="I283" t="n">
        <x:v>8263.52</x:v>
      </x:c>
      <x:c r="J283" s="22" t="n">
        <x:v>0.2811611348640572</x:v>
      </x:c>
      <x:c r="K283" s="22" t="n">
        <x:v>0.0217</x:v>
      </x:c>
      <x:c r="L283" t="n">
        <x:v>20</x:v>
      </x:c>
      <x:c r="M283" t="str">
        <x:v>成交</x:v>
      </x:c>
      <x:c r="N283" s="20" t="n">
        <x:v>45462</x:v>
      </x:c>
      <x:c r="O283"/>
    </x:row>
    <x:row r="284" ht="20" customHeight="1">
      <x:c r="A284" t="str">
        <x:v>Q00283</x:v>
      </x:c>
      <x:c r="B284" s="20" t="n">
        <x:v>45447</x:v>
      </x:c>
      <x:c r="C284" t="str">
        <x:v>IAT-008</x:v>
      </x:c>
      <x:c r="D284" t="str">
        <x:v>S01</x:v>
      </x:c>
      <x:c r="E284" t="str">
        <x:v>AUTO-MH-A</x:v>
      </x:c>
      <x:c r="F284" t="str">
        <x:v>汽車精密零組件</x:v>
      </x:c>
      <x:c r="G284" t="n">
        <x:v>7000</x:v>
      </x:c>
      <x:c r="H284" t="n">
        <x:v>2377.54</x:v>
      </x:c>
      <x:c r="I284" t="n">
        <x:v>2025.39</x:v>
      </x:c>
      <x:c r="J284" s="22" t="n">
        <x:v>0.14811527881760134</x:v>
      </x:c>
      <x:c r="K284" s="22" t="n">
        <x:v>0.1278</x:v>
      </x:c>
      <x:c r="L284" t="n">
        <x:v>20</x:v>
      </x:c>
      <x:c r="M284" t="str">
        <x:v>成交</x:v>
      </x:c>
      <x:c r="N284" s="20" t="n">
        <x:v>45454</x:v>
      </x:c>
      <x:c r="O284"/>
    </x:row>
    <x:row r="285" ht="20" customHeight="1">
      <x:c r="A285" t="str">
        <x:v>Q00284</x:v>
      </x:c>
      <x:c r="B285" s="20" t="n">
        <x:v>45461</x:v>
      </x:c>
      <x:c r="C285" t="str">
        <x:v>SEM-004</x:v>
      </x:c>
      <x:c r="D285" t="str">
        <x:v>S02</x:v>
      </x:c>
      <x:c r="E285" t="str">
        <x:v>PM-VAC-A</x:v>
      </x:c>
      <x:c r="F285" t="str">
        <x:v>精密金屬加工件</x:v>
      </x:c>
      <x:c r="G285" t="n">
        <x:v>1200</x:v>
      </x:c>
      <x:c r="H285" t="n">
        <x:v>14630.89</x:v>
      </x:c>
      <x:c r="I285" t="n">
        <x:v>11065.33</x:v>
      </x:c>
      <x:c r="J285" s="22" t="n">
        <x:v>0.24370082749579824</x:v>
      </x:c>
      <x:c r="K285" s="22" t="n">
        <x:v>0.1222</x:v>
      </x:c>
      <x:c r="L285" t="n">
        <x:v>33</x:v>
      </x:c>
      <x:c r="M285" t="str">
        <x:v>未成交</x:v>
      </x:c>
      <x:c r="N285" s="20" t="n">
        <x:v>45465</x:v>
      </x:c>
      <x:c r="O285" t="str">
        <x:v>專案取消</x:v>
      </x:c>
    </x:row>
    <x:row r="286" ht="20" customHeight="1">
      <x:c r="A286" t="str">
        <x:v>Q00285</x:v>
      </x:c>
      <x:c r="B286" s="20" t="n">
        <x:v>45460</x:v>
      </x:c>
      <x:c r="C286" t="str">
        <x:v>IAT-001</x:v>
      </x:c>
      <x:c r="D286" t="str">
        <x:v>S05</x:v>
      </x:c>
      <x:c r="E286" t="str">
        <x:v>PM-VAC-A</x:v>
      </x:c>
      <x:c r="F286" t="str">
        <x:v>精密金屬加工件</x:v>
      </x:c>
      <x:c r="G286" t="n">
        <x:v>1200</x:v>
      </x:c>
      <x:c r="H286" t="n">
        <x:v>16198.15</x:v>
      </x:c>
      <x:c r="I286" t="n">
        <x:v>11126.28</x:v>
      </x:c>
      <x:c r="J286" s="22" t="n">
        <x:v>0.3131141519247568</x:v>
      </x:c>
      <x:c r="K286" s="22" t="n">
        <x:v>0.025</x:v>
      </x:c>
      <x:c r="L286" t="n">
        <x:v>25</x:v>
      </x:c>
      <x:c r="M286" t="str">
        <x:v>未成交</x:v>
      </x:c>
      <x:c r="N286" s="20" t="n">
        <x:v>45463</x:v>
      </x:c>
      <x:c r="O286" t="str">
        <x:v>交期</x:v>
      </x:c>
    </x:row>
    <x:row r="287" ht="20" customHeight="1">
      <x:c r="A287" t="str">
        <x:v>Q00286</x:v>
      </x:c>
      <x:c r="B287" s="20" t="n">
        <x:v>45449</x:v>
      </x:c>
      <x:c r="C287" t="str">
        <x:v>EMS-007</x:v>
      </x:c>
      <x:c r="D287" t="str">
        <x:v>S04</x:v>
      </x:c>
      <x:c r="E287" t="str">
        <x:v>AUTO-LG-B</x:v>
      </x:c>
      <x:c r="F287" t="str">
        <x:v>汽車精密零組件</x:v>
      </x:c>
      <x:c r="G287" t="n">
        <x:v>3000</x:v>
      </x:c>
      <x:c r="H287" t="n">
        <x:v>1099.85</x:v>
      </x:c>
      <x:c r="I287" t="n">
        <x:v>942.73</x:v>
      </x:c>
      <x:c r="J287" s="22" t="n">
        <x:v>0.14285584397872428</x:v>
      </x:c>
      <x:c r="K287" s="22" t="n">
        <x:v>0.1457</x:v>
      </x:c>
      <x:c r="L287" t="n">
        <x:v>14</x:v>
      </x:c>
      <x:c r="M287" t="str">
        <x:v>未成交</x:v>
      </x:c>
      <x:c r="N287" s="20" t="n">
        <x:v>45452</x:v>
      </x:c>
      <x:c r="O287" t="str">
        <x:v>規格</x:v>
      </x:c>
    </x:row>
    <x:row r="288" ht="20" customHeight="1">
      <x:c r="A288" t="str">
        <x:v>Q00287</x:v>
      </x:c>
      <x:c r="B288" s="20" t="n">
        <x:v>45456</x:v>
      </x:c>
      <x:c r="C288" t="str">
        <x:v>SEM-007</x:v>
      </x:c>
      <x:c r="D288" t="str">
        <x:v>S03</x:v>
      </x:c>
      <x:c r="E288" t="str">
        <x:v>PM-ALB-B</x:v>
      </x:c>
      <x:c r="F288" t="str">
        <x:v>精密金屬加工件</x:v>
      </x:c>
      <x:c r="G288" t="n">
        <x:v>800</x:v>
      </x:c>
      <x:c r="H288" t="n">
        <x:v>14589.52</x:v>
      </x:c>
      <x:c r="I288" t="n">
        <x:v>11864.84</x:v>
      </x:c>
      <x:c r="J288" s="22" t="n">
        <x:v>0.1867559727804616</x:v>
      </x:c>
      <x:c r="K288" s="22" t="n">
        <x:v>0.1373</x:v>
      </x:c>
      <x:c r="L288" t="n">
        <x:v>26</x:v>
      </x:c>
      <x:c r="M288" t="str">
        <x:v>成交</x:v>
      </x:c>
      <x:c r="N288" s="20" t="n">
        <x:v>45463</x:v>
      </x:c>
      <x:c r="O288"/>
    </x:row>
    <x:row r="289" ht="20" customHeight="1">
      <x:c r="A289" t="str">
        <x:v>Q00288</x:v>
      </x:c>
      <x:c r="B289" s="20" t="n">
        <x:v>45458</x:v>
      </x:c>
      <x:c r="C289" t="str">
        <x:v>AUT-001</x:v>
      </x:c>
      <x:c r="D289" t="str">
        <x:v>S01</x:v>
      </x:c>
      <x:c r="E289" t="str">
        <x:v>AUTO-BS-A</x:v>
      </x:c>
      <x:c r="F289" t="str">
        <x:v>汽車精密零組件</x:v>
      </x:c>
      <x:c r="G289" t="n">
        <x:v>3000</x:v>
      </x:c>
      <x:c r="H289" t="n">
        <x:v>770</x:v>
      </x:c>
      <x:c r="I289" t="n">
        <x:v>537.4</x:v>
      </x:c>
      <x:c r="J289" s="22" t="n">
        <x:v>0.3020779220779221</x:v>
      </x:c>
      <x:c r="K289" s="22" t="n">
        <x:v>0.0552</x:v>
      </x:c>
      <x:c r="L289" t="n">
        <x:v>12</x:v>
      </x:c>
      <x:c r="M289" t="str">
        <x:v>成交</x:v>
      </x:c>
      <x:c r="N289" s="20" t="n">
        <x:v>45461</x:v>
      </x:c>
      <x:c r="O289"/>
    </x:row>
    <x:row r="290" ht="20" customHeight="1">
      <x:c r="A290" t="str">
        <x:v>Q00289</x:v>
      </x:c>
      <x:c r="B290" s="20" t="n">
        <x:v>45469</x:v>
      </x:c>
      <x:c r="C290" t="str">
        <x:v>EMS-007</x:v>
      </x:c>
      <x:c r="D290" t="str">
        <x:v>S04</x:v>
      </x:c>
      <x:c r="E290" t="str">
        <x:v>PM-BRG-A</x:v>
      </x:c>
      <x:c r="F290" t="str">
        <x:v>精密金屬加工件</x:v>
      </x:c>
      <x:c r="G290" t="n">
        <x:v>800</x:v>
      </x:c>
      <x:c r="H290" t="n">
        <x:v>6812.69</x:v>
      </x:c>
      <x:c r="I290" t="n">
        <x:v>4573.68</x:v>
      </x:c>
      <x:c r="J290" s="22" t="n">
        <x:v>0.32865285225072616</x:v>
      </x:c>
      <x:c r="K290" s="22" t="n">
        <x:v>0.0518</x:v>
      </x:c>
      <x:c r="L290" t="n">
        <x:v>18</x:v>
      </x:c>
      <x:c r="M290" t="str">
        <x:v>未成交</x:v>
      </x:c>
      <x:c r="N290" s="20" t="n">
        <x:v>45474</x:v>
      </x:c>
      <x:c r="O290" t="str">
        <x:v>交期</x:v>
      </x:c>
    </x:row>
    <x:row r="291" ht="20" customHeight="1">
      <x:c r="A291" t="str">
        <x:v>Q00290</x:v>
      </x:c>
      <x:c r="B291" s="20" t="n">
        <x:v>45448</x:v>
      </x:c>
      <x:c r="C291" t="str">
        <x:v>AUT-014</x:v>
      </x:c>
      <x:c r="D291" t="str">
        <x:v>S06</x:v>
      </x:c>
      <x:c r="E291" t="str">
        <x:v>MECH-STG-B</x:v>
      </x:c>
      <x:c r="F291" t="str">
        <x:v>機電／自動化模組</x:v>
      </x:c>
      <x:c r="G291" t="n">
        <x:v>20</x:v>
      </x:c>
      <x:c r="H291" t="n">
        <x:v>183959.56</x:v>
      </x:c>
      <x:c r="I291" t="n">
        <x:v>151974.69</x:v>
      </x:c>
      <x:c r="J291" s="22" t="n">
        <x:v>0.1738690286060697</x:v>
      </x:c>
      <x:c r="K291" s="22" t="n">
        <x:v>0.1011</x:v>
      </x:c>
      <x:c r="L291" t="n">
        <x:v>49</x:v>
      </x:c>
      <x:c r="M291" t="str">
        <x:v>成交</x:v>
      </x:c>
      <x:c r="N291" s="20" t="n">
        <x:v>45457</x:v>
      </x:c>
      <x:c r="O291"/>
    </x:row>
    <x:row r="292" ht="20" customHeight="1">
      <x:c r="A292" t="str">
        <x:v>Q00291</x:v>
      </x:c>
      <x:c r="B292" s="20" t="n">
        <x:v>45472</x:v>
      </x:c>
      <x:c r="C292" t="str">
        <x:v>IAT-007</x:v>
      </x:c>
      <x:c r="D292" t="str">
        <x:v>S04</x:v>
      </x:c>
      <x:c r="E292" t="str">
        <x:v>MECH-STG-A</x:v>
      </x:c>
      <x:c r="F292" t="str">
        <x:v>機電／自動化模組</x:v>
      </x:c>
      <x:c r="G292" t="n">
        <x:v>10</x:v>
      </x:c>
      <x:c r="H292" t="n">
        <x:v>130840.48</x:v>
      </x:c>
      <x:c r="I292" t="n">
        <x:v>101560.7</x:v>
      </x:c>
      <x:c r="J292" s="22" t="n">
        <x:v>0.22378227288680078</x:v>
      </x:c>
      <x:c r="K292" s="22" t="n">
        <x:v>0.1125</x:v>
      </x:c>
      <x:c r="L292" t="n">
        <x:v>44</x:v>
      </x:c>
      <x:c r="M292" t="str">
        <x:v>成交</x:v>
      </x:c>
      <x:c r="N292" s="20" t="n">
        <x:v>45477</x:v>
      </x:c>
      <x:c r="O292"/>
    </x:row>
    <x:row r="293" ht="20" customHeight="1">
      <x:c r="A293" t="str">
        <x:v>Q00292</x:v>
      </x:c>
      <x:c r="B293" s="20" t="n">
        <x:v>45463</x:v>
      </x:c>
      <x:c r="C293" t="str">
        <x:v>AFT-006</x:v>
      </x:c>
      <x:c r="D293" t="str">
        <x:v>S01</x:v>
      </x:c>
      <x:c r="E293" t="str">
        <x:v>AUTO-BRK-A</x:v>
      </x:c>
      <x:c r="F293" t="str">
        <x:v>汽車精密零組件</x:v>
      </x:c>
      <x:c r="G293" t="n">
        <x:v>10000</x:v>
      </x:c>
      <x:c r="H293" t="n">
        <x:v>1833.71</x:v>
      </x:c>
      <x:c r="I293" t="n">
        <x:v>1375.13</x:v>
      </x:c>
      <x:c r="J293" s="22" t="n">
        <x:v>0.25008316473160963</x:v>
      </x:c>
      <x:c r="K293" s="22" t="n">
        <x:v>0.0263</x:v>
      </x:c>
      <x:c r="L293" t="n">
        <x:v>13</x:v>
      </x:c>
      <x:c r="M293" t="str">
        <x:v>成交</x:v>
      </x:c>
      <x:c r="N293" s="20" t="n">
        <x:v>45474</x:v>
      </x:c>
      <x:c r="O293"/>
    </x:row>
    <x:row r="294" ht="20" customHeight="1">
      <x:c r="A294" t="str">
        <x:v>Q00293</x:v>
      </x:c>
      <x:c r="B294" s="20" t="n">
        <x:v>45455</x:v>
      </x:c>
      <x:c r="C294" t="str">
        <x:v>SEM-008</x:v>
      </x:c>
      <x:c r="D294" t="str">
        <x:v>S04</x:v>
      </x:c>
      <x:c r="E294" t="str">
        <x:v>PM-BRG-B</x:v>
      </x:c>
      <x:c r="F294" t="str">
        <x:v>精密金屬加工件</x:v>
      </x:c>
      <x:c r="G294" t="n">
        <x:v>300</x:v>
      </x:c>
      <x:c r="H294" t="n">
        <x:v>8190.55</x:v>
      </x:c>
      <x:c r="I294" t="n">
        <x:v>5460.01</x:v>
      </x:c>
      <x:c r="J294" s="22" t="n">
        <x:v>0.3333768794525398</x:v>
      </x:c>
      <x:c r="K294" s="22" t="n">
        <x:v>0.0399</x:v>
      </x:c>
      <x:c r="L294" t="n">
        <x:v>20</x:v>
      </x:c>
      <x:c r="M294" t="str">
        <x:v>成交</x:v>
      </x:c>
      <x:c r="N294" s="20" t="n">
        <x:v>45465</x:v>
      </x:c>
      <x:c r="O294"/>
    </x:row>
    <x:row r="295" ht="20" customHeight="1">
      <x:c r="A295" t="str">
        <x:v>Q00294</x:v>
      </x:c>
      <x:c r="B295" s="20" t="n">
        <x:v>45478</x:v>
      </x:c>
      <x:c r="C295" t="str">
        <x:v>EMS-003</x:v>
      </x:c>
      <x:c r="D295" t="str">
        <x:v>S05</x:v>
      </x:c>
      <x:c r="E295" t="str">
        <x:v>AUTO-FL-B</x:v>
      </x:c>
      <x:c r="F295" t="str">
        <x:v>汽車精密零組件</x:v>
      </x:c>
      <x:c r="G295" t="n">
        <x:v>5000</x:v>
      </x:c>
      <x:c r="H295" t="n">
        <x:v>1577.99</x:v>
      </x:c>
      <x:c r="I295" t="n">
        <x:v>1203.01</x:v>
      </x:c>
      <x:c r="J295" s="22" t="n">
        <x:v>0.2376314171826184</x:v>
      </x:c>
      <x:c r="K295" s="22" t="n">
        <x:v>0.0394</x:v>
      </x:c>
      <x:c r="L295" t="n">
        <x:v>18</x:v>
      </x:c>
      <x:c r="M295" t="str">
        <x:v>成交</x:v>
      </x:c>
      <x:c r="N295" s="20" t="n">
        <x:v>45485</x:v>
      </x:c>
      <x:c r="O295"/>
    </x:row>
    <x:row r="296" ht="20" customHeight="1">
      <x:c r="A296" t="str">
        <x:v>Q00295</x:v>
      </x:c>
      <x:c r="B296" s="20" t="n">
        <x:v>45481</x:v>
      </x:c>
      <x:c r="C296" t="str">
        <x:v>AUT-007</x:v>
      </x:c>
      <x:c r="D296" t="str">
        <x:v>S04</x:v>
      </x:c>
      <x:c r="E296" t="str">
        <x:v>PM-BRG-B</x:v>
      </x:c>
      <x:c r="F296" t="str">
        <x:v>精密金屬加工件</x:v>
      </x:c>
      <x:c r="G296" t="n">
        <x:v>800</x:v>
      </x:c>
      <x:c r="H296" t="n">
        <x:v>7881.52</x:v>
      </x:c>
      <x:c r="I296" t="n">
        <x:v>5368.72</x:v>
      </x:c>
      <x:c r="J296" s="22" t="n">
        <x:v>0.31882175011926633</x:v>
      </x:c>
      <x:c r="K296" s="22" t="n">
        <x:v>0.0756</x:v>
      </x:c>
      <x:c r="L296" t="n">
        <x:v>20</x:v>
      </x:c>
      <x:c r="M296" t="str">
        <x:v>成交</x:v>
      </x:c>
      <x:c r="N296" s="20" t="n">
        <x:v>45489</x:v>
      </x:c>
      <x:c r="O296"/>
    </x:row>
    <x:row r="297" ht="20" customHeight="1">
      <x:c r="A297" t="str">
        <x:v>Q00296</x:v>
      </x:c>
      <x:c r="B297" s="20" t="n">
        <x:v>45474</x:v>
      </x:c>
      <x:c r="C297" t="str">
        <x:v>AFT-002</x:v>
      </x:c>
      <x:c r="D297" t="str">
        <x:v>S04</x:v>
      </x:c>
      <x:c r="E297" t="str">
        <x:v>AUTO-LG-A</x:v>
      </x:c>
      <x:c r="F297" t="str">
        <x:v>汽車精密零組件</x:v>
      </x:c>
      <x:c r="G297" t="n">
        <x:v>3000</x:v>
      </x:c>
      <x:c r="H297" t="n">
        <x:v>1099.76</x:v>
      </x:c>
      <x:c r="I297" t="n">
        <x:v>846.83</x:v>
      </x:c>
      <x:c r="J297" s="22" t="n">
        <x:v>0.2299865425183676</x:v>
      </x:c>
      <x:c r="K297" s="22" t="n">
        <x:v>0.0568</x:v>
      </x:c>
      <x:c r="L297" t="n">
        <x:v>17</x:v>
      </x:c>
      <x:c r="M297" t="str">
        <x:v>成交</x:v>
      </x:c>
      <x:c r="N297" s="20" t="n">
        <x:v>45477</x:v>
      </x:c>
      <x:c r="O297"/>
    </x:row>
    <x:row r="298" ht="20" customHeight="1">
      <x:c r="A298" t="str">
        <x:v>Q00297</x:v>
      </x:c>
      <x:c r="B298" s="20" t="n">
        <x:v>45486</x:v>
      </x:c>
      <x:c r="C298" t="str">
        <x:v>AUT-004</x:v>
      </x:c>
      <x:c r="D298" t="str">
        <x:v>S03</x:v>
      </x:c>
      <x:c r="E298" t="str">
        <x:v>AUTO-MH-A</x:v>
      </x:c>
      <x:c r="F298" t="str">
        <x:v>汽車精密零組件</x:v>
      </x:c>
      <x:c r="G298" t="n">
        <x:v>3000</x:v>
      </x:c>
      <x:c r="H298" t="n">
        <x:v>2546.8</x:v>
      </x:c>
      <x:c r="I298" t="n">
        <x:v>1986.48</x:v>
      </x:c>
      <x:c r="J298" s="22" t="n">
        <x:v>0.220009423590388</x:v>
      </x:c>
      <x:c r="K298" s="22" t="n">
        <x:v>0.0368</x:v>
      </x:c>
      <x:c r="L298" t="n">
        <x:v>17</x:v>
      </x:c>
      <x:c r="M298" t="str">
        <x:v>未成交</x:v>
      </x:c>
      <x:c r="N298" s="20" t="n">
        <x:v>45489</x:v>
      </x:c>
      <x:c r="O298" t="str">
        <x:v>交期</x:v>
      </x:c>
    </x:row>
    <x:row r="299" ht="20" customHeight="1">
      <x:c r="A299" t="str">
        <x:v>Q00298</x:v>
      </x:c>
      <x:c r="B299" s="20" t="n">
        <x:v>45500</x:v>
      </x:c>
      <x:c r="C299" t="str">
        <x:v>AUT-005</x:v>
      </x:c>
      <x:c r="D299" t="str">
        <x:v>S04</x:v>
      </x:c>
      <x:c r="E299" t="str">
        <x:v>AUTO-BRK-B</x:v>
      </x:c>
      <x:c r="F299" t="str">
        <x:v>汽車精密零組件</x:v>
      </x:c>
      <x:c r="G299" t="n">
        <x:v>3000</x:v>
      </x:c>
      <x:c r="H299" t="n">
        <x:v>2037.17</x:v>
      </x:c>
      <x:c r="I299" t="n">
        <x:v>1659.41</x:v>
      </x:c>
      <x:c r="J299" s="22" t="n">
        <x:v>0.18543371441754983</x:v>
      </x:c>
      <x:c r="K299" s="22" t="n">
        <x:v>0.094</x:v>
      </x:c>
      <x:c r="L299" t="n">
        <x:v>21</x:v>
      </x:c>
      <x:c r="M299" t="str">
        <x:v>未成交</x:v>
      </x:c>
      <x:c r="N299" s="20" t="n">
        <x:v>45506</x:v>
      </x:c>
      <x:c r="O299" t="str">
        <x:v>專案取消</x:v>
      </x:c>
    </x:row>
    <x:row r="300" ht="20" customHeight="1">
      <x:c r="A300" t="str">
        <x:v>Q00299</x:v>
      </x:c>
      <x:c r="B300" s="20" t="n">
        <x:v>45503</x:v>
      </x:c>
      <x:c r="C300" t="str">
        <x:v>EMS-003</x:v>
      </x:c>
      <x:c r="D300" t="str">
        <x:v>S05</x:v>
      </x:c>
      <x:c r="E300" t="str">
        <x:v>SEMI-WH-B</x:v>
      </x:c>
      <x:c r="F300" t="str">
        <x:v>半導體設備零組件</x:v>
      </x:c>
      <x:c r="G300" t="n">
        <x:v>120</x:v>
      </x:c>
      <x:c r="H300" t="n">
        <x:v>171300.54</x:v>
      </x:c>
      <x:c r="I300" t="n">
        <x:v>127274.66</x:v>
      </x:c>
      <x:c r="J300" s="22" t="n">
        <x:v>0.2570095809388575</x:v>
      </x:c>
      <x:c r="K300" s="22" t="n">
        <x:v>0.0379</x:v>
      </x:c>
      <x:c r="L300" t="n">
        <x:v>61</x:v>
      </x:c>
      <x:c r="M300" t="str">
        <x:v>未成交</x:v>
      </x:c>
      <x:c r="N300" s="20" t="n">
        <x:v>45510</x:v>
      </x:c>
      <x:c r="O300" t="str">
        <x:v>價格</x:v>
      </x:c>
    </x:row>
    <x:row r="301" ht="20" customHeight="1">
      <x:c r="A301" t="str">
        <x:v>Q00300</x:v>
      </x:c>
      <x:c r="B301" s="20" t="n">
        <x:v>45477</x:v>
      </x:c>
      <x:c r="C301" t="str">
        <x:v>AFT-008</x:v>
      </x:c>
      <x:c r="D301" t="str">
        <x:v>S04</x:v>
      </x:c>
      <x:c r="E301" t="str">
        <x:v>AUTO-MH-B</x:v>
      </x:c>
      <x:c r="F301" t="str">
        <x:v>汽車精密零組件</x:v>
      </x:c>
      <x:c r="G301" t="n">
        <x:v>10000</x:v>
      </x:c>
      <x:c r="H301" t="n">
        <x:v>3019.36</x:v>
      </x:c>
      <x:c r="I301" t="n">
        <x:v>2272.01</x:v>
      </x:c>
      <x:c r="J301" s="22" t="n">
        <x:v>0.24751934184727886</x:v>
      </x:c>
      <x:c r="K301" s="22" t="n">
        <x:v>0.0301</x:v>
      </x:c>
      <x:c r="L301" t="n">
        <x:v>17</x:v>
      </x:c>
      <x:c r="M301" t="str">
        <x:v>未成交</x:v>
      </x:c>
      <x:c r="N301" s="20" t="n">
        <x:v>45481</x:v>
      </x:c>
      <x:c r="O301" t="str">
        <x:v>專案取消</x:v>
      </x:c>
    </x:row>
    <x:row r="302" ht="20" customHeight="1">
      <x:c r="A302" t="str">
        <x:v>Q00301</x:v>
      </x:c>
      <x:c r="B302" s="20" t="n">
        <x:v>45487</x:v>
      </x:c>
      <x:c r="C302" t="str">
        <x:v>AFT-006</x:v>
      </x:c>
      <x:c r="D302" t="str">
        <x:v>S01</x:v>
      </x:c>
      <x:c r="E302" t="str">
        <x:v>AUTO-LG-A</x:v>
      </x:c>
      <x:c r="F302" t="str">
        <x:v>汽車精密零組件</x:v>
      </x:c>
      <x:c r="G302" t="n">
        <x:v>10000</x:v>
      </x:c>
      <x:c r="H302" t="n">
        <x:v>1088.22</x:v>
      </x:c>
      <x:c r="I302" t="n">
        <x:v>846.08</x:v>
      </x:c>
      <x:c r="J302" s="22" t="n">
        <x:v>0.22251015419676168</x:v>
      </x:c>
      <x:c r="K302" s="22" t="n">
        <x:v>0.0744</x:v>
      </x:c>
      <x:c r="L302" t="n">
        <x:v>14</x:v>
      </x:c>
      <x:c r="M302" t="str">
        <x:v>未成交</x:v>
      </x:c>
      <x:c r="N302" s="20" t="n">
        <x:v>45495</x:v>
      </x:c>
      <x:c r="O302" t="str">
        <x:v>價格</x:v>
      </x:c>
    </x:row>
    <x:row r="303" ht="20" customHeight="1">
      <x:c r="A303" t="str">
        <x:v>Q00302</x:v>
      </x:c>
      <x:c r="B303" s="20" t="n">
        <x:v>45487</x:v>
      </x:c>
      <x:c r="C303" t="str">
        <x:v>AUT-013</x:v>
      </x:c>
      <x:c r="D303" t="str">
        <x:v>S01</x:v>
      </x:c>
      <x:c r="E303" t="str">
        <x:v>AUTO-BRK-A</x:v>
      </x:c>
      <x:c r="F303" t="str">
        <x:v>汽車精密零組件</x:v>
      </x:c>
      <x:c r="G303" t="n">
        <x:v>13000</x:v>
      </x:c>
      <x:c r="H303" t="n">
        <x:v>1801.56</x:v>
      </x:c>
      <x:c r="I303" t="n">
        <x:v>1397.74</x:v>
      </x:c>
      <x:c r="J303" s="22" t="n">
        <x:v>0.22415018095428405</x:v>
      </x:c>
      <x:c r="K303" s="22" t="n">
        <x:v>0.0318</x:v>
      </x:c>
      <x:c r="L303" t="n">
        <x:v>14</x:v>
      </x:c>
      <x:c r="M303" t="str">
        <x:v>成交</x:v>
      </x:c>
      <x:c r="N303" s="20" t="n">
        <x:v>45493</x:v>
      </x:c>
      <x:c r="O303"/>
    </x:row>
    <x:row r="304" ht="20" customHeight="1">
      <x:c r="A304" t="str">
        <x:v>Q00303</x:v>
      </x:c>
      <x:c r="B304" s="20" t="n">
        <x:v>45493</x:v>
      </x:c>
      <x:c r="C304" t="str">
        <x:v>SEM-005</x:v>
      </x:c>
      <x:c r="D304" t="str">
        <x:v>S06</x:v>
      </x:c>
      <x:c r="E304" t="str">
        <x:v>MECH-CON-A</x:v>
      </x:c>
      <x:c r="F304" t="str">
        <x:v>機電／自動化模組</x:v>
      </x:c>
      <x:c r="G304" t="n">
        <x:v>20</x:v>
      </x:c>
      <x:c r="H304" t="n">
        <x:v>112967.51</x:v>
      </x:c>
      <x:c r="I304" t="n">
        <x:v>81893.35</x:v>
      </x:c>
      <x:c r="J304" s="22" t="n">
        <x:v>0.2750716555583104</x:v>
      </x:c>
      <x:c r="K304" s="22" t="n">
        <x:v>0.0358</x:v>
      </x:c>
      <x:c r="L304" t="n">
        <x:v>37</x:v>
      </x:c>
      <x:c r="M304" t="str">
        <x:v>未成交</x:v>
      </x:c>
      <x:c r="N304" s="20" t="n">
        <x:v>45502</x:v>
      </x:c>
      <x:c r="O304" t="str">
        <x:v>競品</x:v>
      </x:c>
    </x:row>
    <x:row r="305" ht="20" customHeight="1">
      <x:c r="A305" t="str">
        <x:v>Q00304</x:v>
      </x:c>
      <x:c r="B305" s="20" t="n">
        <x:v>45487</x:v>
      </x:c>
      <x:c r="C305" t="str">
        <x:v>IAT-008</x:v>
      </x:c>
      <x:c r="D305" t="str">
        <x:v>S01</x:v>
      </x:c>
      <x:c r="E305" t="str">
        <x:v>MECH-STG-A</x:v>
      </x:c>
      <x:c r="F305" t="str">
        <x:v>機電／自動化模組</x:v>
      </x:c>
      <x:c r="G305" t="n">
        <x:v>10</x:v>
      </x:c>
      <x:c r="H305" t="n">
        <x:v>138032.09</x:v>
      </x:c>
      <x:c r="I305" t="n">
        <x:v>108073.44</x:v>
      </x:c>
      <x:c r="J305" s="22" t="n">
        <x:v>0.2170411967246167</x:v>
      </x:c>
      <x:c r="K305" s="22" t="n">
        <x:v>0.0451</x:v>
      </x:c>
      <x:c r="L305" t="n">
        <x:v>44</x:v>
      </x:c>
      <x:c r="M305" t="str">
        <x:v>成交</x:v>
      </x:c>
      <x:c r="N305" s="20" t="n">
        <x:v>45495</x:v>
      </x:c>
      <x:c r="O305"/>
    </x:row>
    <x:row r="306" ht="20" customHeight="1">
      <x:c r="A306" t="str">
        <x:v>Q00305</x:v>
      </x:c>
      <x:c r="B306" s="20" t="n">
        <x:v>45486</x:v>
      </x:c>
      <x:c r="C306" t="str">
        <x:v>EMS-007</x:v>
      </x:c>
      <x:c r="D306" t="str">
        <x:v>S04</x:v>
      </x:c>
      <x:c r="E306" t="str">
        <x:v>MECH-STG-B</x:v>
      </x:c>
      <x:c r="F306" t="str">
        <x:v>機電／自動化模組</x:v>
      </x:c>
      <x:c r="G306" t="n">
        <x:v>50</x:v>
      </x:c>
      <x:c r="H306" t="n">
        <x:v>203535.63</x:v>
      </x:c>
      <x:c r="I306" t="n">
        <x:v>151463.52</x:v>
      </x:c>
      <x:c r="J306" s="22" t="n">
        <x:v>0.2558378108049191</x:v>
      </x:c>
      <x:c r="K306" s="22" t="n">
        <x:v>0.0213</x:v>
      </x:c>
      <x:c r="L306" t="n">
        <x:v>45</x:v>
      </x:c>
      <x:c r="M306" t="str">
        <x:v>成交</x:v>
      </x:c>
      <x:c r="N306" s="20" t="n">
        <x:v>45498</x:v>
      </x:c>
      <x:c r="O306"/>
    </x:row>
    <x:row r="307" ht="20" customHeight="1">
      <x:c r="A307" t="str">
        <x:v>Q00306</x:v>
      </x:c>
      <x:c r="B307" s="20" t="n">
        <x:v>45504</x:v>
      </x:c>
      <x:c r="C307" t="str">
        <x:v>IAT-010</x:v>
      </x:c>
      <x:c r="D307" t="str">
        <x:v>S04</x:v>
      </x:c>
      <x:c r="E307" t="str">
        <x:v>SEMI-WH-A</x:v>
      </x:c>
      <x:c r="F307" t="str">
        <x:v>半導體設備零組件</x:v>
      </x:c>
      <x:c r="G307" t="n">
        <x:v>160</x:v>
      </x:c>
      <x:c r="H307" t="n">
        <x:v>112624.75</x:v>
      </x:c>
      <x:c r="I307" t="n">
        <x:v>89784.48</x:v>
      </x:c>
      <x:c r="J307" s="22" t="n">
        <x:v>0.20279973984403965</x:v>
      </x:c>
      <x:c r="K307" s="22" t="n">
        <x:v>0.0594</x:v>
      </x:c>
      <x:c r="L307" t="n">
        <x:v>41</x:v>
      </x:c>
      <x:c r="M307" t="str">
        <x:v>成交</x:v>
      </x:c>
      <x:c r="N307" s="20" t="n">
        <x:v>45513</x:v>
      </x:c>
      <x:c r="O307"/>
    </x:row>
    <x:row r="308" ht="20" customHeight="1">
      <x:c r="A308" t="str">
        <x:v>Q00307</x:v>
      </x:c>
      <x:c r="B308" s="20" t="n">
        <x:v>45481</x:v>
      </x:c>
      <x:c r="C308" t="str">
        <x:v>AUT-010</x:v>
      </x:c>
      <x:c r="D308" t="str">
        <x:v>S05</x:v>
      </x:c>
      <x:c r="E308" t="str">
        <x:v>AUTO-LG-A</x:v>
      </x:c>
      <x:c r="F308" t="str">
        <x:v>汽車精密零組件</x:v>
      </x:c>
      <x:c r="G308" t="n">
        <x:v>7000</x:v>
      </x:c>
      <x:c r="H308" t="n">
        <x:v>1078.38</x:v>
      </x:c>
      <x:c r="I308" t="n">
        <x:v>850.27</x:v>
      </x:c>
      <x:c r="J308" s="22" t="n">
        <x:v>0.2115302583504888</x:v>
      </x:c>
      <x:c r="K308" s="22" t="n">
        <x:v>0.073</x:v>
      </x:c>
      <x:c r="L308" t="n">
        <x:v>16</x:v>
      </x:c>
      <x:c r="M308" t="str">
        <x:v>成交</x:v>
      </x:c>
      <x:c r="N308" s="20" t="n">
        <x:v>45491</x:v>
      </x:c>
      <x:c r="O308"/>
    </x:row>
    <x:row r="309" ht="20" customHeight="1">
      <x:c r="A309" t="str">
        <x:v>Q00308</x:v>
      </x:c>
      <x:c r="B309" s="20" t="n">
        <x:v>45494</x:v>
      </x:c>
      <x:c r="C309" t="str">
        <x:v>AUT-013</x:v>
      </x:c>
      <x:c r="D309" t="str">
        <x:v>S01</x:v>
      </x:c>
      <x:c r="E309" t="str">
        <x:v>AUTO-FL-A</x:v>
      </x:c>
      <x:c r="F309" t="str">
        <x:v>汽車精密零組件</x:v>
      </x:c>
      <x:c r="G309" t="n">
        <x:v>3000</x:v>
      </x:c>
      <x:c r="H309" t="n">
        <x:v>1241.17</x:v>
      </x:c>
      <x:c r="I309" t="n">
        <x:v>958.77</x:v>
      </x:c>
      <x:c r="J309" s="22" t="n">
        <x:v>0.22752725251174302</x:v>
      </x:c>
      <x:c r="K309" s="22" t="n">
        <x:v>0.105</x:v>
      </x:c>
      <x:c r="L309" t="n">
        <x:v>13</x:v>
      </x:c>
      <x:c r="M309" t="str">
        <x:v>未成交</x:v>
      </x:c>
      <x:c r="N309" s="20" t="n">
        <x:v>45503</x:v>
      </x:c>
      <x:c r="O309" t="str">
        <x:v>規格</x:v>
      </x:c>
    </x:row>
    <x:row r="310" ht="20" customHeight="1">
      <x:c r="A310" t="str">
        <x:v>Q00309</x:v>
      </x:c>
      <x:c r="B310" s="20" t="n">
        <x:v>45489</x:v>
      </x:c>
      <x:c r="C310" t="str">
        <x:v>IAT-004</x:v>
      </x:c>
      <x:c r="D310" t="str">
        <x:v>S05</x:v>
      </x:c>
      <x:c r="E310" t="str">
        <x:v>AUTO-BRK-B</x:v>
      </x:c>
      <x:c r="F310" t="str">
        <x:v>汽車精密零組件</x:v>
      </x:c>
      <x:c r="G310" t="n">
        <x:v>7000</x:v>
      </x:c>
      <x:c r="H310" t="n">
        <x:v>1956.06</x:v>
      </x:c>
      <x:c r="I310" t="n">
        <x:v>1619.33</x:v>
      </x:c>
      <x:c r="J310" s="22" t="n">
        <x:v>0.17214707115323663</x:v>
      </x:c>
      <x:c r="K310" s="22" t="n">
        <x:v>0.1376</x:v>
      </x:c>
      <x:c r="L310" t="n">
        <x:v>16</x:v>
      </x:c>
      <x:c r="M310" t="str">
        <x:v>成交</x:v>
      </x:c>
      <x:c r="N310" s="20" t="n">
        <x:v>45501</x:v>
      </x:c>
      <x:c r="O310"/>
    </x:row>
    <x:row r="311" ht="20" customHeight="1">
      <x:c r="A311" t="str">
        <x:v>Q00310</x:v>
      </x:c>
      <x:c r="B311" s="20" t="n">
        <x:v>45496</x:v>
      </x:c>
      <x:c r="C311" t="str">
        <x:v>EMS-001</x:v>
      </x:c>
      <x:c r="D311" t="str">
        <x:v>S02</x:v>
      </x:c>
      <x:c r="E311" t="str">
        <x:v>AUTO-KN-A</x:v>
      </x:c>
      <x:c r="F311" t="str">
        <x:v>汽車精密零組件</x:v>
      </x:c>
      <x:c r="G311" t="n">
        <x:v>5000</x:v>
      </x:c>
      <x:c r="H311" t="n">
        <x:v>3210.49</x:v>
      </x:c>
      <x:c r="I311" t="n">
        <x:v>2262.6</x:v>
      </x:c>
      <x:c r="J311" s="22" t="n">
        <x:v>0.29524776591735213</x:v>
      </x:c>
      <x:c r="K311" s="22" t="n">
        <x:v>0.0602</x:v>
      </x:c>
      <x:c r="L311" t="n">
        <x:v>20</x:v>
      </x:c>
      <x:c r="M311" t="str">
        <x:v>成交</x:v>
      </x:c>
      <x:c r="N311" s="20" t="n">
        <x:v>45504</x:v>
      </x:c>
      <x:c r="O311"/>
    </x:row>
    <x:row r="312" ht="20" customHeight="1">
      <x:c r="A312" t="str">
        <x:v>Q00311</x:v>
      </x:c>
      <x:c r="B312" s="20" t="n">
        <x:v>45487</x:v>
      </x:c>
      <x:c r="C312" t="str">
        <x:v>SEM-007</x:v>
      </x:c>
      <x:c r="D312" t="str">
        <x:v>S03</x:v>
      </x:c>
      <x:c r="E312" t="str">
        <x:v>PM-ALB-A</x:v>
      </x:c>
      <x:c r="F312" t="str">
        <x:v>精密金屬加工件</x:v>
      </x:c>
      <x:c r="G312" t="n">
        <x:v>1200</x:v>
      </x:c>
      <x:c r="H312" t="n">
        <x:v>11507.02</x:v>
      </x:c>
      <x:c r="I312" t="n">
        <x:v>7887.37</x:v>
      </x:c>
      <x:c r="J312" s="22" t="n">
        <x:v>0.31456015545293226</x:v>
      </x:c>
      <x:c r="K312" s="22" t="n">
        <x:v>0.0413</x:v>
      </x:c>
      <x:c r="L312" t="n">
        <x:v>22</x:v>
      </x:c>
      <x:c r="M312" t="str">
        <x:v>成交</x:v>
      </x:c>
      <x:c r="N312" s="20" t="n">
        <x:v>45490</x:v>
      </x:c>
      <x:c r="O312"/>
    </x:row>
    <x:row r="313" ht="20" customHeight="1">
      <x:c r="A313" t="str">
        <x:v>Q00312</x:v>
      </x:c>
      <x:c r="B313" s="20" t="n">
        <x:v>45479</x:v>
      </x:c>
      <x:c r="C313" t="str">
        <x:v>AUT-003</x:v>
      </x:c>
      <x:c r="D313" t="str">
        <x:v>S03</x:v>
      </x:c>
      <x:c r="E313" t="str">
        <x:v>MECH-CON-A</x:v>
      </x:c>
      <x:c r="F313" t="str">
        <x:v>機電／自動化模組</x:v>
      </x:c>
      <x:c r="G313" t="n">
        <x:v>30</x:v>
      </x:c>
      <x:c r="H313" t="n">
        <x:v>115322.24</x:v>
      </x:c>
      <x:c r="I313" t="n">
        <x:v>84253.7</x:v>
      </x:c>
      <x:c r="J313" s="22" t="n">
        <x:v>0.2694063174631364</x:v>
      </x:c>
      <x:c r="K313" s="22" t="n">
        <x:v>0.0278</x:v>
      </x:c>
      <x:c r="L313" t="n">
        <x:v>28</x:v>
      </x:c>
      <x:c r="M313" t="str">
        <x:v>未成交</x:v>
      </x:c>
      <x:c r="N313" s="20" t="n">
        <x:v>45486</x:v>
      </x:c>
      <x:c r="O313" t="str">
        <x:v>交期</x:v>
      </x:c>
    </x:row>
    <x:row r="314" ht="20" customHeight="1">
      <x:c r="A314" t="str">
        <x:v>Q00313</x:v>
      </x:c>
      <x:c r="B314" s="20" t="n">
        <x:v>45478</x:v>
      </x:c>
      <x:c r="C314" t="str">
        <x:v>IAT-001</x:v>
      </x:c>
      <x:c r="D314" t="str">
        <x:v>S05</x:v>
      </x:c>
      <x:c r="E314" t="str">
        <x:v>AUTO-FL-B</x:v>
      </x:c>
      <x:c r="F314" t="str">
        <x:v>汽車精密零組件</x:v>
      </x:c>
      <x:c r="G314" t="n">
        <x:v>7000</x:v>
      </x:c>
      <x:c r="H314" t="n">
        <x:v>1443.56</x:v>
      </x:c>
      <x:c r="I314" t="n">
        <x:v>1180.07</x:v>
      </x:c>
      <x:c r="J314" s="22" t="n">
        <x:v>0.18252791709385133</x:v>
      </x:c>
      <x:c r="K314" s="22" t="n">
        <x:v>0.1153</x:v>
      </x:c>
      <x:c r="L314" t="n">
        <x:v>19</x:v>
      </x:c>
      <x:c r="M314" t="str">
        <x:v>成交</x:v>
      </x:c>
      <x:c r="N314" s="20" t="n">
        <x:v>45489</x:v>
      </x:c>
      <x:c r="O314"/>
    </x:row>
    <x:row r="315" ht="20" customHeight="1">
      <x:c r="A315" t="str">
        <x:v>Q00314</x:v>
      </x:c>
      <x:c r="B315" s="20" t="n">
        <x:v>45487</x:v>
      </x:c>
      <x:c r="C315" t="str">
        <x:v>EMS-007</x:v>
      </x:c>
      <x:c r="D315" t="str">
        <x:v>S04</x:v>
      </x:c>
      <x:c r="E315" t="str">
        <x:v>PM-ALB-B</x:v>
      </x:c>
      <x:c r="F315" t="str">
        <x:v>精密金屬加工件</x:v>
      </x:c>
      <x:c r="G315" t="n">
        <x:v>800</x:v>
      </x:c>
      <x:c r="H315" t="n">
        <x:v>15677.74</x:v>
      </x:c>
      <x:c r="I315" t="n">
        <x:v>12132.67</x:v>
      </x:c>
      <x:c r="J315" s="22" t="n">
        <x:v>0.22612123941333379</x:v>
      </x:c>
      <x:c r="K315" s="22" t="n">
        <x:v>0.0601</x:v>
      </x:c>
      <x:c r="L315" t="n">
        <x:v>28</x:v>
      </x:c>
      <x:c r="M315" t="str">
        <x:v>未成交</x:v>
      </x:c>
      <x:c r="N315" s="20" t="n">
        <x:v>45497</x:v>
      </x:c>
      <x:c r="O315" t="str">
        <x:v>價格</x:v>
      </x:c>
    </x:row>
    <x:row r="316" ht="20" customHeight="1">
      <x:c r="A316" t="str">
        <x:v>Q00315</x:v>
      </x:c>
      <x:c r="B316" s="20" t="n">
        <x:v>45474</x:v>
      </x:c>
      <x:c r="C316" t="str">
        <x:v>IAT-004</x:v>
      </x:c>
      <x:c r="D316" t="str">
        <x:v>S05</x:v>
      </x:c>
      <x:c r="E316" t="str">
        <x:v>PM-BRG-A</x:v>
      </x:c>
      <x:c r="F316" t="str">
        <x:v>精密金屬加工件</x:v>
      </x:c>
      <x:c r="G316" t="n">
        <x:v>1600</x:v>
      </x:c>
      <x:c r="H316" t="n">
        <x:v>7245.93</x:v>
      </x:c>
      <x:c r="I316" t="n">
        <x:v>4339.94</x:v>
      </x:c>
      <x:c r="J316" s="22" t="n">
        <x:v>0.4010513488261687</x:v>
      </x:c>
      <x:c r="K316" s="22" t="n">
        <x:v>0.01</x:v>
      </x:c>
      <x:c r="L316" t="n">
        <x:v>18</x:v>
      </x:c>
      <x:c r="M316" t="str">
        <x:v>成交</x:v>
      </x:c>
      <x:c r="N316" s="20" t="n">
        <x:v>45486</x:v>
      </x:c>
      <x:c r="O316"/>
    </x:row>
    <x:row r="317" ht="20" customHeight="1">
      <x:c r="A317" t="str">
        <x:v>Q00316</x:v>
      </x:c>
      <x:c r="B317" s="20" t="n">
        <x:v>45504</x:v>
      </x:c>
      <x:c r="C317" t="str">
        <x:v>SEM-009</x:v>
      </x:c>
      <x:c r="D317" t="str">
        <x:v>S02</x:v>
      </x:c>
      <x:c r="E317" t="str">
        <x:v>PM-VAC-A</x:v>
      </x:c>
      <x:c r="F317" t="str">
        <x:v>精密金屬加工件</x:v>
      </x:c>
      <x:c r="G317" t="n">
        <x:v>1200</x:v>
      </x:c>
      <x:c r="H317" t="n">
        <x:v>15293.47</x:v>
      </x:c>
      <x:c r="I317" t="n">
        <x:v>10517.58</x:v>
      </x:c>
      <x:c r="J317" s="22" t="n">
        <x:v>0.31228295475127615</x:v>
      </x:c>
      <x:c r="K317" s="22" t="n">
        <x:v>0.1056</x:v>
      </x:c>
      <x:c r="L317" t="n">
        <x:v>24</x:v>
      </x:c>
      <x:c r="M317" t="str">
        <x:v>未成交</x:v>
      </x:c>
      <x:c r="N317" s="20" t="n">
        <x:v>45516</x:v>
      </x:c>
      <x:c r="O317" t="str">
        <x:v>競品</x:v>
      </x:c>
    </x:row>
    <x:row r="318" ht="20" customHeight="1">
      <x:c r="A318" t="str">
        <x:v>Q00317</x:v>
      </x:c>
      <x:c r="B318" s="20" t="n">
        <x:v>45503</x:v>
      </x:c>
      <x:c r="C318" t="str">
        <x:v>EMS-004</x:v>
      </x:c>
      <x:c r="D318" t="str">
        <x:v>S03</x:v>
      </x:c>
      <x:c r="E318" t="str">
        <x:v>SEMI-WH-A</x:v>
      </x:c>
      <x:c r="F318" t="str">
        <x:v>半導體設備零組件</x:v>
      </x:c>
      <x:c r="G318" t="n">
        <x:v>120</x:v>
      </x:c>
      <x:c r="H318" t="n">
        <x:v>114376.15</x:v>
      </x:c>
      <x:c r="I318" t="n">
        <x:v>90166.16</x:v>
      </x:c>
      <x:c r="J318" s="22" t="n">
        <x:v>0.2116699154500304</x:v>
      </x:c>
      <x:c r="K318" s="22" t="n">
        <x:v>0.0351</x:v>
      </x:c>
      <x:c r="L318" t="n">
        <x:v>50</x:v>
      </x:c>
      <x:c r="M318" t="str">
        <x:v>成交</x:v>
      </x:c>
      <x:c r="N318" s="20" t="n">
        <x:v>45506</x:v>
      </x:c>
      <x:c r="O318"/>
    </x:row>
    <x:row r="319" ht="20" customHeight="1">
      <x:c r="A319" t="str">
        <x:v>Q00318</x:v>
      </x:c>
      <x:c r="B319" s="20" t="n">
        <x:v>45495</x:v>
      </x:c>
      <x:c r="C319" t="str">
        <x:v>AUT-008</x:v>
      </x:c>
      <x:c r="D319" t="str">
        <x:v>S01</x:v>
      </x:c>
      <x:c r="E319" t="str">
        <x:v>AUTO-FL-B</x:v>
      </x:c>
      <x:c r="F319" t="str">
        <x:v>汽車精密零組件</x:v>
      </x:c>
      <x:c r="G319" t="n">
        <x:v>7000</x:v>
      </x:c>
      <x:c r="H319" t="n">
        <x:v>1532.58</x:v>
      </x:c>
      <x:c r="I319" t="n">
        <x:v>1207.59</x:v>
      </x:c>
      <x:c r="J319" s="22" t="n">
        <x:v>0.21205418314215246</x:v>
      </x:c>
      <x:c r="K319" s="22" t="n">
        <x:v>0.0622</x:v>
      </x:c>
      <x:c r="L319" t="n">
        <x:v>18</x:v>
      </x:c>
      <x:c r="M319" t="str">
        <x:v>成交</x:v>
      </x:c>
      <x:c r="N319" s="20" t="n">
        <x:v>45501</x:v>
      </x:c>
      <x:c r="O319"/>
    </x:row>
    <x:row r="320" ht="20" customHeight="1">
      <x:c r="A320" t="str">
        <x:v>Q00319</x:v>
      </x:c>
      <x:c r="B320" s="20" t="n">
        <x:v>45479</x:v>
      </x:c>
      <x:c r="C320" t="str">
        <x:v>EMS-006</x:v>
      </x:c>
      <x:c r="D320" t="str">
        <x:v>S03</x:v>
      </x:c>
      <x:c r="E320" t="str">
        <x:v>SEMI-CHB-A</x:v>
      </x:c>
      <x:c r="F320" t="str">
        <x:v>半導體設備零組件</x:v>
      </x:c>
      <x:c r="G320" t="n">
        <x:v>160</x:v>
      </x:c>
      <x:c r="H320" t="n">
        <x:v>85345.39</x:v>
      </x:c>
      <x:c r="I320" t="n">
        <x:v>68344.4</x:v>
      </x:c>
      <x:c r="J320" s="22" t="n">
        <x:v>0.19920220646950004</x:v>
      </x:c>
      <x:c r="K320" s="22" t="n">
        <x:v>0.1177</x:v>
      </x:c>
      <x:c r="L320" t="n">
        <x:v>44</x:v>
      </x:c>
      <x:c r="M320" t="str">
        <x:v>未成交</x:v>
      </x:c>
      <x:c r="N320" s="20" t="n">
        <x:v>45482</x:v>
      </x:c>
      <x:c r="O320" t="str">
        <x:v>交期</x:v>
      </x:c>
    </x:row>
    <x:row r="321" ht="20" customHeight="1">
      <x:c r="A321" t="str">
        <x:v>Q00320</x:v>
      </x:c>
      <x:c r="B321" s="20" t="n">
        <x:v>45500</x:v>
      </x:c>
      <x:c r="C321" t="str">
        <x:v>SEM-010</x:v>
      </x:c>
      <x:c r="D321" t="str">
        <x:v>S01</x:v>
      </x:c>
      <x:c r="E321" t="str">
        <x:v>PM-ALB-B</x:v>
      </x:c>
      <x:c r="F321" t="str">
        <x:v>精密金屬加工件</x:v>
      </x:c>
      <x:c r="G321" t="n">
        <x:v>1600</x:v>
      </x:c>
      <x:c r="H321" t="n">
        <x:v>16312.25</x:v>
      </x:c>
      <x:c r="I321" t="n">
        <x:v>12144.28</x:v>
      </x:c>
      <x:c r="J321" s="22" t="n">
        <x:v>0.2555116553510398</x:v>
      </x:c>
      <x:c r="K321" s="22" t="n">
        <x:v>0.0232</x:v>
      </x:c>
      <x:c r="L321" t="n">
        <x:v>33</x:v>
      </x:c>
      <x:c r="M321" t="str">
        <x:v>成交</x:v>
      </x:c>
      <x:c r="N321" s="20" t="n">
        <x:v>45512</x:v>
      </x:c>
      <x:c r="O321"/>
    </x:row>
    <x:row r="322" ht="20" customHeight="1">
      <x:c r="A322" t="str">
        <x:v>Q00321</x:v>
      </x:c>
      <x:c r="B322" s="20" t="n">
        <x:v>45489</x:v>
      </x:c>
      <x:c r="C322" t="str">
        <x:v>AUT-012</x:v>
      </x:c>
      <x:c r="D322" t="str">
        <x:v>S06</x:v>
      </x:c>
      <x:c r="E322" t="str">
        <x:v>MECH-STG-B</x:v>
      </x:c>
      <x:c r="F322" t="str">
        <x:v>機電／自動化模組</x:v>
      </x:c>
      <x:c r="G322" t="n">
        <x:v>10</x:v>
      </x:c>
      <x:c r="H322" t="n">
        <x:v>195881.93</x:v>
      </x:c>
      <x:c r="I322" t="n">
        <x:v>150133.26</x:v>
      </x:c>
      <x:c r="J322" s="22" t="n">
        <x:v>0.2335522730452982</x:v>
      </x:c>
      <x:c r="K322" s="22" t="n">
        <x:v>0.0593</x:v>
      </x:c>
      <x:c r="L322" t="n">
        <x:v>42</x:v>
      </x:c>
      <x:c r="M322" t="str">
        <x:v>成交</x:v>
      </x:c>
      <x:c r="N322" s="20" t="n">
        <x:v>45498</x:v>
      </x:c>
      <x:c r="O322"/>
    </x:row>
    <x:row r="323" ht="20" customHeight="1">
      <x:c r="A323" t="str">
        <x:v>Q00322</x:v>
      </x:c>
      <x:c r="B323" s="20" t="n">
        <x:v>45480</x:v>
      </x:c>
      <x:c r="C323" t="str">
        <x:v>AUT-005</x:v>
      </x:c>
      <x:c r="D323" t="str">
        <x:v>S04</x:v>
      </x:c>
      <x:c r="E323" t="str">
        <x:v>AUTO-BRK-B</x:v>
      </x:c>
      <x:c r="F323" t="str">
        <x:v>汽車精密零組件</x:v>
      </x:c>
      <x:c r="G323" t="n">
        <x:v>10000</x:v>
      </x:c>
      <x:c r="H323" t="n">
        <x:v>2023.16</x:v>
      </x:c>
      <x:c r="I323" t="n">
        <x:v>1711.67</x:v>
      </x:c>
      <x:c r="J323" s="22" t="n">
        <x:v>0.15396211866584947</x:v>
      </x:c>
      <x:c r="K323" s="22" t="n">
        <x:v>0.1098</x:v>
      </x:c>
      <x:c r="L323" t="n">
        <x:v>14</x:v>
      </x:c>
      <x:c r="M323" t="str">
        <x:v>未成交</x:v>
      </x:c>
      <x:c r="N323" s="20" t="n">
        <x:v>45486</x:v>
      </x:c>
      <x:c r="O323" t="str">
        <x:v>專案取消</x:v>
      </x:c>
    </x:row>
    <x:row r="324" ht="20" customHeight="1">
      <x:c r="A324" t="str">
        <x:v>Q00323</x:v>
      </x:c>
      <x:c r="B324" s="20" t="n">
        <x:v>45495</x:v>
      </x:c>
      <x:c r="C324" t="str">
        <x:v>IAT-006</x:v>
      </x:c>
      <x:c r="D324" t="str">
        <x:v>S01</x:v>
      </x:c>
      <x:c r="E324" t="str">
        <x:v>AUTO-BS-A</x:v>
      </x:c>
      <x:c r="F324" t="str">
        <x:v>汽車精密零組件</x:v>
      </x:c>
      <x:c r="G324" t="n">
        <x:v>7000</x:v>
      </x:c>
      <x:c r="H324" t="n">
        <x:v>754.67</x:v>
      </x:c>
      <x:c r="I324" t="n">
        <x:v>567.93</x:v>
      </x:c>
      <x:c r="J324" s="22" t="n">
        <x:v>0.24744590350749338</x:v>
      </x:c>
      <x:c r="K324" s="22" t="n">
        <x:v>0.0711</x:v>
      </x:c>
      <x:c r="L324" t="n">
        <x:v>11</x:v>
      </x:c>
      <x:c r="M324" t="str">
        <x:v>成交</x:v>
      </x:c>
      <x:c r="N324" s="20" t="n">
        <x:v>45499</x:v>
      </x:c>
      <x:c r="O324"/>
    </x:row>
    <x:row r="325" ht="20" customHeight="1">
      <x:c r="A325" t="str">
        <x:v>Q00324</x:v>
      </x:c>
      <x:c r="B325" s="20" t="n">
        <x:v>45493</x:v>
      </x:c>
      <x:c r="C325" t="str">
        <x:v>AUT-004</x:v>
      </x:c>
      <x:c r="D325" t="str">
        <x:v>S03</x:v>
      </x:c>
      <x:c r="E325" t="str">
        <x:v>PM-BRG-A</x:v>
      </x:c>
      <x:c r="F325" t="str">
        <x:v>精密金屬加工件</x:v>
      </x:c>
      <x:c r="G325" t="n">
        <x:v>1600</x:v>
      </x:c>
      <x:c r="H325" t="n">
        <x:v>6148.63</x:v>
      </x:c>
      <x:c r="I325" t="n">
        <x:v>4401.04</x:v>
      </x:c>
      <x:c r="J325" s="22" t="n">
        <x:v>0.28422429061433196</x:v>
      </x:c>
      <x:c r="K325" s="22" t="n">
        <x:v>0.1403</x:v>
      </x:c>
      <x:c r="L325" t="n">
        <x:v>16</x:v>
      </x:c>
      <x:c r="M325" t="str">
        <x:v>未成交</x:v>
      </x:c>
      <x:c r="N325" s="20" t="n">
        <x:v>45505</x:v>
      </x:c>
      <x:c r="O325" t="str">
        <x:v>規格</x:v>
      </x:c>
    </x:row>
    <x:row r="326" ht="20" customHeight="1">
      <x:c r="A326" t="str">
        <x:v>Q00325</x:v>
      </x:c>
      <x:c r="B326" s="20" t="n">
        <x:v>45483</x:v>
      </x:c>
      <x:c r="C326" t="str">
        <x:v>SEM-001</x:v>
      </x:c>
      <x:c r="D326" t="str">
        <x:v>S01</x:v>
      </x:c>
      <x:c r="E326" t="str">
        <x:v>PM-ALB-B</x:v>
      </x:c>
      <x:c r="F326" t="str">
        <x:v>精密金屬加工件</x:v>
      </x:c>
      <x:c r="G326" t="n">
        <x:v>1200</x:v>
      </x:c>
      <x:c r="H326" t="n">
        <x:v>16404.4</x:v>
      </x:c>
      <x:c r="I326" t="n">
        <x:v>11955.98</x:v>
      </x:c>
      <x:c r="J326" s="22" t="n">
        <x:v>0.2711723683889689</x:v>
      </x:c>
      <x:c r="K326" s="22" t="n">
        <x:v>0.0396</x:v>
      </x:c>
      <x:c r="L326" t="n">
        <x:v>33</x:v>
      </x:c>
      <x:c r="M326" t="str">
        <x:v>成交</x:v>
      </x:c>
      <x:c r="N326" s="20" t="n">
        <x:v>45492</x:v>
      </x:c>
      <x:c r="O326"/>
    </x:row>
    <x:row r="327" ht="20" customHeight="1">
      <x:c r="A327" t="str">
        <x:v>Q00326</x:v>
      </x:c>
      <x:c r="B327" s="20" t="n">
        <x:v>45504</x:v>
      </x:c>
      <x:c r="C327" t="str">
        <x:v>AUT-014</x:v>
      </x:c>
      <x:c r="D327" t="str">
        <x:v>S06</x:v>
      </x:c>
      <x:c r="E327" t="str">
        <x:v>PM-BRG-A</x:v>
      </x:c>
      <x:c r="F327" t="str">
        <x:v>精密金屬加工件</x:v>
      </x:c>
      <x:c r="G327" t="n">
        <x:v>500</x:v>
      </x:c>
      <x:c r="H327" t="n">
        <x:v>6182.86</x:v>
      </x:c>
      <x:c r="I327" t="n">
        <x:v>4343.96</x:v>
      </x:c>
      <x:c r="J327" s="22" t="n">
        <x:v>0.2974189937989862</x:v>
      </x:c>
      <x:c r="K327" s="22" t="n">
        <x:v>0.1312</x:v>
      </x:c>
      <x:c r="L327" t="n">
        <x:v>20</x:v>
      </x:c>
      <x:c r="M327" t="str">
        <x:v>成交</x:v>
      </x:c>
      <x:c r="N327" s="20" t="n">
        <x:v>45511</x:v>
      </x:c>
      <x:c r="O327"/>
    </x:row>
    <x:row r="328" ht="20" customHeight="1">
      <x:c r="A328" t="str">
        <x:v>Q00327</x:v>
      </x:c>
      <x:c r="B328" s="20" t="n">
        <x:v>45511</x:v>
      </x:c>
      <x:c r="C328" t="str">
        <x:v>SEM-007</x:v>
      </x:c>
      <x:c r="D328" t="str">
        <x:v>S03</x:v>
      </x:c>
      <x:c r="E328" t="str">
        <x:v>MECH-CON-A</x:v>
      </x:c>
      <x:c r="F328" t="str">
        <x:v>機電／自動化模組</x:v>
      </x:c>
      <x:c r="G328" t="n">
        <x:v>40</x:v>
      </x:c>
      <x:c r="H328" t="n">
        <x:v>117052.87</x:v>
      </x:c>
      <x:c r="I328" t="n">
        <x:v>83319.91</x:v>
      </x:c>
      <x:c r="J328" s="22" t="n">
        <x:v>0.28818567199591083</x:v>
      </x:c>
      <x:c r="K328" s="22" t="n">
        <x:v>0.0152</x:v>
      </x:c>
      <x:c r="L328" t="n">
        <x:v>31</x:v>
      </x:c>
      <x:c r="M328" t="str">
        <x:v>成交</x:v>
      </x:c>
      <x:c r="N328" s="20" t="n">
        <x:v>45519</x:v>
      </x:c>
      <x:c r="O328"/>
    </x:row>
    <x:row r="329" ht="20" customHeight="1">
      <x:c r="A329" t="str">
        <x:v>Q00328</x:v>
      </x:c>
      <x:c r="B329" s="20" t="n">
        <x:v>45529</x:v>
      </x:c>
      <x:c r="C329" t="str">
        <x:v>IAT-010</x:v>
      </x:c>
      <x:c r="D329" t="str">
        <x:v>S04</x:v>
      </x:c>
      <x:c r="E329" t="str">
        <x:v>AUTO-KN-A</x:v>
      </x:c>
      <x:c r="F329" t="str">
        <x:v>汽車精密零組件</x:v>
      </x:c>
      <x:c r="G329" t="n">
        <x:v>10000</x:v>
      </x:c>
      <x:c r="H329" t="n">
        <x:v>3058</x:v>
      </x:c>
      <x:c r="I329" t="n">
        <x:v>2155.44</x:v>
      </x:c>
      <x:c r="J329" s="22" t="n">
        <x:v>0.2951471550032701</x:v>
      </x:c>
      <x:c r="K329" s="22" t="n">
        <x:v>0.0827</x:v>
      </x:c>
      <x:c r="L329" t="n">
        <x:v>20</x:v>
      </x:c>
      <x:c r="M329" t="str">
        <x:v>成交</x:v>
      </x:c>
      <x:c r="N329" s="20" t="n">
        <x:v>45534</x:v>
      </x:c>
      <x:c r="O329"/>
    </x:row>
    <x:row r="330" ht="20" customHeight="1">
      <x:c r="A330" t="str">
        <x:v>Q00329</x:v>
      </x:c>
      <x:c r="B330" s="20" t="n">
        <x:v>45527</x:v>
      </x:c>
      <x:c r="C330" t="str">
        <x:v>IAT-006</x:v>
      </x:c>
      <x:c r="D330" t="str">
        <x:v>S01</x:v>
      </x:c>
      <x:c r="E330" t="str">
        <x:v>AUTO-FL-A</x:v>
      </x:c>
      <x:c r="F330" t="str">
        <x:v>汽車精密零組件</x:v>
      </x:c>
      <x:c r="G330" t="n">
        <x:v>5000</x:v>
      </x:c>
      <x:c r="H330" t="n">
        <x:v>1313.82</x:v>
      </x:c>
      <x:c r="I330" t="n">
        <x:v>951.9</x:v>
      </x:c>
      <x:c r="J330" s="22" t="n">
        <x:v>0.2754715257797872</x:v>
      </x:c>
      <x:c r="K330" s="22" t="n">
        <x:v>0.0511</x:v>
      </x:c>
      <x:c r="L330" t="n">
        <x:v>14</x:v>
      </x:c>
      <x:c r="M330" t="str">
        <x:v>未成交</x:v>
      </x:c>
      <x:c r="N330" s="20" t="n">
        <x:v>45538</x:v>
      </x:c>
      <x:c r="O330" t="str">
        <x:v>價格</x:v>
      </x:c>
    </x:row>
    <x:row r="331" ht="20" customHeight="1">
      <x:c r="A331" t="str">
        <x:v>Q00330</x:v>
      </x:c>
      <x:c r="B331" s="20" t="n">
        <x:v>45517</x:v>
      </x:c>
      <x:c r="C331" t="str">
        <x:v>IAT-003</x:v>
      </x:c>
      <x:c r="D331" t="str">
        <x:v>S04</x:v>
      </x:c>
      <x:c r="E331" t="str">
        <x:v>SEMI-WH-A</x:v>
      </x:c>
      <x:c r="F331" t="str">
        <x:v>半導體設備零組件</x:v>
      </x:c>
      <x:c r="G331" t="n">
        <x:v>40</x:v>
      </x:c>
      <x:c r="H331" t="n">
        <x:v>109287.29</x:v>
      </x:c>
      <x:c r="I331" t="n">
        <x:v>91005.33</x:v>
      </x:c>
      <x:c r="J331" s="22" t="n">
        <x:v>0.16728349655298427</x:v>
      </x:c>
      <x:c r="K331" s="22" t="n">
        <x:v>0.0858</x:v>
      </x:c>
      <x:c r="L331" t="n">
        <x:v>46</x:v>
      </x:c>
      <x:c r="M331" t="str">
        <x:v>未成交</x:v>
      </x:c>
      <x:c r="N331" s="20" t="n">
        <x:v>45528</x:v>
      </x:c>
      <x:c r="O331" t="str">
        <x:v>價格</x:v>
      </x:c>
    </x:row>
    <x:row r="332" ht="20" customHeight="1">
      <x:c r="A332" t="str">
        <x:v>Q00331</x:v>
      </x:c>
      <x:c r="B332" s="20" t="n">
        <x:v>45518</x:v>
      </x:c>
      <x:c r="C332" t="str">
        <x:v>IAT-009</x:v>
      </x:c>
      <x:c r="D332" t="str">
        <x:v>S04</x:v>
      </x:c>
      <x:c r="E332" t="str">
        <x:v>AUTO-BRK-B</x:v>
      </x:c>
      <x:c r="F332" t="str">
        <x:v>汽車精密零組件</x:v>
      </x:c>
      <x:c r="G332" t="n">
        <x:v>5000</x:v>
      </x:c>
      <x:c r="H332" t="n">
        <x:v>2101</x:v>
      </x:c>
      <x:c r="I332" t="n">
        <x:v>1724.88</x:v>
      </x:c>
      <x:c r="J332" s="22" t="n">
        <x:v>0.17901951451689666</x:v>
      </x:c>
      <x:c r="K332" s="22" t="n">
        <x:v>0.0545</x:v>
      </x:c>
      <x:c r="L332" t="n">
        <x:v>20</x:v>
      </x:c>
      <x:c r="M332" t="str">
        <x:v>成交</x:v>
      </x:c>
      <x:c r="N332" s="20" t="n">
        <x:v>45523</x:v>
      </x:c>
      <x:c r="O332"/>
    </x:row>
    <x:row r="333" ht="20" customHeight="1">
      <x:c r="A333" t="str">
        <x:v>Q00332</x:v>
      </x:c>
      <x:c r="B333" s="20" t="n">
        <x:v>45528</x:v>
      </x:c>
      <x:c r="C333" t="str">
        <x:v>AUT-004</x:v>
      </x:c>
      <x:c r="D333" t="str">
        <x:v>S03</x:v>
      </x:c>
      <x:c r="E333" t="str">
        <x:v>PM-ALB-A</x:v>
      </x:c>
      <x:c r="F333" t="str">
        <x:v>精密金屬加工件</x:v>
      </x:c>
      <x:c r="G333" t="n">
        <x:v>300</x:v>
      </x:c>
      <x:c r="H333" t="n">
        <x:v>10996.65</x:v>
      </x:c>
      <x:c r="I333" t="n">
        <x:v>8254.31</x:v>
      </x:c>
      <x:c r="J333" s="22" t="n">
        <x:v>0.24937958378233374</x:v>
      </x:c>
      <x:c r="K333" s="22" t="n">
        <x:v>0.0718</x:v>
      </x:c>
      <x:c r="L333" t="n">
        <x:v>26</x:v>
      </x:c>
      <x:c r="M333" t="str">
        <x:v>成交</x:v>
      </x:c>
      <x:c r="N333" s="20" t="n">
        <x:v>45539</x:v>
      </x:c>
      <x:c r="O333"/>
    </x:row>
    <x:row r="334" ht="20" customHeight="1">
      <x:c r="A334" t="str">
        <x:v>Q00333</x:v>
      </x:c>
      <x:c r="B334" s="20" t="n">
        <x:v>45523</x:v>
      </x:c>
      <x:c r="C334" t="str">
        <x:v>AUT-006</x:v>
      </x:c>
      <x:c r="D334" t="str">
        <x:v>S03</x:v>
      </x:c>
      <x:c r="E334" t="str">
        <x:v>PM-BRG-A</x:v>
      </x:c>
      <x:c r="F334" t="str">
        <x:v>精密金屬加工件</x:v>
      </x:c>
      <x:c r="G334" t="n">
        <x:v>300</x:v>
      </x:c>
      <x:c r="H334" t="n">
        <x:v>6388.65</x:v>
      </x:c>
      <x:c r="I334" t="n">
        <x:v>4356.74</x:v>
      </x:c>
      <x:c r="J334" s="22" t="n">
        <x:v>0.3180499792600941</x:v>
      </x:c>
      <x:c r="K334" s="22" t="n">
        <x:v>0.1176</x:v>
      </x:c>
      <x:c r="L334" t="n">
        <x:v>19</x:v>
      </x:c>
      <x:c r="M334" t="str">
        <x:v>成交</x:v>
      </x:c>
      <x:c r="N334" s="20" t="n">
        <x:v>45526</x:v>
      </x:c>
      <x:c r="O334"/>
    </x:row>
    <x:row r="335" ht="20" customHeight="1">
      <x:c r="A335" t="str">
        <x:v>Q00334</x:v>
      </x:c>
      <x:c r="B335" s="20" t="n">
        <x:v>45534</x:v>
      </x:c>
      <x:c r="C335" t="str">
        <x:v>AUT-014</x:v>
      </x:c>
      <x:c r="D335" t="str">
        <x:v>S06</x:v>
      </x:c>
      <x:c r="E335" t="str">
        <x:v>AUTO-BRK-B</x:v>
      </x:c>
      <x:c r="F335" t="str">
        <x:v>汽車精密零組件</x:v>
      </x:c>
      <x:c r="G335" t="n">
        <x:v>3000</x:v>
      </x:c>
      <x:c r="H335" t="n">
        <x:v>2189.06</x:v>
      </x:c>
      <x:c r="I335" t="n">
        <x:v>1711.84</x:v>
      </x:c>
      <x:c r="J335" s="22" t="n">
        <x:v>0.21800224754004002</x:v>
      </x:c>
      <x:c r="K335" s="22" t="n">
        <x:v>0.0391</x:v>
      </x:c>
      <x:c r="L335" t="n">
        <x:v>21</x:v>
      </x:c>
      <x:c r="M335" t="str">
        <x:v>成交</x:v>
      </x:c>
      <x:c r="N335" s="20" t="n">
        <x:v>45544</x:v>
      </x:c>
      <x:c r="O335"/>
    </x:row>
    <x:row r="336" ht="20" customHeight="1">
      <x:c r="A336" t="str">
        <x:v>Q00335</x:v>
      </x:c>
      <x:c r="B336" s="20" t="n">
        <x:v>45514</x:v>
      </x:c>
      <x:c r="C336" t="str">
        <x:v>IAT-008</x:v>
      </x:c>
      <x:c r="D336" t="str">
        <x:v>S01</x:v>
      </x:c>
      <x:c r="E336" t="str">
        <x:v>SEMI-CHB-B</x:v>
      </x:c>
      <x:c r="F336" t="str">
        <x:v>半導體設備零組件</x:v>
      </x:c>
      <x:c r="G336" t="n">
        <x:v>60</x:v>
      </x:c>
      <x:c r="H336" t="n">
        <x:v>142417.63</x:v>
      </x:c>
      <x:c r="I336" t="n">
        <x:v>111385.84</x:v>
      </x:c>
      <x:c r="J336" s="22" t="n">
        <x:v>0.21789289710831453</x:v>
      </x:c>
      <x:c r="K336" s="22" t="n">
        <x:v>0.0341</x:v>
      </x:c>
      <x:c r="L336" t="n">
        <x:v>57</x:v>
      </x:c>
      <x:c r="M336" t="str">
        <x:v>未成交</x:v>
      </x:c>
      <x:c r="N336" s="20" t="n">
        <x:v>45518</x:v>
      </x:c>
      <x:c r="O336" t="str">
        <x:v>競品</x:v>
      </x:c>
    </x:row>
    <x:row r="337" ht="20" customHeight="1">
      <x:c r="A337" t="str">
        <x:v>Q00336</x:v>
      </x:c>
      <x:c r="B337" s="20" t="n">
        <x:v>45505</x:v>
      </x:c>
      <x:c r="C337" t="str">
        <x:v>SEM-009</x:v>
      </x:c>
      <x:c r="D337" t="str">
        <x:v>S02</x:v>
      </x:c>
      <x:c r="E337" t="str">
        <x:v>MECH-CON-A</x:v>
      </x:c>
      <x:c r="F337" t="str">
        <x:v>機電／自動化模組</x:v>
      </x:c>
      <x:c r="G337" t="n">
        <x:v>20</x:v>
      </x:c>
      <x:c r="H337" t="n">
        <x:v>110474.17</x:v>
      </x:c>
      <x:c r="I337" t="n">
        <x:v>85104.54</x:v>
      </x:c>
      <x:c r="J337" s="22" t="n">
        <x:v>0.22964309213637907</x:v>
      </x:c>
      <x:c r="K337" s="22" t="n">
        <x:v>0.0502</x:v>
      </x:c>
      <x:c r="L337" t="n">
        <x:v>26</x:v>
      </x:c>
      <x:c r="M337" t="str">
        <x:v>成交</x:v>
      </x:c>
      <x:c r="N337" s="20" t="n">
        <x:v>45516</x:v>
      </x:c>
      <x:c r="O337"/>
    </x:row>
    <x:row r="338" ht="20" customHeight="1">
      <x:c r="A338" t="str">
        <x:v>Q00337</x:v>
      </x:c>
      <x:c r="B338" s="20" t="n">
        <x:v>45517</x:v>
      </x:c>
      <x:c r="C338" t="str">
        <x:v>EMS-008</x:v>
      </x:c>
      <x:c r="D338" t="str">
        <x:v>S02</x:v>
      </x:c>
      <x:c r="E338" t="str">
        <x:v>AUTO-BRK-B</x:v>
      </x:c>
      <x:c r="F338" t="str">
        <x:v>汽車精密零組件</x:v>
      </x:c>
      <x:c r="G338" t="n">
        <x:v>7000</x:v>
      </x:c>
      <x:c r="H338" t="n">
        <x:v>2129.51</x:v>
      </x:c>
      <x:c r="I338" t="n">
        <x:v>1660.85</x:v>
      </x:c>
      <x:c r="J338" s="22" t="n">
        <x:v>0.2200787974698406</x:v>
      </x:c>
      <x:c r="K338" s="22" t="n">
        <x:v>0.0547</x:v>
      </x:c>
      <x:c r="L338" t="n">
        <x:v>20</x:v>
      </x:c>
      <x:c r="M338" t="str">
        <x:v>成交</x:v>
      </x:c>
      <x:c r="N338" s="20" t="n">
        <x:v>45521</x:v>
      </x:c>
      <x:c r="O338"/>
    </x:row>
    <x:row r="339" ht="20" customHeight="1">
      <x:c r="A339" t="str">
        <x:v>Q00338</x:v>
      </x:c>
      <x:c r="B339" s="20" t="n">
        <x:v>45509</x:v>
      </x:c>
      <x:c r="C339" t="str">
        <x:v>IAT-002</x:v>
      </x:c>
      <x:c r="D339" t="str">
        <x:v>S01</x:v>
      </x:c>
      <x:c r="E339" t="str">
        <x:v>SEMI-WH-A</x:v>
      </x:c>
      <x:c r="F339" t="str">
        <x:v>半導體設備零組件</x:v>
      </x:c>
      <x:c r="G339" t="n">
        <x:v>60</x:v>
      </x:c>
      <x:c r="H339" t="n">
        <x:v>114864.91</x:v>
      </x:c>
      <x:c r="I339" t="n">
        <x:v>86145.48</x:v>
      </x:c>
      <x:c r="J339" s="22" t="n">
        <x:v>0.2500278805772799</x:v>
      </x:c>
      <x:c r="K339" s="22" t="n">
        <x:v>0.0362</x:v>
      </x:c>
      <x:c r="L339" t="n">
        <x:v>50</x:v>
      </x:c>
      <x:c r="M339" t="str">
        <x:v>成交</x:v>
      </x:c>
      <x:c r="N339" s="20" t="n">
        <x:v>45520</x:v>
      </x:c>
      <x:c r="O339"/>
    </x:row>
    <x:row r="340" ht="20" customHeight="1">
      <x:c r="A340" t="str">
        <x:v>Q00339</x:v>
      </x:c>
      <x:c r="B340" s="20" t="n">
        <x:v>45507</x:v>
      </x:c>
      <x:c r="C340" t="str">
        <x:v>AUT-005</x:v>
      </x:c>
      <x:c r="D340" t="str">
        <x:v>S04</x:v>
      </x:c>
      <x:c r="E340" t="str">
        <x:v>MECH-CON-A</x:v>
      </x:c>
      <x:c r="F340" t="str">
        <x:v>機電／自動化模組</x:v>
      </x:c>
      <x:c r="G340" t="n">
        <x:v>50</x:v>
      </x:c>
      <x:c r="H340" t="n">
        <x:v>109891.58</x:v>
      </x:c>
      <x:c r="I340" t="n">
        <x:v>82635.92</x:v>
      </x:c>
      <x:c r="J340" s="22" t="n">
        <x:v>0.2480231879457917</x:v>
      </x:c>
      <x:c r="K340" s="22" t="n">
        <x:v>0.0721</x:v>
      </x:c>
      <x:c r="L340" t="n">
        <x:v>29</x:v>
      </x:c>
      <x:c r="M340" t="str">
        <x:v>未成交</x:v>
      </x:c>
      <x:c r="N340" s="20" t="n">
        <x:v>45511</x:v>
      </x:c>
      <x:c r="O340" t="str">
        <x:v>交期</x:v>
      </x:c>
    </x:row>
    <x:row r="341" ht="20" customHeight="1">
      <x:c r="A341" t="str">
        <x:v>Q00340</x:v>
      </x:c>
      <x:c r="B341" s="20" t="n">
        <x:v>45533</x:v>
      </x:c>
      <x:c r="C341" t="str">
        <x:v>AUT-009</x:v>
      </x:c>
      <x:c r="D341" t="str">
        <x:v>S04</x:v>
      </x:c>
      <x:c r="E341" t="str">
        <x:v>PM-BRG-A</x:v>
      </x:c>
      <x:c r="F341" t="str">
        <x:v>精密金屬加工件</x:v>
      </x:c>
      <x:c r="G341" t="n">
        <x:v>800</x:v>
      </x:c>
      <x:c r="H341" t="n">
        <x:v>6692.37</x:v>
      </x:c>
      <x:c r="I341" t="n">
        <x:v>4550.54</x:v>
      </x:c>
      <x:c r="J341" s="22" t="n">
        <x:v>0.3200405835301993</x:v>
      </x:c>
      <x:c r="K341" s="22" t="n">
        <x:v>0.0852</x:v>
      </x:c>
      <x:c r="L341" t="n">
        <x:v>16</x:v>
      </x:c>
      <x:c r="M341" t="str">
        <x:v>未成交</x:v>
      </x:c>
      <x:c r="N341" s="20" t="n">
        <x:v>45545</x:v>
      </x:c>
      <x:c r="O341" t="str">
        <x:v>專案取消</x:v>
      </x:c>
    </x:row>
    <x:row r="342" ht="20" customHeight="1">
      <x:c r="A342" t="str">
        <x:v>Q00341</x:v>
      </x:c>
      <x:c r="B342" s="20" t="n">
        <x:v>45512</x:v>
      </x:c>
      <x:c r="C342" t="str">
        <x:v>SEM-004</x:v>
      </x:c>
      <x:c r="D342" t="str">
        <x:v>S02</x:v>
      </x:c>
      <x:c r="E342" t="str">
        <x:v>MECH-CON-B</x:v>
      </x:c>
      <x:c r="F342" t="str">
        <x:v>機電／自動化模組</x:v>
      </x:c>
      <x:c r="G342" t="n">
        <x:v>50</x:v>
      </x:c>
      <x:c r="H342" t="n">
        <x:v>165471.18</x:v>
      </x:c>
      <x:c r="I342" t="n">
        <x:v>123695.91</x:v>
      </x:c>
      <x:c r="J342" s="22" t="n">
        <x:v>0.252462513411701</x:v>
      </x:c>
      <x:c r="K342" s="22" t="n">
        <x:v>0.01</x:v>
      </x:c>
      <x:c r="L342" t="n">
        <x:v>44</x:v>
      </x:c>
      <x:c r="M342" t="str">
        <x:v>成交</x:v>
      </x:c>
      <x:c r="N342" s="20" t="n">
        <x:v>45516</x:v>
      </x:c>
      <x:c r="O342"/>
    </x:row>
    <x:row r="343" ht="20" customHeight="1">
      <x:c r="A343" t="str">
        <x:v>Q00342</x:v>
      </x:c>
      <x:c r="B343" s="20" t="n">
        <x:v>45521</x:v>
      </x:c>
      <x:c r="C343" t="str">
        <x:v>AUT-006</x:v>
      </x:c>
      <x:c r="D343" t="str">
        <x:v>S03</x:v>
      </x:c>
      <x:c r="E343" t="str">
        <x:v>PM-ALB-A</x:v>
      </x:c>
      <x:c r="F343" t="str">
        <x:v>精密金屬加工件</x:v>
      </x:c>
      <x:c r="G343" t="n">
        <x:v>500</x:v>
      </x:c>
      <x:c r="H343" t="n">
        <x:v>11197.74</x:v>
      </x:c>
      <x:c r="I343" t="n">
        <x:v>8359.44</x:v>
      </x:c>
      <x:c r="J343" s="22" t="n">
        <x:v>0.2534707896414812</x:v>
      </x:c>
      <x:c r="K343" s="22" t="n">
        <x:v>0.0493</x:v>
      </x:c>
      <x:c r="L343" t="n">
        <x:v>23</x:v>
      </x:c>
      <x:c r="M343" t="str">
        <x:v>成交</x:v>
      </x:c>
      <x:c r="N343" s="20" t="n">
        <x:v>45525</x:v>
      </x:c>
      <x:c r="O343"/>
    </x:row>
    <x:row r="344" ht="20" customHeight="1">
      <x:c r="A344" t="str">
        <x:v>Q00343</x:v>
      </x:c>
      <x:c r="B344" s="20" t="n">
        <x:v>45525</x:v>
      </x:c>
      <x:c r="C344" t="str">
        <x:v>AUT-008</x:v>
      </x:c>
      <x:c r="D344" t="str">
        <x:v>S01</x:v>
      </x:c>
      <x:c r="E344" t="str">
        <x:v>PM-VAC-B</x:v>
      </x:c>
      <x:c r="F344" t="str">
        <x:v>精密金屬加工件</x:v>
      </x:c>
      <x:c r="G344" t="n">
        <x:v>300</x:v>
      </x:c>
      <x:c r="H344" t="n">
        <x:v>21344.28</x:v>
      </x:c>
      <x:c r="I344" t="n">
        <x:v>15795.07</x:v>
      </x:c>
      <x:c r="J344" s="22" t="n">
        <x:v>0.2599858135294327</x:v>
      </x:c>
      <x:c r="K344" s="22" t="n">
        <x:v>0.0923</x:v>
      </x:c>
      <x:c r="L344" t="n">
        <x:v>27</x:v>
      </x:c>
      <x:c r="M344" t="str">
        <x:v>成交</x:v>
      </x:c>
      <x:c r="N344" s="20" t="n">
        <x:v>45537</x:v>
      </x:c>
      <x:c r="O344"/>
    </x:row>
    <x:row r="345" ht="20" customHeight="1">
      <x:c r="A345" t="str">
        <x:v>Q00344</x:v>
      </x:c>
      <x:c r="B345" s="20" t="n">
        <x:v>45523</x:v>
      </x:c>
      <x:c r="C345" t="str">
        <x:v>AFT-006</x:v>
      </x:c>
      <x:c r="D345" t="str">
        <x:v>S01</x:v>
      </x:c>
      <x:c r="E345" t="str">
        <x:v>PM-VAC-A</x:v>
      </x:c>
      <x:c r="F345" t="str">
        <x:v>精密金屬加工件</x:v>
      </x:c>
      <x:c r="G345" t="n">
        <x:v>800</x:v>
      </x:c>
      <x:c r="H345" t="n">
        <x:v>15891.39</x:v>
      </x:c>
      <x:c r="I345" t="n">
        <x:v>10634.59</x:v>
      </x:c>
      <x:c r="J345" s="22" t="n">
        <x:v>0.33079548107497203</x:v>
      </x:c>
      <x:c r="K345" s="22" t="n">
        <x:v>0.0461</x:v>
      </x:c>
      <x:c r="L345" t="n">
        <x:v>29</x:v>
      </x:c>
      <x:c r="M345" t="str">
        <x:v>未成交</x:v>
      </x:c>
      <x:c r="N345" s="20" t="n">
        <x:v>45533</x:v>
      </x:c>
      <x:c r="O345" t="str">
        <x:v>規格</x:v>
      </x:c>
    </x:row>
    <x:row r="346" ht="20" customHeight="1">
      <x:c r="A346" t="str">
        <x:v>Q00345</x:v>
      </x:c>
      <x:c r="B346" s="20" t="n">
        <x:v>45505</x:v>
      </x:c>
      <x:c r="C346" t="str">
        <x:v>AUT-012</x:v>
      </x:c>
      <x:c r="D346" t="str">
        <x:v>S06</x:v>
      </x:c>
      <x:c r="E346" t="str">
        <x:v>AUTO-LG-B</x:v>
      </x:c>
      <x:c r="F346" t="str">
        <x:v>汽車精密零組件</x:v>
      </x:c>
      <x:c r="G346" t="n">
        <x:v>10000</x:v>
      </x:c>
      <x:c r="H346" t="n">
        <x:v>1170</x:v>
      </x:c>
      <x:c r="I346" t="n">
        <x:v>942.97</x:v>
      </x:c>
      <x:c r="J346" s="22" t="n">
        <x:v>0.19404273504273503</x:v>
      </x:c>
      <x:c r="K346" s="22" t="n">
        <x:v>0.0854</x:v>
      </x:c>
      <x:c r="L346" t="n">
        <x:v>17</x:v>
      </x:c>
      <x:c r="M346" t="str">
        <x:v>未成交</x:v>
      </x:c>
      <x:c r="N346" s="20" t="n">
        <x:v>45516</x:v>
      </x:c>
      <x:c r="O346" t="str">
        <x:v>規格</x:v>
      </x:c>
    </x:row>
    <x:row r="347" ht="20" customHeight="1">
      <x:c r="A347" t="str">
        <x:v>Q00346</x:v>
      </x:c>
      <x:c r="B347" s="20" t="n">
        <x:v>45521</x:v>
      </x:c>
      <x:c r="C347" t="str">
        <x:v>AUT-012</x:v>
      </x:c>
      <x:c r="D347" t="str">
        <x:v>S06</x:v>
      </x:c>
      <x:c r="E347" t="str">
        <x:v>AUTO-LG-A</x:v>
      </x:c>
      <x:c r="F347" t="str">
        <x:v>汽車精密零組件</x:v>
      </x:c>
      <x:c r="G347" t="n">
        <x:v>10000</x:v>
      </x:c>
      <x:c r="H347" t="n">
        <x:v>1139.19</x:v>
      </x:c>
      <x:c r="I347" t="n">
        <x:v>842.78</x:v>
      </x:c>
      <x:c r="J347" s="22" t="n">
        <x:v>0.2601936463627666</x:v>
      </x:c>
      <x:c r="K347" s="22" t="n">
        <x:v>0.039</x:v>
      </x:c>
      <x:c r="L347" t="n">
        <x:v>20</x:v>
      </x:c>
      <x:c r="M347" t="str">
        <x:v>未成交</x:v>
      </x:c>
      <x:c r="N347" s="20" t="n">
        <x:v>45528</x:v>
      </x:c>
      <x:c r="O347" t="str">
        <x:v>專案取消</x:v>
      </x:c>
    </x:row>
    <x:row r="348" ht="20" customHeight="1">
      <x:c r="A348" t="str">
        <x:v>Q00347</x:v>
      </x:c>
      <x:c r="B348" s="20" t="n">
        <x:v>45521</x:v>
      </x:c>
      <x:c r="C348" t="str">
        <x:v>AUT-008</x:v>
      </x:c>
      <x:c r="D348" t="str">
        <x:v>S01</x:v>
      </x:c>
      <x:c r="E348" t="str">
        <x:v>PM-VAC-B</x:v>
      </x:c>
      <x:c r="F348" t="str">
        <x:v>精密金屬加工件</x:v>
      </x:c>
      <x:c r="G348" t="n">
        <x:v>800</x:v>
      </x:c>
      <x:c r="H348" t="n">
        <x:v>20373.8</x:v>
      </x:c>
      <x:c r="I348" t="n">
        <x:v>15732.51</x:v>
      </x:c>
      <x:c r="J348" s="22" t="n">
        <x:v>0.22780679107481172</x:v>
      </x:c>
      <x:c r="K348" s="22" t="n">
        <x:v>0.1349</x:v>
      </x:c>
      <x:c r="L348" t="n">
        <x:v>30</x:v>
      </x:c>
      <x:c r="M348" t="str">
        <x:v>成交</x:v>
      </x:c>
      <x:c r="N348" s="20" t="n">
        <x:v>45526</x:v>
      </x:c>
      <x:c r="O348"/>
    </x:row>
    <x:row r="349" ht="20" customHeight="1">
      <x:c r="A349" t="str">
        <x:v>Q00348</x:v>
      </x:c>
      <x:c r="B349" s="20" t="n">
        <x:v>45534</x:v>
      </x:c>
      <x:c r="C349" t="str">
        <x:v>IAT-006</x:v>
      </x:c>
      <x:c r="D349" t="str">
        <x:v>S01</x:v>
      </x:c>
      <x:c r="E349" t="str">
        <x:v>SEMI-WH-A</x:v>
      </x:c>
      <x:c r="F349" t="str">
        <x:v>半導體設備零組件</x:v>
      </x:c>
      <x:c r="G349" t="n">
        <x:v>120</x:v>
      </x:c>
      <x:c r="H349" t="n">
        <x:v>105263.12</x:v>
      </x:c>
      <x:c r="I349" t="n">
        <x:v>88464.13</x:v>
      </x:c>
      <x:c r="J349" s="22" t="n">
        <x:v>0.1595904624525664</x:v>
      </x:c>
      <x:c r="K349" s="22" t="n">
        <x:v>0.1245</x:v>
      </x:c>
      <x:c r="L349" t="n">
        <x:v>39</x:v>
      </x:c>
      <x:c r="M349" t="str">
        <x:v>未成交</x:v>
      </x:c>
      <x:c r="N349" s="20" t="n">
        <x:v>45540</x:v>
      </x:c>
      <x:c r="O349" t="str">
        <x:v>價格</x:v>
      </x:c>
    </x:row>
    <x:row r="350" ht="20" customHeight="1">
      <x:c r="A350" t="str">
        <x:v>Q00349</x:v>
      </x:c>
      <x:c r="B350" s="20" t="n">
        <x:v>45506</x:v>
      </x:c>
      <x:c r="C350" t="str">
        <x:v>IAT-003</x:v>
      </x:c>
      <x:c r="D350" t="str">
        <x:v>S04</x:v>
      </x:c>
      <x:c r="E350" t="str">
        <x:v>PM-BRG-B</x:v>
      </x:c>
      <x:c r="F350" t="str">
        <x:v>精密金屬加工件</x:v>
      </x:c>
      <x:c r="G350" t="n">
        <x:v>300</x:v>
      </x:c>
      <x:c r="H350" t="n">
        <x:v>7977.33</x:v>
      </x:c>
      <x:c r="I350" t="n">
        <x:v>5422.97</x:v>
      </x:c>
      <x:c r="J350" s="22" t="n">
        <x:v>0.32020237347583713</x:v>
      </x:c>
      <x:c r="K350" s="22" t="n">
        <x:v>0.0413</x:v>
      </x:c>
      <x:c r="L350" t="n">
        <x:v>16</x:v>
      </x:c>
      <x:c r="M350" t="str">
        <x:v>成交</x:v>
      </x:c>
      <x:c r="N350" s="20" t="n">
        <x:v>45510</x:v>
      </x:c>
      <x:c r="O350"/>
    </x:row>
    <x:row r="351" ht="20" customHeight="1">
      <x:c r="A351" t="str">
        <x:v>Q00350</x:v>
      </x:c>
      <x:c r="B351" s="20" t="n">
        <x:v>45531</x:v>
      </x:c>
      <x:c r="C351" t="str">
        <x:v>EMS-004</x:v>
      </x:c>
      <x:c r="D351" t="str">
        <x:v>S03</x:v>
      </x:c>
      <x:c r="E351" t="str">
        <x:v>PM-VAC-B</x:v>
      </x:c>
      <x:c r="F351" t="str">
        <x:v>精密金屬加工件</x:v>
      </x:c>
      <x:c r="G351" t="n">
        <x:v>1200</x:v>
      </x:c>
      <x:c r="H351" t="n">
        <x:v>21583.12</x:v>
      </x:c>
      <x:c r="I351" t="n">
        <x:v>15196.86</x:v>
      </x:c>
      <x:c r="J351" s="22" t="n">
        <x:v>0.29589141884954534</x:v>
      </x:c>
      <x:c r="K351" s="22" t="n">
        <x:v>0.0698</x:v>
      </x:c>
      <x:c r="L351" t="n">
        <x:v>30</x:v>
      </x:c>
      <x:c r="M351" t="str">
        <x:v>成交</x:v>
      </x:c>
      <x:c r="N351" s="20" t="n">
        <x:v>45536</x:v>
      </x:c>
      <x:c r="O351"/>
    </x:row>
    <x:row r="352" ht="20" customHeight="1">
      <x:c r="A352" t="str">
        <x:v>Q00351</x:v>
      </x:c>
      <x:c r="B352" s="20" t="n">
        <x:v>45535</x:v>
      </x:c>
      <x:c r="C352" t="str">
        <x:v>AFT-007</x:v>
      </x:c>
      <x:c r="D352" t="str">
        <x:v>S04</x:v>
      </x:c>
      <x:c r="E352" t="str">
        <x:v>PM-ALB-A</x:v>
      </x:c>
      <x:c r="F352" t="str">
        <x:v>精密金屬加工件</x:v>
      </x:c>
      <x:c r="G352" t="n">
        <x:v>800</x:v>
      </x:c>
      <x:c r="H352" t="n">
        <x:v>10510.16</x:v>
      </x:c>
      <x:c r="I352" t="n">
        <x:v>7874.86</x:v>
      </x:c>
      <x:c r="J352" s="22" t="n">
        <x:v>0.25073833319378586</x:v>
      </x:c>
      <x:c r="K352" s="22" t="n">
        <x:v>0.1158</x:v>
      </x:c>
      <x:c r="L352" t="n">
        <x:v>26</x:v>
      </x:c>
      <x:c r="M352" t="str">
        <x:v>成交</x:v>
      </x:c>
      <x:c r="N352" s="20" t="n">
        <x:v>45539</x:v>
      </x:c>
      <x:c r="O352"/>
    </x:row>
    <x:row r="353" ht="20" customHeight="1">
      <x:c r="A353" t="str">
        <x:v>Q00352</x:v>
      </x:c>
      <x:c r="B353" s="20" t="n">
        <x:v>45520</x:v>
      </x:c>
      <x:c r="C353" t="str">
        <x:v>SEM-001</x:v>
      </x:c>
      <x:c r="D353" t="str">
        <x:v>S01</x:v>
      </x:c>
      <x:c r="E353" t="str">
        <x:v>PM-BRG-A</x:v>
      </x:c>
      <x:c r="F353" t="str">
        <x:v>精密金屬加工件</x:v>
      </x:c>
      <x:c r="G353" t="n">
        <x:v>800</x:v>
      </x:c>
      <x:c r="H353" t="n">
        <x:v>7053.79</x:v>
      </x:c>
      <x:c r="I353" t="n">
        <x:v>4338.48</x:v>
      </x:c>
      <x:c r="J353" s="22" t="n">
        <x:v>0.38494341339903804</x:v>
      </x:c>
      <x:c r="K353" s="22" t="n">
        <x:v>0.0127</x:v>
      </x:c>
      <x:c r="L353" t="n">
        <x:v>22</x:v>
      </x:c>
      <x:c r="M353" t="str">
        <x:v>未成交</x:v>
      </x:c>
      <x:c r="N353" s="20" t="n">
        <x:v>45523</x:v>
      </x:c>
      <x:c r="O353" t="str">
        <x:v>交期</x:v>
      </x:c>
    </x:row>
    <x:row r="354" ht="20" customHeight="1">
      <x:c r="A354" t="str">
        <x:v>Q00353</x:v>
      </x:c>
      <x:c r="B354" s="20" t="n">
        <x:v>45535</x:v>
      </x:c>
      <x:c r="C354" t="str">
        <x:v>IAT-004</x:v>
      </x:c>
      <x:c r="D354" t="str">
        <x:v>S05</x:v>
      </x:c>
      <x:c r="E354" t="str">
        <x:v>PM-BRG-A</x:v>
      </x:c>
      <x:c r="F354" t="str">
        <x:v>精密金屬加工件</x:v>
      </x:c>
      <x:c r="G354" t="n">
        <x:v>800</x:v>
      </x:c>
      <x:c r="H354" t="n">
        <x:v>6577.93</x:v>
      </x:c>
      <x:c r="I354" t="n">
        <x:v>4401.4</x:v>
      </x:c>
      <x:c r="J354" s="22" t="n">
        <x:v>0.3308837278596763</x:v>
      </x:c>
      <x:c r="K354" s="22" t="n">
        <x:v>0.0924</x:v>
      </x:c>
      <x:c r="L354" t="n">
        <x:v>19</x:v>
      </x:c>
      <x:c r="M354" t="str">
        <x:v>未成交</x:v>
      </x:c>
      <x:c r="N354" s="20" t="n">
        <x:v>45543</x:v>
      </x:c>
      <x:c r="O354" t="str">
        <x:v>專案取消</x:v>
      </x:c>
    </x:row>
    <x:row r="355" ht="20" customHeight="1">
      <x:c r="A355" t="str">
        <x:v>Q00354</x:v>
      </x:c>
      <x:c r="B355" s="20" t="n">
        <x:v>45529</x:v>
      </x:c>
      <x:c r="C355" t="str">
        <x:v>EMS-004</x:v>
      </x:c>
      <x:c r="D355" t="str">
        <x:v>S03</x:v>
      </x:c>
      <x:c r="E355" t="str">
        <x:v>MECH-STG-A</x:v>
      </x:c>
      <x:c r="F355" t="str">
        <x:v>機電／自動化模組</x:v>
      </x:c>
      <x:c r="G355" t="n">
        <x:v>20</x:v>
      </x:c>
      <x:c r="H355" t="n">
        <x:v>140214.25</x:v>
      </x:c>
      <x:c r="I355" t="n">
        <x:v>105706.38</x:v>
      </x:c>
      <x:c r="J355" s="22" t="n">
        <x:v>0.2461081523454285</x:v>
      </x:c>
      <x:c r="K355" s="22" t="n">
        <x:v>0.0374</x:v>
      </x:c>
      <x:c r="L355" t="n">
        <x:v>42</x:v>
      </x:c>
      <x:c r="M355" t="str">
        <x:v>未成交</x:v>
      </x:c>
      <x:c r="N355" s="20" t="n">
        <x:v>45541</x:v>
      </x:c>
      <x:c r="O355" t="str">
        <x:v>競品</x:v>
      </x:c>
    </x:row>
    <x:row r="356" ht="20" customHeight="1">
      <x:c r="A356" t="str">
        <x:v>Q00355</x:v>
      </x:c>
      <x:c r="B356" s="20" t="n">
        <x:v>45509</x:v>
      </x:c>
      <x:c r="C356" t="str">
        <x:v>SEM-007</x:v>
      </x:c>
      <x:c r="D356" t="str">
        <x:v>S03</x:v>
      </x:c>
      <x:c r="E356" t="str">
        <x:v>MECH-STG-B</x:v>
      </x:c>
      <x:c r="F356" t="str">
        <x:v>機電／自動化模組</x:v>
      </x:c>
      <x:c r="G356" t="n">
        <x:v>10</x:v>
      </x:c>
      <x:c r="H356" t="n">
        <x:v>191781.26</x:v>
      </x:c>
      <x:c r="I356" t="n">
        <x:v>148527.15</x:v>
      </x:c>
      <x:c r="J356" s="22" t="n">
        <x:v>0.2255387726621465</x:v>
      </x:c>
      <x:c r="K356" s="22" t="n">
        <x:v>0.0646</x:v>
      </x:c>
      <x:c r="L356" t="n">
        <x:v>44</x:v>
      </x:c>
      <x:c r="M356" t="str">
        <x:v>未成交</x:v>
      </x:c>
      <x:c r="N356" s="20" t="n">
        <x:v>45518</x:v>
      </x:c>
      <x:c r="O356" t="str">
        <x:v>專案取消</x:v>
      </x:c>
    </x:row>
    <x:row r="357" ht="20" customHeight="1">
      <x:c r="A357" t="str">
        <x:v>Q00356</x:v>
      </x:c>
      <x:c r="B357" s="20" t="n">
        <x:v>45533</x:v>
      </x:c>
      <x:c r="C357" t="str">
        <x:v>IAT-008</x:v>
      </x:c>
      <x:c r="D357" t="str">
        <x:v>S01</x:v>
      </x:c>
      <x:c r="E357" t="str">
        <x:v>AUTO-LG-B</x:v>
      </x:c>
      <x:c r="F357" t="str">
        <x:v>汽車精密零組件</x:v>
      </x:c>
      <x:c r="G357" t="n">
        <x:v>7000</x:v>
      </x:c>
      <x:c r="H357" t="n">
        <x:v>1169.66</x:v>
      </x:c>
      <x:c r="I357" t="n">
        <x:v>960.85</x:v>
      </x:c>
      <x:c r="J357" s="22" t="n">
        <x:v>0.17852196364755574</x:v>
      </x:c>
      <x:c r="K357" s="22" t="n">
        <x:v>0.084</x:v>
      </x:c>
      <x:c r="L357" t="n">
        <x:v>16</x:v>
      </x:c>
      <x:c r="M357" t="str">
        <x:v>成交</x:v>
      </x:c>
      <x:c r="N357" s="20" t="n">
        <x:v>45542</x:v>
      </x:c>
      <x:c r="O357"/>
    </x:row>
    <x:row r="358" ht="20" customHeight="1">
      <x:c r="A358" t="str">
        <x:v>Q00357</x:v>
      </x:c>
      <x:c r="B358" s="20" t="n">
        <x:v>45507</x:v>
      </x:c>
      <x:c r="C358" t="str">
        <x:v>EMS-006</x:v>
      </x:c>
      <x:c r="D358" t="str">
        <x:v>S03</x:v>
      </x:c>
      <x:c r="E358" t="str">
        <x:v>AUTO-MH-B</x:v>
      </x:c>
      <x:c r="F358" t="str">
        <x:v>汽車精密零組件</x:v>
      </x:c>
      <x:c r="G358" t="n">
        <x:v>5000</x:v>
      </x:c>
      <x:c r="H358" t="n">
        <x:v>3016.73</x:v>
      </x:c>
      <x:c r="I358" t="n">
        <x:v>2318.45</x:v>
      </x:c>
      <x:c r="J358" s="22" t="n">
        <x:v>0.23146917357536145</x:v>
      </x:c>
      <x:c r="K358" s="22" t="n">
        <x:v>0.0531</x:v>
      </x:c>
      <x:c r="L358" t="n">
        <x:v>24</x:v>
      </x:c>
      <x:c r="M358" t="str">
        <x:v>成交</x:v>
      </x:c>
      <x:c r="N358" s="20" t="n">
        <x:v>45514</x:v>
      </x:c>
      <x:c r="O358"/>
    </x:row>
    <x:row r="359" ht="20" customHeight="1">
      <x:c r="A359" t="str">
        <x:v>Q00358</x:v>
      </x:c>
      <x:c r="B359" s="20" t="n">
        <x:v>45530</x:v>
      </x:c>
      <x:c r="C359" t="str">
        <x:v>IAT-005</x:v>
      </x:c>
      <x:c r="D359" t="str">
        <x:v>S02</x:v>
      </x:c>
      <x:c r="E359" t="str">
        <x:v>AUTO-KN-A</x:v>
      </x:c>
      <x:c r="F359" t="str">
        <x:v>汽車精密零組件</x:v>
      </x:c>
      <x:c r="G359" t="n">
        <x:v>3000</x:v>
      </x:c>
      <x:c r="H359" t="n">
        <x:v>2972.41</x:v>
      </x:c>
      <x:c r="I359" t="n">
        <x:v>2171.05</x:v>
      </x:c>
      <x:c r="J359" s="22" t="n">
        <x:v>0.26959941596213166</x:v>
      </x:c>
      <x:c r="K359" s="22" t="n">
        <x:v>0.1273</x:v>
      </x:c>
      <x:c r="L359" t="n">
        <x:v>19</x:v>
      </x:c>
      <x:c r="M359" t="str">
        <x:v>成交</x:v>
      </x:c>
      <x:c r="N359" s="20" t="n">
        <x:v>45539</x:v>
      </x:c>
      <x:c r="O359"/>
    </x:row>
    <x:row r="360" ht="20" customHeight="1">
      <x:c r="A360" t="str">
        <x:v>Q00359</x:v>
      </x:c>
      <x:c r="B360" s="20" t="n">
        <x:v>45523</x:v>
      </x:c>
      <x:c r="C360" t="str">
        <x:v>AUT-009</x:v>
      </x:c>
      <x:c r="D360" t="str">
        <x:v>S04</x:v>
      </x:c>
      <x:c r="E360" t="str">
        <x:v>AUTO-KN-A</x:v>
      </x:c>
      <x:c r="F360" t="str">
        <x:v>汽車精密零組件</x:v>
      </x:c>
      <x:c r="G360" t="n">
        <x:v>10000</x:v>
      </x:c>
      <x:c r="H360" t="n">
        <x:v>3101.4</x:v>
      </x:c>
      <x:c r="I360" t="n">
        <x:v>2254.17</x:v>
      </x:c>
      <x:c r="J360" s="22" t="n">
        <x:v>0.2731766299090733</x:v>
      </x:c>
      <x:c r="K360" s="22" t="n">
        <x:v>0.0919</x:v>
      </x:c>
      <x:c r="L360" t="n">
        <x:v>24</x:v>
      </x:c>
      <x:c r="M360" t="str">
        <x:v>成交</x:v>
      </x:c>
      <x:c r="N360" s="20" t="n">
        <x:v>45534</x:v>
      </x:c>
      <x:c r="O360"/>
    </x:row>
    <x:row r="361" ht="20" customHeight="1">
      <x:c r="A361" t="str">
        <x:v>Q00360</x:v>
      </x:c>
      <x:c r="B361" s="20" t="n">
        <x:v>45557</x:v>
      </x:c>
      <x:c r="C361" t="str">
        <x:v>AUT-008</x:v>
      </x:c>
      <x:c r="D361" t="str">
        <x:v>S01</x:v>
      </x:c>
      <x:c r="E361" t="str">
        <x:v>MECH-STG-B</x:v>
      </x:c>
      <x:c r="F361" t="str">
        <x:v>機電／自動化模組</x:v>
      </x:c>
      <x:c r="G361" t="n">
        <x:v>40</x:v>
      </x:c>
      <x:c r="H361" t="n">
        <x:v>188469.87</x:v>
      </x:c>
      <x:c r="I361" t="n">
        <x:v>147914.93</x:v>
      </x:c>
      <x:c r="J361" s="22" t="n">
        <x:v>0.21517996484000335</x:v>
      </x:c>
      <x:c r="K361" s="22" t="n">
        <x:v>0.0822</x:v>
      </x:c>
      <x:c r="L361" t="n">
        <x:v>47</x:v>
      </x:c>
      <x:c r="M361" t="str">
        <x:v>未成交</x:v>
      </x:c>
      <x:c r="N361" s="20" t="n">
        <x:v>45567</x:v>
      </x:c>
      <x:c r="O361" t="str">
        <x:v>專案取消</x:v>
      </x:c>
    </x:row>
    <x:row r="362" ht="20" customHeight="1">
      <x:c r="A362" t="str">
        <x:v>Q00361</x:v>
      </x:c>
      <x:c r="B362" s="20" t="n">
        <x:v>45563</x:v>
      </x:c>
      <x:c r="C362" t="str">
        <x:v>AFT-008</x:v>
      </x:c>
      <x:c r="D362" t="str">
        <x:v>S04</x:v>
      </x:c>
      <x:c r="E362" t="str">
        <x:v>PM-SUS-B</x:v>
      </x:c>
      <x:c r="F362" t="str">
        <x:v>精密金屬加工件</x:v>
      </x:c>
      <x:c r="G362" t="n">
        <x:v>300</x:v>
      </x:c>
      <x:c r="H362" t="n">
        <x:v>14635.57</x:v>
      </x:c>
      <x:c r="I362" t="n">
        <x:v>11326.75</x:v>
      </x:c>
      <x:c r="J362" s="22" t="n">
        <x:v>0.22608070611530673</x:v>
      </x:c>
      <x:c r="K362" s="22" t="n">
        <x:v>0.07</x:v>
      </x:c>
      <x:c r="L362" t="n">
        <x:v>29</x:v>
      </x:c>
      <x:c r="M362" t="str">
        <x:v>未成交</x:v>
      </x:c>
      <x:c r="N362" s="20" t="n">
        <x:v>45569</x:v>
      </x:c>
      <x:c r="O362" t="str">
        <x:v>交期</x:v>
      </x:c>
    </x:row>
    <x:row r="363" ht="20" customHeight="1">
      <x:c r="A363" t="str">
        <x:v>Q00362</x:v>
      </x:c>
      <x:c r="B363" s="20" t="n">
        <x:v>45536</x:v>
      </x:c>
      <x:c r="C363" t="str">
        <x:v>AFT-004</x:v>
      </x:c>
      <x:c r="D363" t="str">
        <x:v>S02</x:v>
      </x:c>
      <x:c r="E363" t="str">
        <x:v>PM-VAC-B</x:v>
      </x:c>
      <x:c r="F363" t="str">
        <x:v>精密金屬加工件</x:v>
      </x:c>
      <x:c r="G363" t="n">
        <x:v>300</x:v>
      </x:c>
      <x:c r="H363" t="n">
        <x:v>22251.38</x:v>
      </x:c>
      <x:c r="I363" t="n">
        <x:v>15866.71</x:v>
      </x:c>
      <x:c r="J363" s="22" t="n">
        <x:v>0.28693366433902084</x:v>
      </x:c>
      <x:c r="K363" s="22" t="n">
        <x:v>0.0619</x:v>
      </x:c>
      <x:c r="L363" t="n">
        <x:v>25</x:v>
      </x:c>
      <x:c r="M363" t="str">
        <x:v>未成交</x:v>
      </x:c>
      <x:c r="N363" s="20" t="n">
        <x:v>45547</x:v>
      </x:c>
      <x:c r="O363" t="str">
        <x:v>交期</x:v>
      </x:c>
    </x:row>
    <x:row r="364" ht="20" customHeight="1">
      <x:c r="A364" t="str">
        <x:v>Q00363</x:v>
      </x:c>
      <x:c r="B364" s="20" t="n">
        <x:v>45540</x:v>
      </x:c>
      <x:c r="C364" t="str">
        <x:v>SEM-002</x:v>
      </x:c>
      <x:c r="D364" t="str">
        <x:v>S02</x:v>
      </x:c>
      <x:c r="E364" t="str">
        <x:v>PM-ALB-B</x:v>
      </x:c>
      <x:c r="F364" t="str">
        <x:v>精密金屬加工件</x:v>
      </x:c>
      <x:c r="G364" t="n">
        <x:v>1200</x:v>
      </x:c>
      <x:c r="H364" t="n">
        <x:v>15338.49</x:v>
      </x:c>
      <x:c r="I364" t="n">
        <x:v>11801.03</x:v>
      </x:c>
      <x:c r="J364" s="22" t="n">
        <x:v>0.23062635239844334</x:v>
      </x:c>
      <x:c r="K364" s="22" t="n">
        <x:v>0.078</x:v>
      </x:c>
      <x:c r="L364" t="n">
        <x:v>26</x:v>
      </x:c>
      <x:c r="M364" t="str">
        <x:v>未成交</x:v>
      </x:c>
      <x:c r="N364" s="20" t="n">
        <x:v>45547</x:v>
      </x:c>
      <x:c r="O364" t="str">
        <x:v>專案取消</x:v>
      </x:c>
    </x:row>
    <x:row r="365" ht="20" customHeight="1">
      <x:c r="A365" t="str">
        <x:v>Q00364</x:v>
      </x:c>
      <x:c r="B365" s="20" t="n">
        <x:v>45554</x:v>
      </x:c>
      <x:c r="C365" t="str">
        <x:v>AUT-001</x:v>
      </x:c>
      <x:c r="D365" t="str">
        <x:v>S01</x:v>
      </x:c>
      <x:c r="E365" t="str">
        <x:v>AUTO-MH-A</x:v>
      </x:c>
      <x:c r="F365" t="str">
        <x:v>汽車精密零組件</x:v>
      </x:c>
      <x:c r="G365" t="n">
        <x:v>3000</x:v>
      </x:c>
      <x:c r="H365" t="n">
        <x:v>2504.47</x:v>
      </x:c>
      <x:c r="I365" t="n">
        <x:v>1998.72</x:v>
      </x:c>
      <x:c r="J365" s="22" t="n">
        <x:v>0.20193893318746076</x:v>
      </x:c>
      <x:c r="K365" s="22" t="n">
        <x:v>0.0835</x:v>
      </x:c>
      <x:c r="L365" t="n">
        <x:v>25</x:v>
      </x:c>
      <x:c r="M365" t="str">
        <x:v>成交</x:v>
      </x:c>
      <x:c r="N365" s="20" t="n">
        <x:v>45566</x:v>
      </x:c>
      <x:c r="O365"/>
    </x:row>
    <x:row r="366" ht="20" customHeight="1">
      <x:c r="A366" t="str">
        <x:v>Q00365</x:v>
      </x:c>
      <x:c r="B366" s="20" t="n">
        <x:v>45564</x:v>
      </x:c>
      <x:c r="C366" t="str">
        <x:v>IAT-006</x:v>
      </x:c>
      <x:c r="D366" t="str">
        <x:v>S01</x:v>
      </x:c>
      <x:c r="E366" t="str">
        <x:v>MECH-STG-B</x:v>
      </x:c>
      <x:c r="F366" t="str">
        <x:v>機電／自動化模組</x:v>
      </x:c>
      <x:c r="G366" t="n">
        <x:v>20</x:v>
      </x:c>
      <x:c r="H366" t="n">
        <x:v>203745.08</x:v>
      </x:c>
      <x:c r="I366" t="n">
        <x:v>148233.93</x:v>
      </x:c>
      <x:c r="J366" s="22" t="n">
        <x:v>0.27245394097369124</x:v>
      </x:c>
      <x:c r="K366" s="22" t="n">
        <x:v>0.0185</x:v>
      </x:c>
      <x:c r="L366" t="n">
        <x:v>57</x:v>
      </x:c>
      <x:c r="M366" t="str">
        <x:v>成交</x:v>
      </x:c>
      <x:c r="N366" s="20" t="n">
        <x:v>45569</x:v>
      </x:c>
      <x:c r="O366"/>
    </x:row>
    <x:row r="367" ht="20" customHeight="1">
      <x:c r="A367" t="str">
        <x:v>Q00366</x:v>
      </x:c>
      <x:c r="B367" s="20" t="n">
        <x:v>45562</x:v>
      </x:c>
      <x:c r="C367" t="str">
        <x:v>EMS-007</x:v>
      </x:c>
      <x:c r="D367" t="str">
        <x:v>S04</x:v>
      </x:c>
      <x:c r="E367" t="str">
        <x:v>PM-BRG-A</x:v>
      </x:c>
      <x:c r="F367" t="str">
        <x:v>精密金屬加工件</x:v>
      </x:c>
      <x:c r="G367" t="n">
        <x:v>1600</x:v>
      </x:c>
      <x:c r="H367" t="n">
        <x:v>6253.75</x:v>
      </x:c>
      <x:c r="I367" t="n">
        <x:v>4611.94</x:v>
      </x:c>
      <x:c r="J367" s="22" t="n">
        <x:v>0.26253208075154916</x:v>
      </x:c>
      <x:c r="K367" s="22" t="n">
        <x:v>0.1465</x:v>
      </x:c>
      <x:c r="L367" t="n">
        <x:v>17</x:v>
      </x:c>
      <x:c r="M367" t="str">
        <x:v>成交</x:v>
      </x:c>
      <x:c r="N367" s="20" t="n">
        <x:v>45572</x:v>
      </x:c>
      <x:c r="O367"/>
    </x:row>
    <x:row r="368" ht="20" customHeight="1">
      <x:c r="A368" t="str">
        <x:v>Q00367</x:v>
      </x:c>
      <x:c r="B368" s="20" t="n">
        <x:v>45536</x:v>
      </x:c>
      <x:c r="C368" t="str">
        <x:v>AUT-002</x:v>
      </x:c>
      <x:c r="D368" t="str">
        <x:v>S04</x:v>
      </x:c>
      <x:c r="E368" t="str">
        <x:v>PM-ALB-A</x:v>
      </x:c>
      <x:c r="F368" t="str">
        <x:v>精密金屬加工件</x:v>
      </x:c>
      <x:c r="G368" t="n">
        <x:v>1200</x:v>
      </x:c>
      <x:c r="H368" t="n">
        <x:v>10334.58</x:v>
      </x:c>
      <x:c r="I368" t="n">
        <x:v>8261.61</x:v>
      </x:c>
      <x:c r="J368" s="22" t="n">
        <x:v>0.20058580029377096</x:v>
      </x:c>
      <x:c r="K368" s="22" t="n">
        <x:v>0.1403</x:v>
      </x:c>
      <x:c r="L368" t="n">
        <x:v>18</x:v>
      </x:c>
      <x:c r="M368" t="str">
        <x:v>成交</x:v>
      </x:c>
      <x:c r="N368" s="20" t="n">
        <x:v>45541</x:v>
      </x:c>
      <x:c r="O368"/>
    </x:row>
    <x:row r="369" ht="20" customHeight="1">
      <x:c r="A369" t="str">
        <x:v>Q00368</x:v>
      </x:c>
      <x:c r="B369" s="20" t="n">
        <x:v>45554</x:v>
      </x:c>
      <x:c r="C369" t="str">
        <x:v>IAT-005</x:v>
      </x:c>
      <x:c r="D369" t="str">
        <x:v>S02</x:v>
      </x:c>
      <x:c r="E369" t="str">
        <x:v>PM-ALB-B</x:v>
      </x:c>
      <x:c r="F369" t="str">
        <x:v>精密金屬加工件</x:v>
      </x:c>
      <x:c r="G369" t="n">
        <x:v>1600</x:v>
      </x:c>
      <x:c r="H369" t="n">
        <x:v>15727.09</x:v>
      </x:c>
      <x:c r="I369" t="n">
        <x:v>12120.87</x:v>
      </x:c>
      <x:c r="J369" s="22" t="n">
        <x:v>0.22929988955363004</x:v>
      </x:c>
      <x:c r="K369" s="22" t="n">
        <x:v>0.0697</x:v>
      </x:c>
      <x:c r="L369" t="n">
        <x:v>25</x:v>
      </x:c>
      <x:c r="M369" t="str">
        <x:v>未成交</x:v>
      </x:c>
      <x:c r="N369" s="20" t="n">
        <x:v>45565</x:v>
      </x:c>
      <x:c r="O369" t="str">
        <x:v>競品</x:v>
      </x:c>
    </x:row>
    <x:row r="370" ht="20" customHeight="1">
      <x:c r="A370" t="str">
        <x:v>Q00369</x:v>
      </x:c>
      <x:c r="B370" s="20" t="n">
        <x:v>45542</x:v>
      </x:c>
      <x:c r="C370" t="str">
        <x:v>IAT-008</x:v>
      </x:c>
      <x:c r="D370" t="str">
        <x:v>S01</x:v>
      </x:c>
      <x:c r="E370" t="str">
        <x:v>SEMI-CHB-A</x:v>
      </x:c>
      <x:c r="F370" t="str">
        <x:v>半導體設備零組件</x:v>
      </x:c>
      <x:c r="G370" t="n">
        <x:v>80</x:v>
      </x:c>
      <x:c r="H370" t="n">
        <x:v>91884.48</x:v>
      </x:c>
      <x:c r="I370" t="n">
        <x:v>71916.53</x:v>
      </x:c>
      <x:c r="J370" s="22" t="n">
        <x:v>0.21731580784916013</x:v>
      </x:c>
      <x:c r="K370" s="22" t="n">
        <x:v>0.0504</x:v>
      </x:c>
      <x:c r="L370" t="n">
        <x:v>47</x:v>
      </x:c>
      <x:c r="M370" t="str">
        <x:v>成交</x:v>
      </x:c>
      <x:c r="N370" s="20" t="n">
        <x:v>45550</x:v>
      </x:c>
      <x:c r="O370"/>
    </x:row>
    <x:row r="371" ht="20" customHeight="1">
      <x:c r="A371" t="str">
        <x:v>Q00370</x:v>
      </x:c>
      <x:c r="B371" s="20" t="n">
        <x:v>45546</x:v>
      </x:c>
      <x:c r="C371" t="str">
        <x:v>IAT-001</x:v>
      </x:c>
      <x:c r="D371" t="str">
        <x:v>S05</x:v>
      </x:c>
      <x:c r="E371" t="str">
        <x:v>PM-VAC-B</x:v>
      </x:c>
      <x:c r="F371" t="str">
        <x:v>精密金屬加工件</x:v>
      </x:c>
      <x:c r="G371" t="n">
        <x:v>800</x:v>
      </x:c>
      <x:c r="H371" t="n">
        <x:v>22318.38</x:v>
      </x:c>
      <x:c r="I371" t="n">
        <x:v>15318.55</x:v>
      </x:c>
      <x:c r="J371" s="22" t="n">
        <x:v>0.3136352190436762</x:v>
      </x:c>
      <x:c r="K371" s="22" t="n">
        <x:v>0.0684</x:v>
      </x:c>
      <x:c r="L371" t="n">
        <x:v>37</x:v>
      </x:c>
      <x:c r="M371" t="str">
        <x:v>未成交</x:v>
      </x:c>
      <x:c r="N371" s="20" t="n">
        <x:v>45556</x:v>
      </x:c>
      <x:c r="O371" t="str">
        <x:v>專案取消</x:v>
      </x:c>
    </x:row>
    <x:row r="372" ht="20" customHeight="1">
      <x:c r="A372" t="str">
        <x:v>Q00371</x:v>
      </x:c>
      <x:c r="B372" s="20" t="n">
        <x:v>45545</x:v>
      </x:c>
      <x:c r="C372" t="str">
        <x:v>EMS-005</x:v>
      </x:c>
      <x:c r="D372" t="str">
        <x:v>S01</x:v>
      </x:c>
      <x:c r="E372" t="str">
        <x:v>SEMI-CHB-A</x:v>
      </x:c>
      <x:c r="F372" t="str">
        <x:v>半導體設備零組件</x:v>
      </x:c>
      <x:c r="G372" t="n">
        <x:v>80</x:v>
      </x:c>
      <x:c r="H372" t="n">
        <x:v>91019.99</x:v>
      </x:c>
      <x:c r="I372" t="n">
        <x:v>68496.68</x:v>
      </x:c>
      <x:c r="J372" s="22" t="n">
        <x:v>0.24745454267793274</x:v>
      </x:c>
      <x:c r="K372" s="22" t="n">
        <x:v>0.0632</x:v>
      </x:c>
      <x:c r="L372" t="n">
        <x:v>36</x:v>
      </x:c>
      <x:c r="M372" t="str">
        <x:v>成交</x:v>
      </x:c>
      <x:c r="N372" s="20" t="n">
        <x:v>45550</x:v>
      </x:c>
      <x:c r="O372"/>
    </x:row>
    <x:row r="373" ht="20" customHeight="1">
      <x:c r="A373" t="str">
        <x:v>Q00372</x:v>
      </x:c>
      <x:c r="B373" s="20" t="n">
        <x:v>45557</x:v>
      </x:c>
      <x:c r="C373" t="str">
        <x:v>IAT-005</x:v>
      </x:c>
      <x:c r="D373" t="str">
        <x:v>S02</x:v>
      </x:c>
      <x:c r="E373" t="str">
        <x:v>SEMI-WH-A</x:v>
      </x:c>
      <x:c r="F373" t="str">
        <x:v>半導體設備零組件</x:v>
      </x:c>
      <x:c r="G373" t="n">
        <x:v>160</x:v>
      </x:c>
      <x:c r="H373" t="n">
        <x:v>119819.88</x:v>
      </x:c>
      <x:c r="I373" t="n">
        <x:v>86662.32</x:v>
      </x:c>
      <x:c r="J373" s="22" t="n">
        <x:v>0.2767283692822927</x:v>
      </x:c>
      <x:c r="K373" s="22" t="n">
        <x:v>0.0149</x:v>
      </x:c>
      <x:c r="L373" t="n">
        <x:v>41</x:v>
      </x:c>
      <x:c r="M373" t="str">
        <x:v>成交</x:v>
      </x:c>
      <x:c r="N373" s="20" t="n">
        <x:v>45568</x:v>
      </x:c>
      <x:c r="O373"/>
    </x:row>
    <x:row r="374" ht="20" customHeight="1">
      <x:c r="A374" t="str">
        <x:v>Q00373</x:v>
      </x:c>
      <x:c r="B374" s="20" t="n">
        <x:v>45550</x:v>
      </x:c>
      <x:c r="C374" t="str">
        <x:v>AUT-002</x:v>
      </x:c>
      <x:c r="D374" t="str">
        <x:v>S04</x:v>
      </x:c>
      <x:c r="E374" t="str">
        <x:v>AUTO-BS-A</x:v>
      </x:c>
      <x:c r="F374" t="str">
        <x:v>汽車精密零組件</x:v>
      </x:c>
      <x:c r="G374" t="n">
        <x:v>13000</x:v>
      </x:c>
      <x:c r="H374" t="n">
        <x:v>787.13</x:v>
      </x:c>
      <x:c r="I374" t="n">
        <x:v>544.58</x:v>
      </x:c>
      <x:c r="J374" s="22" t="n">
        <x:v>0.30814477913432337</x:v>
      </x:c>
      <x:c r="K374" s="22" t="n">
        <x:v>0.0553</x:v>
      </x:c>
      <x:c r="L374" t="n">
        <x:v>12</x:v>
      </x:c>
      <x:c r="M374" t="str">
        <x:v>未成交</x:v>
      </x:c>
      <x:c r="N374" s="20" t="n">
        <x:v>45561</x:v>
      </x:c>
      <x:c r="O374" t="str">
        <x:v>專案取消</x:v>
      </x:c>
    </x:row>
    <x:row r="375" ht="20" customHeight="1">
      <x:c r="A375" t="str">
        <x:v>Q00374</x:v>
      </x:c>
      <x:c r="B375" s="20" t="n">
        <x:v>45562</x:v>
      </x:c>
      <x:c r="C375" t="str">
        <x:v>AUT-006</x:v>
      </x:c>
      <x:c r="D375" t="str">
        <x:v>S03</x:v>
      </x:c>
      <x:c r="E375" t="str">
        <x:v>AUTO-LG-B</x:v>
      </x:c>
      <x:c r="F375" t="str">
        <x:v>汽車精密零組件</x:v>
      </x:c>
      <x:c r="G375" t="n">
        <x:v>5000</x:v>
      </x:c>
      <x:c r="H375" t="n">
        <x:v>1191.01</x:v>
      </x:c>
      <x:c r="I375" t="n">
        <x:v>921.57</x:v>
      </x:c>
      <x:c r="J375" s="22" t="n">
        <x:v>0.2262281592933728</x:v>
      </x:c>
      <x:c r="K375" s="22" t="n">
        <x:v>0.0683</x:v>
      </x:c>
      <x:c r="L375" t="n">
        <x:v>13</x:v>
      </x:c>
      <x:c r="M375" t="str">
        <x:v>成交</x:v>
      </x:c>
      <x:c r="N375" s="20" t="n">
        <x:v>45569</x:v>
      </x:c>
      <x:c r="O375"/>
    </x:row>
    <x:row r="376" ht="20" customHeight="1">
      <x:c r="A376" t="str">
        <x:v>Q00375</x:v>
      </x:c>
      <x:c r="B376" s="20" t="n">
        <x:v>45555</x:v>
      </x:c>
      <x:c r="C376" t="str">
        <x:v>SEM-007</x:v>
      </x:c>
      <x:c r="D376" t="str">
        <x:v>S03</x:v>
      </x:c>
      <x:c r="E376" t="str">
        <x:v>MECH-CON-B</x:v>
      </x:c>
      <x:c r="F376" t="str">
        <x:v>機電／自動化模組</x:v>
      </x:c>
      <x:c r="G376" t="n">
        <x:v>50</x:v>
      </x:c>
      <x:c r="H376" t="n">
        <x:v>160461.02</x:v>
      </x:c>
      <x:c r="I376" t="n">
        <x:v>116453.05</x:v>
      </x:c>
      <x:c r="J376" s="22" t="n">
        <x:v>0.27425956783772154</x:v>
      </x:c>
      <x:c r="K376" s="22" t="n">
        <x:v>0.0193</x:v>
      </x:c>
      <x:c r="L376" t="n">
        <x:v>36</x:v>
      </x:c>
      <x:c r="M376" t="str">
        <x:v>成交</x:v>
      </x:c>
      <x:c r="N376" s="20" t="n">
        <x:v>45565</x:v>
      </x:c>
      <x:c r="O376"/>
    </x:row>
    <x:row r="377" ht="20" customHeight="1">
      <x:c r="A377" t="str">
        <x:v>Q00376</x:v>
      </x:c>
      <x:c r="B377" s="20" t="n">
        <x:v>45538</x:v>
      </x:c>
      <x:c r="C377" t="str">
        <x:v>EMS-001</x:v>
      </x:c>
      <x:c r="D377" t="str">
        <x:v>S02</x:v>
      </x:c>
      <x:c r="E377" t="str">
        <x:v>AUTO-LG-A</x:v>
      </x:c>
      <x:c r="F377" t="str">
        <x:v>汽車精密零組件</x:v>
      </x:c>
      <x:c r="G377" t="n">
        <x:v>7000</x:v>
      </x:c>
      <x:c r="H377" t="n">
        <x:v>1064.95</x:v>
      </x:c>
      <x:c r="I377" t="n">
        <x:v>823.11</x:v>
      </x:c>
      <x:c r="J377" s="22" t="n">
        <x:v>0.22709047373116112</x:v>
      </x:c>
      <x:c r="K377" s="22" t="n">
        <x:v>0.1088</x:v>
      </x:c>
      <x:c r="L377" t="n">
        <x:v>18</x:v>
      </x:c>
      <x:c r="M377" t="str">
        <x:v>成交</x:v>
      </x:c>
      <x:c r="N377" s="20" t="n">
        <x:v>45542</x:v>
      </x:c>
      <x:c r="O377"/>
    </x:row>
    <x:row r="378" ht="20" customHeight="1">
      <x:c r="A378" t="str">
        <x:v>Q00377</x:v>
      </x:c>
      <x:c r="B378" s="20" t="n">
        <x:v>45553</x:v>
      </x:c>
      <x:c r="C378" t="str">
        <x:v>AUT-008</x:v>
      </x:c>
      <x:c r="D378" t="str">
        <x:v>S01</x:v>
      </x:c>
      <x:c r="E378" t="str">
        <x:v>PM-BRG-A</x:v>
      </x:c>
      <x:c r="F378" t="str">
        <x:v>精密金屬加工件</x:v>
      </x:c>
      <x:c r="G378" t="n">
        <x:v>300</x:v>
      </x:c>
      <x:c r="H378" t="n">
        <x:v>7160.66</x:v>
      </x:c>
      <x:c r="I378" t="n">
        <x:v>4493.16</x:v>
      </x:c>
      <x:c r="J378" s="22" t="n">
        <x:v>0.37252152734524474</x:v>
      </x:c>
      <x:c r="K378" s="22" t="n">
        <x:v>0.01</x:v>
      </x:c>
      <x:c r="L378" t="n">
        <x:v>20</x:v>
      </x:c>
      <x:c r="M378" t="str">
        <x:v>成交</x:v>
      </x:c>
      <x:c r="N378" s="20" t="n">
        <x:v>45560</x:v>
      </x:c>
      <x:c r="O378"/>
    </x:row>
    <x:row r="379" ht="20" customHeight="1">
      <x:c r="A379" t="str">
        <x:v>Q00378</x:v>
      </x:c>
      <x:c r="B379" s="20" t="n">
        <x:v>45536</x:v>
      </x:c>
      <x:c r="C379" t="str">
        <x:v>IAT-002</x:v>
      </x:c>
      <x:c r="D379" t="str">
        <x:v>S01</x:v>
      </x:c>
      <x:c r="E379" t="str">
        <x:v>AUTO-FL-B</x:v>
      </x:c>
      <x:c r="F379" t="str">
        <x:v>汽車精密零組件</x:v>
      </x:c>
      <x:c r="G379" t="n">
        <x:v>3000</x:v>
      </x:c>
      <x:c r="H379" t="n">
        <x:v>1564.76</x:v>
      </x:c>
      <x:c r="I379" t="n">
        <x:v>1143.69</x:v>
      </x:c>
      <x:c r="J379" s="22" t="n">
        <x:v>0.26909558015286683</x:v>
      </x:c>
      <x:c r="K379" s="22" t="n">
        <x:v>0.0448</x:v>
      </x:c>
      <x:c r="L379" t="n">
        <x:v>19</x:v>
      </x:c>
      <x:c r="M379" t="str">
        <x:v>成交</x:v>
      </x:c>
      <x:c r="N379" s="20" t="n">
        <x:v>45541</x:v>
      </x:c>
      <x:c r="O379"/>
    </x:row>
    <x:row r="380" ht="20" customHeight="1">
      <x:c r="A380" t="str">
        <x:v>Q00379</x:v>
      </x:c>
      <x:c r="B380" s="20" t="n">
        <x:v>45560</x:v>
      </x:c>
      <x:c r="C380" t="str">
        <x:v>SEM-008</x:v>
      </x:c>
      <x:c r="D380" t="str">
        <x:v>S04</x:v>
      </x:c>
      <x:c r="E380" t="str">
        <x:v>PM-ALB-A</x:v>
      </x:c>
      <x:c r="F380" t="str">
        <x:v>精密金屬加工件</x:v>
      </x:c>
      <x:c r="G380" t="n">
        <x:v>800</x:v>
      </x:c>
      <x:c r="H380" t="n">
        <x:v>11220.34</x:v>
      </x:c>
      <x:c r="I380" t="n">
        <x:v>8303.17</x:v>
      </x:c>
      <x:c r="J380" s="22" t="n">
        <x:v>0.25998944773509536</x:v>
      </x:c>
      <x:c r="K380" s="22" t="n">
        <x:v>0.0414</x:v>
      </x:c>
      <x:c r="L380" t="n">
        <x:v>19</x:v>
      </x:c>
      <x:c r="M380" t="str">
        <x:v>成交</x:v>
      </x:c>
      <x:c r="N380" s="20" t="n">
        <x:v>45563</x:v>
      </x:c>
      <x:c r="O380"/>
    </x:row>
    <x:row r="381" ht="20" customHeight="1">
      <x:c r="A381" t="str">
        <x:v>Q00380</x:v>
      </x:c>
      <x:c r="B381" s="20" t="n">
        <x:v>45549</x:v>
      </x:c>
      <x:c r="C381" t="str">
        <x:v>AUT-003</x:v>
      </x:c>
      <x:c r="D381" t="str">
        <x:v>S03</x:v>
      </x:c>
      <x:c r="E381" t="str">
        <x:v>PM-VAC-B</x:v>
      </x:c>
      <x:c r="F381" t="str">
        <x:v>精密金屬加工件</x:v>
      </x:c>
      <x:c r="G381" t="n">
        <x:v>500</x:v>
      </x:c>
      <x:c r="H381" t="n">
        <x:v>23145.66</x:v>
      </x:c>
      <x:c r="I381" t="n">
        <x:v>15227.13</x:v>
      </x:c>
      <x:c r="J381" s="22" t="n">
        <x:v>0.34211726950106414</x:v>
      </x:c>
      <x:c r="K381" s="22" t="n">
        <x:v>0.01</x:v>
      </x:c>
      <x:c r="L381" t="n">
        <x:v>32</x:v>
      </x:c>
      <x:c r="M381" t="str">
        <x:v>成交</x:v>
      </x:c>
      <x:c r="N381" s="20" t="n">
        <x:v>45554</x:v>
      </x:c>
      <x:c r="O381"/>
    </x:row>
    <x:row r="382" ht="20" customHeight="1">
      <x:c r="A382" t="str">
        <x:v>Q00381</x:v>
      </x:c>
      <x:c r="B382" s="20" t="n">
        <x:v>45536</x:v>
      </x:c>
      <x:c r="C382" t="str">
        <x:v>AUT-013</x:v>
      </x:c>
      <x:c r="D382" t="str">
        <x:v>S01</x:v>
      </x:c>
      <x:c r="E382" t="str">
        <x:v>PM-BRG-A</x:v>
      </x:c>
      <x:c r="F382" t="str">
        <x:v>精密金屬加工件</x:v>
      </x:c>
      <x:c r="G382" t="n">
        <x:v>1200</x:v>
      </x:c>
      <x:c r="H382" t="n">
        <x:v>6706.86</x:v>
      </x:c>
      <x:c r="I382" t="n">
        <x:v>4372.55</x:v>
      </x:c>
      <x:c r="J382" s="22" t="n">
        <x:v>0.34804811789719775</x:v>
      </x:c>
      <x:c r="K382" s="22" t="n">
        <x:v>0.0695</x:v>
      </x:c>
      <x:c r="L382" t="n">
        <x:v>22</x:v>
      </x:c>
      <x:c r="M382" t="str">
        <x:v>未成交</x:v>
      </x:c>
      <x:c r="N382" s="20" t="n">
        <x:v>45542</x:v>
      </x:c>
      <x:c r="O382" t="str">
        <x:v>價格</x:v>
      </x:c>
    </x:row>
    <x:row r="383" ht="20" customHeight="1">
      <x:c r="A383" t="str">
        <x:v>Q00382</x:v>
      </x:c>
      <x:c r="B383" s="20" t="n">
        <x:v>45564</x:v>
      </x:c>
      <x:c r="C383" t="str">
        <x:v>IAT-008</x:v>
      </x:c>
      <x:c r="D383" t="str">
        <x:v>S01</x:v>
      </x:c>
      <x:c r="E383" t="str">
        <x:v>MECH-STG-B</x:v>
      </x:c>
      <x:c r="F383" t="str">
        <x:v>機電／自動化模組</x:v>
      </x:c>
      <x:c r="G383" t="n">
        <x:v>40</x:v>
      </x:c>
      <x:c r="H383" t="n">
        <x:v>197927.88</x:v>
      </x:c>
      <x:c r="I383" t="n">
        <x:v>149091.74</x:v>
      </x:c>
      <x:c r="J383" s="22" t="n">
        <x:v>0.2467370438161618</x:v>
      </x:c>
      <x:c r="K383" s="22" t="n">
        <x:v>0.0317</x:v>
      </x:c>
      <x:c r="L383" t="n">
        <x:v>47</x:v>
      </x:c>
      <x:c r="M383" t="str">
        <x:v>成交</x:v>
      </x:c>
      <x:c r="N383" s="20" t="n">
        <x:v>45574</x:v>
      </x:c>
      <x:c r="O383"/>
    </x:row>
    <x:row r="384" ht="20" customHeight="1">
      <x:c r="A384" t="str">
        <x:v>Q00383</x:v>
      </x:c>
      <x:c r="B384" s="20" t="n">
        <x:v>45558</x:v>
      </x:c>
      <x:c r="C384" t="str">
        <x:v>EMS-004</x:v>
      </x:c>
      <x:c r="D384" t="str">
        <x:v>S03</x:v>
      </x:c>
      <x:c r="E384" t="str">
        <x:v>AUTO-KN-B</x:v>
      </x:c>
      <x:c r="F384" t="str">
        <x:v>汽車精密零組件</x:v>
      </x:c>
      <x:c r="G384" t="n">
        <x:v>10000</x:v>
      </x:c>
      <x:c r="H384" t="n">
        <x:v>3463.47</x:v>
      </x:c>
      <x:c r="I384" t="n">
        <x:v>2610.33</x:v>
      </x:c>
      <x:c r="J384" s="22" t="n">
        <x:v>0.24632521719547157</x:v>
      </x:c>
      <x:c r="K384" s="22" t="n">
        <x:v>0.1268</x:v>
      </x:c>
      <x:c r="L384" t="n">
        <x:v>29</x:v>
      </x:c>
      <x:c r="M384" t="str">
        <x:v>未成交</x:v>
      </x:c>
      <x:c r="N384" s="20" t="n">
        <x:v>45563</x:v>
      </x:c>
      <x:c r="O384" t="str">
        <x:v>價格</x:v>
      </x:c>
    </x:row>
    <x:row r="385" ht="20" customHeight="1">
      <x:c r="A385" t="str">
        <x:v>Q00384</x:v>
      </x:c>
      <x:c r="B385" s="20" t="n">
        <x:v>45565</x:v>
      </x:c>
      <x:c r="C385" t="str">
        <x:v>AUT-012</x:v>
      </x:c>
      <x:c r="D385" t="str">
        <x:v>S06</x:v>
      </x:c>
      <x:c r="E385" t="str">
        <x:v>PM-ALB-B</x:v>
      </x:c>
      <x:c r="F385" t="str">
        <x:v>精密金屬加工件</x:v>
      </x:c>
      <x:c r="G385" t="n">
        <x:v>300</x:v>
      </x:c>
      <x:c r="H385" t="n">
        <x:v>15521.24</x:v>
      </x:c>
      <x:c r="I385" t="n">
        <x:v>12218.12</x:v>
      </x:c>
      <x:c r="J385" s="22" t="n">
        <x:v>0.2128128938151848</x:v>
      </x:c>
      <x:c r="K385" s="22" t="n">
        <x:v>0.0752</x:v>
      </x:c>
      <x:c r="L385" t="n">
        <x:v>34</x:v>
      </x:c>
      <x:c r="M385" t="str">
        <x:v>成交</x:v>
      </x:c>
      <x:c r="N385" s="20" t="n">
        <x:v>45569</x:v>
      </x:c>
      <x:c r="O385"/>
    </x:row>
    <x:row r="386" ht="20" customHeight="1">
      <x:c r="A386" t="str">
        <x:v>Q00385</x:v>
      </x:c>
      <x:c r="B386" s="20" t="n">
        <x:v>45564</x:v>
      </x:c>
      <x:c r="C386" t="str">
        <x:v>SEM-009</x:v>
      </x:c>
      <x:c r="D386" t="str">
        <x:v>S02</x:v>
      </x:c>
      <x:c r="E386" t="str">
        <x:v>SEMI-WH-B</x:v>
      </x:c>
      <x:c r="F386" t="str">
        <x:v>半導體設備零組件</x:v>
      </x:c>
      <x:c r="G386" t="n">
        <x:v>40</x:v>
      </x:c>
      <x:c r="H386" t="n">
        <x:v>172182</x:v>
      </x:c>
      <x:c r="I386" t="n">
        <x:v>135135.74</x:v>
      </x:c>
      <x:c r="J386" s="22" t="n">
        <x:v>0.21515756583150392</x:v>
      </x:c>
      <x:c r="K386" s="22" t="n">
        <x:v>0.0411</x:v>
      </x:c>
      <x:c r="L386" t="n">
        <x:v>51</x:v>
      </x:c>
      <x:c r="M386" t="str">
        <x:v>成交</x:v>
      </x:c>
      <x:c r="N386" s="20" t="n">
        <x:v>45571</x:v>
      </x:c>
      <x:c r="O386"/>
    </x:row>
    <x:row r="387" ht="20" customHeight="1">
      <x:c r="A387" t="str">
        <x:v>Q00386</x:v>
      </x:c>
      <x:c r="B387" s="20" t="n">
        <x:v>45553</x:v>
      </x:c>
      <x:c r="C387" t="str">
        <x:v>IAT-001</x:v>
      </x:c>
      <x:c r="D387" t="str">
        <x:v>S05</x:v>
      </x:c>
      <x:c r="E387" t="str">
        <x:v>AUTO-MH-B</x:v>
      </x:c>
      <x:c r="F387" t="str">
        <x:v>汽車精密零組件</x:v>
      </x:c>
      <x:c r="G387" t="n">
        <x:v>7000</x:v>
      </x:c>
      <x:c r="H387" t="n">
        <x:v>3120.63</x:v>
      </x:c>
      <x:c r="I387" t="n">
        <x:v>2349.6</x:v>
      </x:c>
      <x:c r="J387" s="22" t="n">
        <x:v>0.24707510983359135</x:v>
      </x:c>
      <x:c r="K387" s="22" t="n">
        <x:v>0.01</x:v>
      </x:c>
      <x:c r="L387" t="n">
        <x:v>27</x:v>
      </x:c>
      <x:c r="M387" t="str">
        <x:v>成交</x:v>
      </x:c>
      <x:c r="N387" s="20" t="n">
        <x:v>45562</x:v>
      </x:c>
      <x:c r="O387"/>
    </x:row>
    <x:row r="388" ht="20" customHeight="1">
      <x:c r="A388" t="str">
        <x:v>Q00387</x:v>
      </x:c>
      <x:c r="B388" s="20" t="n">
        <x:v>45557</x:v>
      </x:c>
      <x:c r="C388" t="str">
        <x:v>SEM-002</x:v>
      </x:c>
      <x:c r="D388" t="str">
        <x:v>S02</x:v>
      </x:c>
      <x:c r="E388" t="str">
        <x:v>PM-ALB-B</x:v>
      </x:c>
      <x:c r="F388" t="str">
        <x:v>精密金屬加工件</x:v>
      </x:c>
      <x:c r="G388" t="n">
        <x:v>500</x:v>
      </x:c>
      <x:c r="H388" t="n">
        <x:v>16351.43</x:v>
      </x:c>
      <x:c r="I388" t="n">
        <x:v>12060.6</x:v>
      </x:c>
      <x:c r="J388" s="22" t="n">
        <x:v>0.26241313450872494</x:v>
      </x:c>
      <x:c r="K388" s="22" t="n">
        <x:v>0.0431</x:v>
      </x:c>
      <x:c r="L388" t="n">
        <x:v>27</x:v>
      </x:c>
      <x:c r="M388" t="str">
        <x:v>成交</x:v>
      </x:c>
      <x:c r="N388" s="20" t="n">
        <x:v>45567</x:v>
      </x:c>
      <x:c r="O388"/>
    </x:row>
    <x:row r="389" ht="20" customHeight="1">
      <x:c r="A389" t="str">
        <x:v>Q00388</x:v>
      </x:c>
      <x:c r="B389" s="20" t="n">
        <x:v>45565</x:v>
      </x:c>
      <x:c r="C389" t="str">
        <x:v>AFT-006</x:v>
      </x:c>
      <x:c r="D389" t="str">
        <x:v>S01</x:v>
      </x:c>
      <x:c r="E389" t="str">
        <x:v>AUTO-BS-B</x:v>
      </x:c>
      <x:c r="F389" t="str">
        <x:v>汽車精密零組件</x:v>
      </x:c>
      <x:c r="G389" t="n">
        <x:v>7000</x:v>
      </x:c>
      <x:c r="H389" t="n">
        <x:v>825.34</x:v>
      </x:c>
      <x:c r="I389" t="n">
        <x:v>652.07</x:v>
      </x:c>
      <x:c r="J389" s="22" t="n">
        <x:v>0.20993772263551988</x:v>
      </x:c>
      <x:c r="K389" s="22" t="n">
        <x:v>0.1461</x:v>
      </x:c>
      <x:c r="L389" t="n">
        <x:v>12</x:v>
      </x:c>
      <x:c r="M389" t="str">
        <x:v>成交</x:v>
      </x:c>
      <x:c r="N389" s="20" t="n">
        <x:v>45573</x:v>
      </x:c>
      <x:c r="O389"/>
    </x:row>
    <x:row r="390" ht="20" customHeight="1">
      <x:c r="A390" t="str">
        <x:v>Q00389</x:v>
      </x:c>
      <x:c r="B390" s="20" t="n">
        <x:v>45564</x:v>
      </x:c>
      <x:c r="C390" t="str">
        <x:v>SEM-006</x:v>
      </x:c>
      <x:c r="D390" t="str">
        <x:v>S06</x:v>
      </x:c>
      <x:c r="E390" t="str">
        <x:v>SEMI-CHB-A</x:v>
      </x:c>
      <x:c r="F390" t="str">
        <x:v>半導體設備零組件</x:v>
      </x:c>
      <x:c r="G390" t="n">
        <x:v>40</x:v>
      </x:c>
      <x:c r="H390" t="n">
        <x:v>92194.68</x:v>
      </x:c>
      <x:c r="I390" t="n">
        <x:v>69224.8</x:v>
      </x:c>
      <x:c r="J390" s="22" t="n">
        <x:v>0.24914539537422323</x:v>
      </x:c>
      <x:c r="K390" s="22" t="n">
        <x:v>0.0565</x:v>
      </x:c>
      <x:c r="L390" t="n">
        <x:v>33</x:v>
      </x:c>
      <x:c r="M390" t="str">
        <x:v>成交</x:v>
      </x:c>
      <x:c r="N390" s="20" t="n">
        <x:v>45572</x:v>
      </x:c>
      <x:c r="O390"/>
    </x:row>
    <x:row r="391" ht="20" customHeight="1">
      <x:c r="A391" t="str">
        <x:v>Q00390</x:v>
      </x:c>
      <x:c r="B391" s="20" t="n">
        <x:v>45537</x:v>
      </x:c>
      <x:c r="C391" t="str">
        <x:v>IAT-004</x:v>
      </x:c>
      <x:c r="D391" t="str">
        <x:v>S05</x:v>
      </x:c>
      <x:c r="E391" t="str">
        <x:v>MECH-CON-A</x:v>
      </x:c>
      <x:c r="F391" t="str">
        <x:v>機電／自動化模組</x:v>
      </x:c>
      <x:c r="G391" t="n">
        <x:v>30</x:v>
      </x:c>
      <x:c r="H391" t="n">
        <x:v>107723.37</x:v>
      </x:c>
      <x:c r="I391" t="n">
        <x:v>86274.56</x:v>
      </x:c>
      <x:c r="J391" s="22" t="n">
        <x:v>0.1991100909672618</x:v>
      </x:c>
      <x:c r="K391" s="22" t="n">
        <x:v>0.0985</x:v>
      </x:c>
      <x:c r="L391" t="n">
        <x:v>34</x:v>
      </x:c>
      <x:c r="M391" t="str">
        <x:v>未成交</x:v>
      </x:c>
      <x:c r="N391" s="20" t="n">
        <x:v>45549</x:v>
      </x:c>
      <x:c r="O391" t="str">
        <x:v>競品</x:v>
      </x:c>
    </x:row>
    <x:row r="392" ht="20" customHeight="1">
      <x:c r="A392" t="str">
        <x:v>Q00391</x:v>
      </x:c>
      <x:c r="B392" s="20" t="n">
        <x:v>45587</x:v>
      </x:c>
      <x:c r="C392" t="str">
        <x:v>IAT-007</x:v>
      </x:c>
      <x:c r="D392" t="str">
        <x:v>S04</x:v>
      </x:c>
      <x:c r="E392" t="str">
        <x:v>SEMI-WH-A</x:v>
      </x:c>
      <x:c r="F392" t="str">
        <x:v>半導體設備零組件</x:v>
      </x:c>
      <x:c r="G392" t="n">
        <x:v>40</x:v>
      </x:c>
      <x:c r="H392" t="n">
        <x:v>116647.84</x:v>
      </x:c>
      <x:c r="I392" t="n">
        <x:v>91241.63</x:v>
      </x:c>
      <x:c r="J392" s="22" t="n">
        <x:v>0.21780266141233298</x:v>
      </x:c>
      <x:c r="K392" s="22" t="n">
        <x:v>0.0296</x:v>
      </x:c>
      <x:c r="L392" t="n">
        <x:v>53</x:v>
      </x:c>
      <x:c r="M392" t="str">
        <x:v>成交</x:v>
      </x:c>
      <x:c r="N392" s="20" t="n">
        <x:v>45593</x:v>
      </x:c>
      <x:c r="O392"/>
    </x:row>
    <x:row r="393" ht="20" customHeight="1">
      <x:c r="A393" t="str">
        <x:v>Q00392</x:v>
      </x:c>
      <x:c r="B393" s="20" t="n">
        <x:v>45589</x:v>
      </x:c>
      <x:c r="C393" t="str">
        <x:v>SEM-005</x:v>
      </x:c>
      <x:c r="D393" t="str">
        <x:v>S06</x:v>
      </x:c>
      <x:c r="E393" t="str">
        <x:v>MECH-STG-A</x:v>
      </x:c>
      <x:c r="F393" t="str">
        <x:v>機電／自動化模組</x:v>
      </x:c>
      <x:c r="G393" t="n">
        <x:v>40</x:v>
      </x:c>
      <x:c r="H393" t="n">
        <x:v>139202.79</x:v>
      </x:c>
      <x:c r="I393" t="n">
        <x:v>106280.59</x:v>
      </x:c>
      <x:c r="J393" s="22" t="n">
        <x:v>0.23650531717072631</x:v>
      </x:c>
      <x:c r="K393" s="22" t="n">
        <x:v>0.0497</x:v>
      </x:c>
      <x:c r="L393" t="n">
        <x:v>35</x:v>
      </x:c>
      <x:c r="M393" t="str">
        <x:v>成交</x:v>
      </x:c>
      <x:c r="N393" s="20" t="n">
        <x:v>45599</x:v>
      </x:c>
      <x:c r="O393"/>
    </x:row>
    <x:row r="394" ht="20" customHeight="1">
      <x:c r="A394" t="str">
        <x:v>Q00393</x:v>
      </x:c>
      <x:c r="B394" s="20" t="n">
        <x:v>45580</x:v>
      </x:c>
      <x:c r="C394" t="str">
        <x:v>EMS-004</x:v>
      </x:c>
      <x:c r="D394" t="str">
        <x:v>S03</x:v>
      </x:c>
      <x:c r="E394" t="str">
        <x:v>PM-BRG-B</x:v>
      </x:c>
      <x:c r="F394" t="str">
        <x:v>精密金屬加工件</x:v>
      </x:c>
      <x:c r="G394" t="n">
        <x:v>1600</x:v>
      </x:c>
      <x:c r="H394" t="n">
        <x:v>8014.34</x:v>
      </x:c>
      <x:c r="I394" t="n">
        <x:v>5477.53</x:v>
      </x:c>
      <x:c r="J394" s="22" t="n">
        <x:v>0.31653386305048203</x:v>
      </x:c>
      <x:c r="K394" s="22" t="n">
        <x:v>0.0568</x:v>
      </x:c>
      <x:c r="L394" t="n">
        <x:v>16</x:v>
      </x:c>
      <x:c r="M394" t="str">
        <x:v>成交</x:v>
      </x:c>
      <x:c r="N394" s="20" t="n">
        <x:v>45586</x:v>
      </x:c>
      <x:c r="O394"/>
    </x:row>
    <x:row r="395" ht="20" customHeight="1">
      <x:c r="A395" t="str">
        <x:v>Q00394</x:v>
      </x:c>
      <x:c r="B395" s="20" t="n">
        <x:v>45576</x:v>
      </x:c>
      <x:c r="C395" t="str">
        <x:v>EMS-002</x:v>
      </x:c>
      <x:c r="D395" t="str">
        <x:v>S05</x:v>
      </x:c>
      <x:c r="E395" t="str">
        <x:v>AUTO-BRK-A</x:v>
      </x:c>
      <x:c r="F395" t="str">
        <x:v>汽車精密零組件</x:v>
      </x:c>
      <x:c r="G395" t="n">
        <x:v>13000</x:v>
      </x:c>
      <x:c r="H395" t="n">
        <x:v>1748.16</x:v>
      </x:c>
      <x:c r="I395" t="n">
        <x:v>1399.79</x:v>
      </x:c>
      <x:c r="J395" s="22" t="n">
        <x:v>0.1992780981145891</x:v>
      </x:c>
      <x:c r="K395" s="22" t="n">
        <x:v>0.0559</x:v>
      </x:c>
      <x:c r="L395" t="n">
        <x:v>19</x:v>
      </x:c>
      <x:c r="M395" t="str">
        <x:v>成交</x:v>
      </x:c>
      <x:c r="N395" s="20" t="n">
        <x:v>45588</x:v>
      </x:c>
      <x:c r="O395"/>
    </x:row>
    <x:row r="396" ht="20" customHeight="1">
      <x:c r="A396" t="str">
        <x:v>Q00395</x:v>
      </x:c>
      <x:c r="B396" s="20" t="n">
        <x:v>45579</x:v>
      </x:c>
      <x:c r="C396" t="str">
        <x:v>IAT-002</x:v>
      </x:c>
      <x:c r="D396" t="str">
        <x:v>S01</x:v>
      </x:c>
      <x:c r="E396" t="str">
        <x:v>AUTO-BS-A</x:v>
      </x:c>
      <x:c r="F396" t="str">
        <x:v>汽車精密零組件</x:v>
      </x:c>
      <x:c r="G396" t="n">
        <x:v>7000</x:v>
      </x:c>
      <x:c r="H396" t="n">
        <x:v>781.66</x:v>
      </x:c>
      <x:c r="I396" t="n">
        <x:v>536.03</x:v>
      </x:c>
      <x:c r="J396" s="22" t="n">
        <x:v>0.3142414860681115</x:v>
      </x:c>
      <x:c r="K396" s="22" t="n">
        <x:v>0.0392</x:v>
      </x:c>
      <x:c r="L396" t="n">
        <x:v>12</x:v>
      </x:c>
      <x:c r="M396" t="str">
        <x:v>成交</x:v>
      </x:c>
      <x:c r="N396" s="20" t="n">
        <x:v>45588</x:v>
      </x:c>
      <x:c r="O396"/>
    </x:row>
    <x:row r="397" ht="20" customHeight="1">
      <x:c r="A397" t="str">
        <x:v>Q00396</x:v>
      </x:c>
      <x:c r="B397" s="20" t="n">
        <x:v>45588</x:v>
      </x:c>
      <x:c r="C397" t="str">
        <x:v>AUT-009</x:v>
      </x:c>
      <x:c r="D397" t="str">
        <x:v>S04</x:v>
      </x:c>
      <x:c r="E397" t="str">
        <x:v>AUTO-BS-A</x:v>
      </x:c>
      <x:c r="F397" t="str">
        <x:v>汽車精密零組件</x:v>
      </x:c>
      <x:c r="G397" t="n">
        <x:v>13000</x:v>
      </x:c>
      <x:c r="H397" t="n">
        <x:v>788.27</x:v>
      </x:c>
      <x:c r="I397" t="n">
        <x:v>558.01</x:v>
      </x:c>
      <x:c r="J397" s="22" t="n">
        <x:v>0.29210803404924707</x:v>
      </x:c>
      <x:c r="K397" s="22" t="n">
        <x:v>0.0509</x:v>
      </x:c>
      <x:c r="L397" t="n">
        <x:v>12</x:v>
      </x:c>
      <x:c r="M397" t="str">
        <x:v>未成交</x:v>
      </x:c>
      <x:c r="N397" s="20" t="n">
        <x:v>45591</x:v>
      </x:c>
      <x:c r="O397" t="str">
        <x:v>專案取消</x:v>
      </x:c>
    </x:row>
    <x:row r="398" ht="20" customHeight="1">
      <x:c r="A398" t="str">
        <x:v>Q00397</x:v>
      </x:c>
      <x:c r="B398" s="20" t="n">
        <x:v>45575</x:v>
      </x:c>
      <x:c r="C398" t="str">
        <x:v>EMS-006</x:v>
      </x:c>
      <x:c r="D398" t="str">
        <x:v>S03</x:v>
      </x:c>
      <x:c r="E398" t="str">
        <x:v>PM-SUS-A</x:v>
      </x:c>
      <x:c r="F398" t="str">
        <x:v>精密金屬加工件</x:v>
      </x:c>
      <x:c r="G398" t="n">
        <x:v>500</x:v>
      </x:c>
      <x:c r="H398" t="n">
        <x:v>10892.55</x:v>
      </x:c>
      <x:c r="I398" t="n">
        <x:v>7679.48</x:v>
      </x:c>
      <x:c r="J398" s="22" t="n">
        <x:v>0.29497867808731654</x:v>
      </x:c>
      <x:c r="K398" s="22" t="n">
        <x:v>0.0155</x:v>
      </x:c>
      <x:c r="L398" t="n">
        <x:v>18</x:v>
      </x:c>
      <x:c r="M398" t="str">
        <x:v>成交</x:v>
      </x:c>
      <x:c r="N398" s="20" t="n">
        <x:v>45587</x:v>
      </x:c>
      <x:c r="O398"/>
    </x:row>
    <x:row r="399" ht="20" customHeight="1">
      <x:c r="A399" t="str">
        <x:v>Q00398</x:v>
      </x:c>
      <x:c r="B399" s="20" t="n">
        <x:v>45592</x:v>
      </x:c>
      <x:c r="C399" t="str">
        <x:v>IAT-004</x:v>
      </x:c>
      <x:c r="D399" t="str">
        <x:v>S05</x:v>
      </x:c>
      <x:c r="E399" t="str">
        <x:v>AUTO-BRK-A</x:v>
      </x:c>
      <x:c r="F399" t="str">
        <x:v>汽車精密零組件</x:v>
      </x:c>
      <x:c r="G399" t="n">
        <x:v>10000</x:v>
      </x:c>
      <x:c r="H399" t="n">
        <x:v>1812.15</x:v>
      </x:c>
      <x:c r="I399" t="n">
        <x:v>1434.62</x:v>
      </x:c>
      <x:c r="J399" s="22" t="n">
        <x:v>0.2083326435449605</x:v>
      </x:c>
      <x:c r="K399" s="22" t="n">
        <x:v>0.037</x:v>
      </x:c>
      <x:c r="L399" t="n">
        <x:v>16</x:v>
      </x:c>
      <x:c r="M399" t="str">
        <x:v>成交</x:v>
      </x:c>
      <x:c r="N399" s="20" t="n">
        <x:v>45603</x:v>
      </x:c>
      <x:c r="O399"/>
    </x:row>
    <x:row r="400" ht="20" customHeight="1">
      <x:c r="A400" t="str">
        <x:v>Q00399</x:v>
      </x:c>
      <x:c r="B400" s="20" t="n">
        <x:v>45594</x:v>
      </x:c>
      <x:c r="C400" t="str">
        <x:v>SEM-008</x:v>
      </x:c>
      <x:c r="D400" t="str">
        <x:v>S04</x:v>
      </x:c>
      <x:c r="E400" t="str">
        <x:v>PM-ALB-B</x:v>
      </x:c>
      <x:c r="F400" t="str">
        <x:v>精密金屬加工件</x:v>
      </x:c>
      <x:c r="G400" t="n">
        <x:v>1600</x:v>
      </x:c>
      <x:c r="H400" t="n">
        <x:v>14427.02</x:v>
      </x:c>
      <x:c r="I400" t="n">
        <x:v>11868.21</x:v>
      </x:c>
      <x:c r="J400" s="22" t="n">
        <x:v>0.17736233816824273</x:v>
      </x:c>
      <x:c r="K400" s="22" t="n">
        <x:v>0.1477</x:v>
      </x:c>
      <x:c r="L400" t="n">
        <x:v>25</x:v>
      </x:c>
      <x:c r="M400" t="str">
        <x:v>成交</x:v>
      </x:c>
      <x:c r="N400" s="20" t="n">
        <x:v>45606</x:v>
      </x:c>
      <x:c r="O400"/>
    </x:row>
    <x:row r="401" ht="20" customHeight="1">
      <x:c r="A401" t="str">
        <x:v>Q00400</x:v>
      </x:c>
      <x:c r="B401" s="20" t="n">
        <x:v>45578</x:v>
      </x:c>
      <x:c r="C401" t="str">
        <x:v>AFT-002</x:v>
      </x:c>
      <x:c r="D401" t="str">
        <x:v>S04</x:v>
      </x:c>
      <x:c r="E401" t="str">
        <x:v>PM-ALB-A</x:v>
      </x:c>
      <x:c r="F401" t="str">
        <x:v>精密金屬加工件</x:v>
      </x:c>
      <x:c r="G401" t="n">
        <x:v>300</x:v>
      </x:c>
      <x:c r="H401" t="n">
        <x:v>10894.36</x:v>
      </x:c>
      <x:c r="I401" t="n">
        <x:v>8287.16</x:v>
      </x:c>
      <x:c r="J401" s="22" t="n">
        <x:v>0.23931649036749295</x:v>
      </x:c>
      <x:c r="K401" s="22" t="n">
        <x:v>0.0674</x:v>
      </x:c>
      <x:c r="L401" t="n">
        <x:v>24</x:v>
      </x:c>
      <x:c r="M401" t="str">
        <x:v>成交</x:v>
      </x:c>
      <x:c r="N401" s="20" t="n">
        <x:v>45585</x:v>
      </x:c>
      <x:c r="O401"/>
    </x:row>
    <x:row r="402" ht="20" customHeight="1">
      <x:c r="A402" t="str">
        <x:v>Q00401</x:v>
      </x:c>
      <x:c r="B402" s="20" t="n">
        <x:v>45592</x:v>
      </x:c>
      <x:c r="C402" t="str">
        <x:v>EMS-002</x:v>
      </x:c>
      <x:c r="D402" t="str">
        <x:v>S05</x:v>
      </x:c>
      <x:c r="E402" t="str">
        <x:v>AUTO-MH-A</x:v>
      </x:c>
      <x:c r="F402" t="str">
        <x:v>汽車精密零組件</x:v>
      </x:c>
      <x:c r="G402" t="n">
        <x:v>3000</x:v>
      </x:c>
      <x:c r="H402" t="n">
        <x:v>2263.25</x:v>
      </x:c>
      <x:c r="I402" t="n">
        <x:v>1961.99</x:v>
      </x:c>
      <x:c r="J402" s="22" t="n">
        <x:v>0.13310946647520158</x:v>
      </x:c>
      <x:c r="K402" s="22" t="n">
        <x:v>0.1453</x:v>
      </x:c>
      <x:c r="L402" t="n">
        <x:v>16</x:v>
      </x:c>
      <x:c r="M402" t="str">
        <x:v>成交</x:v>
      </x:c>
      <x:c r="N402" s="20" t="n">
        <x:v>45598</x:v>
      </x:c>
      <x:c r="O402"/>
    </x:row>
    <x:row r="403" ht="20" customHeight="1">
      <x:c r="A403" t="str">
        <x:v>Q00402</x:v>
      </x:c>
      <x:c r="B403" s="20" t="n">
        <x:v>45585</x:v>
      </x:c>
      <x:c r="C403" t="str">
        <x:v>AFT-001</x:v>
      </x:c>
      <x:c r="D403" t="str">
        <x:v>S05</x:v>
      </x:c>
      <x:c r="E403" t="str">
        <x:v>PM-SUS-A</x:v>
      </x:c>
      <x:c r="F403" t="str">
        <x:v>精密金屬加工件</x:v>
      </x:c>
      <x:c r="G403" t="n">
        <x:v>800</x:v>
      </x:c>
      <x:c r="H403" t="n">
        <x:v>11196.82</x:v>
      </x:c>
      <x:c r="I403" t="n">
        <x:v>7371.17</x:v>
      </x:c>
      <x:c r="J403" s="22" t="n">
        <x:v>0.3416729035565455</x:v>
      </x:c>
      <x:c r="K403" s="22" t="n">
        <x:v>0.0126</x:v>
      </x:c>
      <x:c r="L403" t="n">
        <x:v>25</x:v>
      </x:c>
      <x:c r="M403" t="str">
        <x:v>成交</x:v>
      </x:c>
      <x:c r="N403" s="20" t="n">
        <x:v>45595</x:v>
      </x:c>
      <x:c r="O403"/>
    </x:row>
    <x:row r="404" ht="20" customHeight="1">
      <x:c r="A404" t="str">
        <x:v>Q00403</x:v>
      </x:c>
      <x:c r="B404" s="20" t="n">
        <x:v>45571</x:v>
      </x:c>
      <x:c r="C404" t="str">
        <x:v>AFT-008</x:v>
      </x:c>
      <x:c r="D404" t="str">
        <x:v>S04</x:v>
      </x:c>
      <x:c r="E404" t="str">
        <x:v>AUTO-FL-B</x:v>
      </x:c>
      <x:c r="F404" t="str">
        <x:v>汽車精密零組件</x:v>
      </x:c>
      <x:c r="G404" t="n">
        <x:v>13000</x:v>
      </x:c>
      <x:c r="H404" t="n">
        <x:v>1615.35</x:v>
      </x:c>
      <x:c r="I404" t="n">
        <x:v>1145.81</x:v>
      </x:c>
      <x:c r="J404" s="22" t="n">
        <x:v>0.2906738477729285</x:v>
      </x:c>
      <x:c r="K404" s="22" t="n">
        <x:v>0.01</x:v>
      </x:c>
      <x:c r="L404" t="n">
        <x:v>16</x:v>
      </x:c>
      <x:c r="M404" t="str">
        <x:v>未成交</x:v>
      </x:c>
      <x:c r="N404" s="20" t="n">
        <x:v>45582</x:v>
      </x:c>
      <x:c r="O404" t="str">
        <x:v>價格</x:v>
      </x:c>
    </x:row>
    <x:row r="405" ht="20" customHeight="1">
      <x:c r="A405" t="str">
        <x:v>Q00404</x:v>
      </x:c>
      <x:c r="B405" s="20" t="n">
        <x:v>45583</x:v>
      </x:c>
      <x:c r="C405" t="str">
        <x:v>EMS-006</x:v>
      </x:c>
      <x:c r="D405" t="str">
        <x:v>S03</x:v>
      </x:c>
      <x:c r="E405" t="str">
        <x:v>PM-VAC-A</x:v>
      </x:c>
      <x:c r="F405" t="str">
        <x:v>精密金屬加工件</x:v>
      </x:c>
      <x:c r="G405" t="n">
        <x:v>800</x:v>
      </x:c>
      <x:c r="H405" t="n">
        <x:v>16753.46</x:v>
      </x:c>
      <x:c r="I405" t="n">
        <x:v>10980.15</x:v>
      </x:c>
      <x:c r="J405" s="22" t="n">
        <x:v>0.34460404000128925</x:v>
      </x:c>
      <x:c r="K405" s="22" t="n">
        <x:v>0.0204</x:v>
      </x:c>
      <x:c r="L405" t="n">
        <x:v>25</x:v>
      </x:c>
      <x:c r="M405" t="str">
        <x:v>成交</x:v>
      </x:c>
      <x:c r="N405" s="20" t="n">
        <x:v>45591</x:v>
      </x:c>
      <x:c r="O405"/>
    </x:row>
    <x:row r="406" ht="20" customHeight="1">
      <x:c r="A406" t="str">
        <x:v>Q00405</x:v>
      </x:c>
      <x:c r="B406" s="20" t="n">
        <x:v>45566</x:v>
      </x:c>
      <x:c r="C406" t="str">
        <x:v>EMS-002</x:v>
      </x:c>
      <x:c r="D406" t="str">
        <x:v>S05</x:v>
      </x:c>
      <x:c r="E406" t="str">
        <x:v>AUTO-LG-B</x:v>
      </x:c>
      <x:c r="F406" t="str">
        <x:v>汽車精密零組件</x:v>
      </x:c>
      <x:c r="G406" t="n">
        <x:v>5000</x:v>
      </x:c>
      <x:c r="H406" t="n">
        <x:v>1147.41</x:v>
      </x:c>
      <x:c r="I406" t="n">
        <x:v>936.28</x:v>
      </x:c>
      <x:c r="J406" s="22" t="n">
        <x:v>0.18400571722400894</x:v>
      </x:c>
      <x:c r="K406" s="22" t="n">
        <x:v>0.1166</x:v>
      </x:c>
      <x:c r="L406" t="n">
        <x:v>16</x:v>
      </x:c>
      <x:c r="M406" t="str">
        <x:v>未成交</x:v>
      </x:c>
      <x:c r="N406" s="20" t="n">
        <x:v>45569</x:v>
      </x:c>
      <x:c r="O406" t="str">
        <x:v>交期</x:v>
      </x:c>
    </x:row>
    <x:row r="407" ht="20" customHeight="1">
      <x:c r="A407" t="str">
        <x:v>Q00406</x:v>
      </x:c>
      <x:c r="B407" s="20" t="n">
        <x:v>45571</x:v>
      </x:c>
      <x:c r="C407" t="str">
        <x:v>IAT-008</x:v>
      </x:c>
      <x:c r="D407" t="str">
        <x:v>S01</x:v>
      </x:c>
      <x:c r="E407" t="str">
        <x:v>PM-VAC-B</x:v>
      </x:c>
      <x:c r="F407" t="str">
        <x:v>精密金屬加工件</x:v>
      </x:c>
      <x:c r="G407" t="n">
        <x:v>800</x:v>
      </x:c>
      <x:c r="H407" t="n">
        <x:v>22105.31</x:v>
      </x:c>
      <x:c r="I407" t="n">
        <x:v>15626.75</x:v>
      </x:c>
      <x:c r="J407" s="22" t="n">
        <x:v>0.2930770932413977</x:v>
      </x:c>
      <x:c r="K407" s="22" t="n">
        <x:v>0.0616</x:v>
      </x:c>
      <x:c r="L407" t="n">
        <x:v>35</x:v>
      </x:c>
      <x:c r="M407" t="str">
        <x:v>成交</x:v>
      </x:c>
      <x:c r="N407" s="20" t="n">
        <x:v>45576</x:v>
      </x:c>
      <x:c r="O407"/>
    </x:row>
    <x:row r="408" ht="20" customHeight="1">
      <x:c r="A408" t="str">
        <x:v>Q00407</x:v>
      </x:c>
      <x:c r="B408" s="20" t="n">
        <x:v>45595</x:v>
      </x:c>
      <x:c r="C408" t="str">
        <x:v>AUT-002</x:v>
      </x:c>
      <x:c r="D408" t="str">
        <x:v>S04</x:v>
      </x:c>
      <x:c r="E408" t="str">
        <x:v>PM-VAC-B</x:v>
      </x:c>
      <x:c r="F408" t="str">
        <x:v>精密金屬加工件</x:v>
      </x:c>
      <x:c r="G408" t="n">
        <x:v>300</x:v>
      </x:c>
      <x:c r="H408" t="n">
        <x:v>22660.03</x:v>
      </x:c>
      <x:c r="I408" t="n">
        <x:v>16027.93</x:v>
      </x:c>
      <x:c r="J408" s="22" t="n">
        <x:v>0.29267834155559364</x:v>
      </x:c>
      <x:c r="K408" s="22" t="n">
        <x:v>0.0518</x:v>
      </x:c>
      <x:c r="L408" t="n">
        <x:v>33</x:v>
      </x:c>
      <x:c r="M408" t="str">
        <x:v>成交</x:v>
      </x:c>
      <x:c r="N408" s="20" t="n">
        <x:v>45606</x:v>
      </x:c>
      <x:c r="O408"/>
    </x:row>
    <x:row r="409" ht="20" customHeight="1">
      <x:c r="A409" t="str">
        <x:v>Q00408</x:v>
      </x:c>
      <x:c r="B409" s="20" t="n">
        <x:v>45566</x:v>
      </x:c>
      <x:c r="C409" t="str">
        <x:v>AUT-005</x:v>
      </x:c>
      <x:c r="D409" t="str">
        <x:v>S04</x:v>
      </x:c>
      <x:c r="E409" t="str">
        <x:v>AUTO-KN-B</x:v>
      </x:c>
      <x:c r="F409" t="str">
        <x:v>汽車精密零組件</x:v>
      </x:c>
      <x:c r="G409" t="n">
        <x:v>5000</x:v>
      </x:c>
      <x:c r="H409" t="n">
        <x:v>3825.33</x:v>
      </x:c>
      <x:c r="I409" t="n">
        <x:v>2563.61</x:v>
      </x:c>
      <x:c r="J409" s="22" t="n">
        <x:v>0.3298329817296808</x:v>
      </x:c>
      <x:c r="K409" s="22" t="n">
        <x:v>0.0547</x:v>
      </x:c>
      <x:c r="L409" t="n">
        <x:v>29</x:v>
      </x:c>
      <x:c r="M409" t="str">
        <x:v>未成交</x:v>
      </x:c>
      <x:c r="N409" s="20" t="n">
        <x:v>45569</x:v>
      </x:c>
      <x:c r="O409" t="str">
        <x:v>競品</x:v>
      </x:c>
    </x:row>
    <x:row r="410" ht="20" customHeight="1">
      <x:c r="A410" t="str">
        <x:v>Q00409</x:v>
      </x:c>
      <x:c r="B410" s="20" t="n">
        <x:v>45582</x:v>
      </x:c>
      <x:c r="C410" t="str">
        <x:v>SEM-006</x:v>
      </x:c>
      <x:c r="D410" t="str">
        <x:v>S06</x:v>
      </x:c>
      <x:c r="E410" t="str">
        <x:v>MECH-CON-A</x:v>
      </x:c>
      <x:c r="F410" t="str">
        <x:v>機電／自動化模組</x:v>
      </x:c>
      <x:c r="G410" t="n">
        <x:v>10</x:v>
      </x:c>
      <x:c r="H410" t="n">
        <x:v>115826.76</x:v>
      </x:c>
      <x:c r="I410" t="n">
        <x:v>86028.01</x:v>
      </x:c>
      <x:c r="J410" s="22" t="n">
        <x:v>0.2572699952929703</x:v>
      </x:c>
      <x:c r="K410" s="22" t="n">
        <x:v>0.0192</x:v>
      </x:c>
      <x:c r="L410" t="n">
        <x:v>29</x:v>
      </x:c>
      <x:c r="M410" t="str">
        <x:v>成交</x:v>
      </x:c>
      <x:c r="N410" s="20" t="n">
        <x:v>45587</x:v>
      </x:c>
      <x:c r="O410"/>
    </x:row>
    <x:row r="411" ht="20" customHeight="1">
      <x:c r="A411" t="str">
        <x:v>Q00410</x:v>
      </x:c>
      <x:c r="B411" s="20" t="n">
        <x:v>45592</x:v>
      </x:c>
      <x:c r="C411" t="str">
        <x:v>EMS-004</x:v>
      </x:c>
      <x:c r="D411" t="str">
        <x:v>S03</x:v>
      </x:c>
      <x:c r="E411" t="str">
        <x:v>PM-SUS-B</x:v>
      </x:c>
      <x:c r="F411" t="str">
        <x:v>精密金屬加工件</x:v>
      </x:c>
      <x:c r="G411" t="n">
        <x:v>800</x:v>
      </x:c>
      <x:c r="H411" t="n">
        <x:v>15240.38</x:v>
      </x:c>
      <x:c r="I411" t="n">
        <x:v>10836.54</x:v>
      </x:c>
      <x:c r="J411" s="22" t="n">
        <x:v>0.28895867425877825</x:v>
      </x:c>
      <x:c r="K411" s="22" t="n">
        <x:v>0.0437</x:v>
      </x:c>
      <x:c r="L411" t="n">
        <x:v>22</x:v>
      </x:c>
      <x:c r="M411" t="str">
        <x:v>未成交</x:v>
      </x:c>
      <x:c r="N411" s="20" t="n">
        <x:v>45597</x:v>
      </x:c>
      <x:c r="O411" t="str">
        <x:v>交期</x:v>
      </x:c>
    </x:row>
    <x:row r="412" ht="20" customHeight="1">
      <x:c r="A412" t="str">
        <x:v>Q00411</x:v>
      </x:c>
      <x:c r="B412" s="20" t="n">
        <x:v>45583</x:v>
      </x:c>
      <x:c r="C412" t="str">
        <x:v>AFT-004</x:v>
      </x:c>
      <x:c r="D412" t="str">
        <x:v>S02</x:v>
      </x:c>
      <x:c r="E412" t="str">
        <x:v>PM-BRG-B</x:v>
      </x:c>
      <x:c r="F412" t="str">
        <x:v>精密金屬加工件</x:v>
      </x:c>
      <x:c r="G412" t="n">
        <x:v>500</x:v>
      </x:c>
      <x:c r="H412" t="n">
        <x:v>7295.1</x:v>
      </x:c>
      <x:c r="I412" t="n">
        <x:v>5380.2</x:v>
      </x:c>
      <x:c r="J412" s="22" t="n">
        <x:v>0.2624912612575565</x:v>
      </x:c>
      <x:c r="K412" s="22" t="n">
        <x:v>0.1277</x:v>
      </x:c>
      <x:c r="L412" t="n">
        <x:v>17</x:v>
      </x:c>
      <x:c r="M412" t="str">
        <x:v>未成交</x:v>
      </x:c>
      <x:c r="N412" s="20" t="n">
        <x:v>45594</x:v>
      </x:c>
      <x:c r="O412" t="str">
        <x:v>價格</x:v>
      </x:c>
    </x:row>
    <x:row r="413" ht="20" customHeight="1">
      <x:c r="A413" t="str">
        <x:v>Q00412</x:v>
      </x:c>
      <x:c r="B413" s="20" t="n">
        <x:v>45587</x:v>
      </x:c>
      <x:c r="C413" t="str">
        <x:v>EMS-007</x:v>
      </x:c>
      <x:c r="D413" t="str">
        <x:v>S04</x:v>
      </x:c>
      <x:c r="E413" t="str">
        <x:v>AUTO-MH-B</x:v>
      </x:c>
      <x:c r="F413" t="str">
        <x:v>汽車精密零組件</x:v>
      </x:c>
      <x:c r="G413" t="n">
        <x:v>5000</x:v>
      </x:c>
      <x:c r="H413" t="n">
        <x:v>2680</x:v>
      </x:c>
      <x:c r="I413" t="n">
        <x:v>2396.58</x:v>
      </x:c>
      <x:c r="J413" s="22" t="n">
        <x:v>0.10575373134328361</x:v>
      </x:c>
      <x:c r="K413" s="22" t="n">
        <x:v>0.1493</x:v>
      </x:c>
      <x:c r="L413" t="n">
        <x:v>20</x:v>
      </x:c>
      <x:c r="M413" t="str">
        <x:v>未成交</x:v>
      </x:c>
      <x:c r="N413" s="20" t="n">
        <x:v>45590</x:v>
      </x:c>
      <x:c r="O413" t="str">
        <x:v>專案取消</x:v>
      </x:c>
    </x:row>
    <x:row r="414" ht="20" customHeight="1">
      <x:c r="A414" t="str">
        <x:v>Q00413</x:v>
      </x:c>
      <x:c r="B414" s="20" t="n">
        <x:v>45589</x:v>
      </x:c>
      <x:c r="C414" t="str">
        <x:v>IAT-009</x:v>
      </x:c>
      <x:c r="D414" t="str">
        <x:v>S04</x:v>
      </x:c>
      <x:c r="E414" t="str">
        <x:v>AUTO-FL-A</x:v>
      </x:c>
      <x:c r="F414" t="str">
        <x:v>汽車精密零組件</x:v>
      </x:c>
      <x:c r="G414" t="n">
        <x:v>7000</x:v>
      </x:c>
      <x:c r="H414" t="n">
        <x:v>1321.34</x:v>
      </x:c>
      <x:c r="I414" t="n">
        <x:v>962.46</x:v>
      </x:c>
      <x:c r="J414" s="22" t="n">
        <x:v>0.2716030696111522</x:v>
      </x:c>
      <x:c r="K414" s="22" t="n">
        <x:v>0.0362</x:v>
      </x:c>
      <x:c r="L414" t="n">
        <x:v>16</x:v>
      </x:c>
      <x:c r="M414" t="str">
        <x:v>成交</x:v>
      </x:c>
      <x:c r="N414" s="20" t="n">
        <x:v>45597</x:v>
      </x:c>
      <x:c r="O414"/>
    </x:row>
    <x:row r="415" ht="20" customHeight="1">
      <x:c r="A415" t="str">
        <x:v>Q00414</x:v>
      </x:c>
      <x:c r="B415" s="20" t="n">
        <x:v>45584</x:v>
      </x:c>
      <x:c r="C415" t="str">
        <x:v>SEM-006</x:v>
      </x:c>
      <x:c r="D415" t="str">
        <x:v>S06</x:v>
      </x:c>
      <x:c r="E415" t="str">
        <x:v>PM-ALB-B</x:v>
      </x:c>
      <x:c r="F415" t="str">
        <x:v>精密金屬加工件</x:v>
      </x:c>
      <x:c r="G415" t="n">
        <x:v>1600</x:v>
      </x:c>
      <x:c r="H415" t="n">
        <x:v>15637.15</x:v>
      </x:c>
      <x:c r="I415" t="n">
        <x:v>11432.34</x:v>
      </x:c>
      <x:c r="J415" s="22" t="n">
        <x:v>0.268898744336404</x:v>
      </x:c>
      <x:c r="K415" s="22" t="n">
        <x:v>0.0556</x:v>
      </x:c>
      <x:c r="L415" t="n">
        <x:v>33</x:v>
      </x:c>
      <x:c r="M415" t="str">
        <x:v>未成交</x:v>
      </x:c>
      <x:c r="N415" s="20" t="n">
        <x:v>45595</x:v>
      </x:c>
      <x:c r="O415" t="str">
        <x:v>價格</x:v>
      </x:c>
    </x:row>
    <x:row r="416" ht="20" customHeight="1">
      <x:c r="A416" t="str">
        <x:v>Q00415</x:v>
      </x:c>
      <x:c r="B416" s="20" t="n">
        <x:v>45586</x:v>
      </x:c>
      <x:c r="C416" t="str">
        <x:v>SEM-005</x:v>
      </x:c>
      <x:c r="D416" t="str">
        <x:v>S06</x:v>
      </x:c>
      <x:c r="E416" t="str">
        <x:v>PM-VAC-A</x:v>
      </x:c>
      <x:c r="F416" t="str">
        <x:v>精密金屬加工件</x:v>
      </x:c>
      <x:c r="G416" t="n">
        <x:v>1600</x:v>
      </x:c>
      <x:c r="H416" t="n">
        <x:v>15316.36</x:v>
      </x:c>
      <x:c r="I416" t="n">
        <x:v>11022.98</x:v>
      </x:c>
      <x:c r="J416" s="22" t="n">
        <x:v>0.28031333815606324</x:v>
      </x:c>
      <x:c r="K416" s="22" t="n">
        <x:v>0.0913</x:v>
      </x:c>
      <x:c r="L416" t="n">
        <x:v>25</x:v>
      </x:c>
      <x:c r="M416" t="str">
        <x:v>成交</x:v>
      </x:c>
      <x:c r="N416" s="20" t="n">
        <x:v>45590</x:v>
      </x:c>
      <x:c r="O416"/>
    </x:row>
    <x:row r="417" ht="20" customHeight="1">
      <x:c r="A417" t="str">
        <x:v>Q00416</x:v>
      </x:c>
      <x:c r="B417" s="20" t="n">
        <x:v>45581</x:v>
      </x:c>
      <x:c r="C417" t="str">
        <x:v>AFT-008</x:v>
      </x:c>
      <x:c r="D417" t="str">
        <x:v>S04</x:v>
      </x:c>
      <x:c r="E417" t="str">
        <x:v>AUTO-MH-A</x:v>
      </x:c>
      <x:c r="F417" t="str">
        <x:v>汽車精密零組件</x:v>
      </x:c>
      <x:c r="G417" t="n">
        <x:v>10000</x:v>
      </x:c>
      <x:c r="H417" t="n">
        <x:v>2533.91</x:v>
      </x:c>
      <x:c r="I417" t="n">
        <x:v>1998.09</x:v>
      </x:c>
      <x:c r="J417" s="22" t="n">
        <x:v>0.21145975981783094</x:v>
      </x:c>
      <x:c r="K417" s="22" t="n">
        <x:v>0.0542</x:v>
      </x:c>
      <x:c r="L417" t="n">
        <x:v>22</x:v>
      </x:c>
      <x:c r="M417" t="str">
        <x:v>成交</x:v>
      </x:c>
      <x:c r="N417" s="20" t="n">
        <x:v>45590</x:v>
      </x:c>
      <x:c r="O417"/>
    </x:row>
    <x:row r="418" ht="20" customHeight="1">
      <x:c r="A418" t="str">
        <x:v>Q00417</x:v>
      </x:c>
      <x:c r="B418" s="20" t="n">
        <x:v>45570</x:v>
      </x:c>
      <x:c r="C418" t="str">
        <x:v>AUT-009</x:v>
      </x:c>
      <x:c r="D418" t="str">
        <x:v>S04</x:v>
      </x:c>
      <x:c r="E418" t="str">
        <x:v>PM-VAC-B</x:v>
      </x:c>
      <x:c r="F418" t="str">
        <x:v>精密金屬加工件</x:v>
      </x:c>
      <x:c r="G418" t="n">
        <x:v>300</x:v>
      </x:c>
      <x:c r="H418" t="n">
        <x:v>22234.81</x:v>
      </x:c>
      <x:c r="I418" t="n">
        <x:v>15049.01</x:v>
      </x:c>
      <x:c r="J418" s="22" t="n">
        <x:v>0.3231779358582331</x:v>
      </x:c>
      <x:c r="K418" s="22" t="n">
        <x:v>0.0715</x:v>
      </x:c>
      <x:c r="L418" t="n">
        <x:v>31</x:v>
      </x:c>
      <x:c r="M418" t="str">
        <x:v>成交</x:v>
      </x:c>
      <x:c r="N418" s="20" t="n">
        <x:v>45577</x:v>
      </x:c>
      <x:c r="O418"/>
    </x:row>
    <x:row r="419" ht="20" customHeight="1">
      <x:c r="A419" t="str">
        <x:v>Q00418</x:v>
      </x:c>
      <x:c r="B419" s="20" t="n">
        <x:v>45590</x:v>
      </x:c>
      <x:c r="C419" t="str">
        <x:v>SEM-004</x:v>
      </x:c>
      <x:c r="D419" t="str">
        <x:v>S02</x:v>
      </x:c>
      <x:c r="E419" t="str">
        <x:v>PM-BRG-A</x:v>
      </x:c>
      <x:c r="F419" t="str">
        <x:v>精密金屬加工件</x:v>
      </x:c>
      <x:c r="G419" t="n">
        <x:v>1600</x:v>
      </x:c>
      <x:c r="H419" t="n">
        <x:v>6883.37</x:v>
      </x:c>
      <x:c r="I419" t="n">
        <x:v>4322.98</x:v>
      </x:c>
      <x:c r="J419" s="22" t="n">
        <x:v>0.3719675101004305</x:v>
      </x:c>
      <x:c r="K419" s="22" t="n">
        <x:v>0.0491</x:v>
      </x:c>
      <x:c r="L419" t="n">
        <x:v>15</x:v>
      </x:c>
      <x:c r="M419" t="str">
        <x:v>成交</x:v>
      </x:c>
      <x:c r="N419" s="20" t="n">
        <x:v>45602</x:v>
      </x:c>
      <x:c r="O419"/>
    </x:row>
    <x:row r="420" ht="20" customHeight="1">
      <x:c r="A420" t="str">
        <x:v>Q00419</x:v>
      </x:c>
      <x:c r="B420" s="20" t="n">
        <x:v>45568</x:v>
      </x:c>
      <x:c r="C420" t="str">
        <x:v>IAT-006</x:v>
      </x:c>
      <x:c r="D420" t="str">
        <x:v>S01</x:v>
      </x:c>
      <x:c r="E420" t="str">
        <x:v>AUTO-FL-B</x:v>
      </x:c>
      <x:c r="F420" t="str">
        <x:v>汽車精密零組件</x:v>
      </x:c>
      <x:c r="G420" t="n">
        <x:v>3000</x:v>
      </x:c>
      <x:c r="H420" t="n">
        <x:v>1529.32</x:v>
      </x:c>
      <x:c r="I420" t="n">
        <x:v>1210.87</x:v>
      </x:c>
      <x:c r="J420" s="22" t="n">
        <x:v>0.20822980148039655</x:v>
      </x:c>
      <x:c r="K420" s="22" t="n">
        <x:v>0.0721</x:v>
      </x:c>
      <x:c r="L420" t="n">
        <x:v>15</x:v>
      </x:c>
      <x:c r="M420" t="str">
        <x:v>未成交</x:v>
      </x:c>
      <x:c r="N420" s="20" t="n">
        <x:v>45575</x:v>
      </x:c>
      <x:c r="O420" t="str">
        <x:v>交期</x:v>
      </x:c>
    </x:row>
    <x:row r="421" ht="20" customHeight="1">
      <x:c r="A421" t="str">
        <x:v>Q00420</x:v>
      </x:c>
      <x:c r="B421" s="20" t="n">
        <x:v>45588</x:v>
      </x:c>
      <x:c r="C421" t="str">
        <x:v>AUT-014</x:v>
      </x:c>
      <x:c r="D421" t="str">
        <x:v>S06</x:v>
      </x:c>
      <x:c r="E421" t="str">
        <x:v>AUTO-BS-B</x:v>
      </x:c>
      <x:c r="F421" t="str">
        <x:v>汽車精密零組件</x:v>
      </x:c>
      <x:c r="G421" t="n">
        <x:v>3000</x:v>
      </x:c>
      <x:c r="H421" t="n">
        <x:v>936.5</x:v>
      </x:c>
      <x:c r="I421" t="n">
        <x:v>660.54</x:v>
      </x:c>
      <x:c r="J421" s="22" t="n">
        <x:v>0.29467164975974375</x:v>
      </x:c>
      <x:c r="K421" s="22" t="n">
        <x:v>0.0426</x:v>
      </x:c>
      <x:c r="L421" t="n">
        <x:v>11</x:v>
      </x:c>
      <x:c r="M421" t="str">
        <x:v>成交</x:v>
      </x:c>
      <x:c r="N421" s="20" t="n">
        <x:v>45594</x:v>
      </x:c>
      <x:c r="O421"/>
    </x:row>
    <x:row r="422" ht="20" customHeight="1">
      <x:c r="A422" t="str">
        <x:v>Q00421</x:v>
      </x:c>
      <x:c r="B422" s="20" t="n">
        <x:v>45581</x:v>
      </x:c>
      <x:c r="C422" t="str">
        <x:v>SEM-010</x:v>
      </x:c>
      <x:c r="D422" t="str">
        <x:v>S01</x:v>
      </x:c>
      <x:c r="E422" t="str">
        <x:v>MECH-STG-A</x:v>
      </x:c>
      <x:c r="F422" t="str">
        <x:v>機電／自動化模組</x:v>
      </x:c>
      <x:c r="G422" t="n">
        <x:v>50</x:v>
      </x:c>
      <x:c r="H422" t="n">
        <x:v>137087.57</x:v>
      </x:c>
      <x:c r="I422" t="n">
        <x:v>107493.34</x:v>
      </x:c>
      <x:c r="J422" s="22" t="n">
        <x:v>0.215878288600491</x:v>
      </x:c>
      <x:c r="K422" s="22" t="n">
        <x:v>0.071</x:v>
      </x:c>
      <x:c r="L422" t="n">
        <x:v>35</x:v>
      </x:c>
      <x:c r="M422" t="str">
        <x:v>成交</x:v>
      </x:c>
      <x:c r="N422" s="20" t="n">
        <x:v>45588</x:v>
      </x:c>
      <x:c r="O422"/>
    </x:row>
    <x:row r="423" ht="20" customHeight="1">
      <x:c r="A423" t="str">
        <x:v>Q00422</x:v>
      </x:c>
      <x:c r="B423" s="20" t="n">
        <x:v>45572</x:v>
      </x:c>
      <x:c r="C423" t="str">
        <x:v>IAT-003</x:v>
      </x:c>
      <x:c r="D423" t="str">
        <x:v>S04</x:v>
      </x:c>
      <x:c r="E423" t="str">
        <x:v>PM-SUS-B</x:v>
      </x:c>
      <x:c r="F423" t="str">
        <x:v>精密金屬加工件</x:v>
      </x:c>
      <x:c r="G423" t="n">
        <x:v>1600</x:v>
      </x:c>
      <x:c r="H423" t="n">
        <x:v>15075.85</x:v>
      </x:c>
      <x:c r="I423" t="n">
        <x:v>11322.32</x:v>
      </x:c>
      <x:c r="J423" s="22" t="n">
        <x:v>0.2489763429591035</x:v>
      </x:c>
      <x:c r="K423" s="22" t="n">
        <x:v>0.0342</x:v>
      </x:c>
      <x:c r="L423" t="n">
        <x:v>25</x:v>
      </x:c>
      <x:c r="M423" t="str">
        <x:v>成交</x:v>
      </x:c>
      <x:c r="N423" s="20" t="n">
        <x:v>45583</x:v>
      </x:c>
      <x:c r="O423"/>
    </x:row>
    <x:row r="424" ht="20" customHeight="1">
      <x:c r="A424" t="str">
        <x:v>Q00423</x:v>
      </x:c>
      <x:c r="B424" s="20" t="n">
        <x:v>45607</x:v>
      </x:c>
      <x:c r="C424" t="str">
        <x:v>IAT-010</x:v>
      </x:c>
      <x:c r="D424" t="str">
        <x:v>S04</x:v>
      </x:c>
      <x:c r="E424" t="str">
        <x:v>SEMI-CHB-B</x:v>
      </x:c>
      <x:c r="F424" t="str">
        <x:v>半導體設備零組件</x:v>
      </x:c>
      <x:c r="G424" t="n">
        <x:v>160</x:v>
      </x:c>
      <x:c r="H424" t="n">
        <x:v>141035.69</x:v>
      </x:c>
      <x:c r="I424" t="n">
        <x:v>114607.51</x:v>
      </x:c>
      <x:c r="J424" s="22" t="n">
        <x:v>0.18738646933978206</x:v>
      </x:c>
      <x:c r="K424" s="22" t="n">
        <x:v>0.0336</x:v>
      </x:c>
      <x:c r="L424" t="n">
        <x:v>62</x:v>
      </x:c>
      <x:c r="M424" t="str">
        <x:v>成交</x:v>
      </x:c>
      <x:c r="N424" s="20" t="n">
        <x:v>45617</x:v>
      </x:c>
      <x:c r="O424"/>
    </x:row>
    <x:row r="425" ht="20" customHeight="1">
      <x:c r="A425" t="str">
        <x:v>Q00424</x:v>
      </x:c>
      <x:c r="B425" s="20" t="n">
        <x:v>45606</x:v>
      </x:c>
      <x:c r="C425" t="str">
        <x:v>AFT-006</x:v>
      </x:c>
      <x:c r="D425" t="str">
        <x:v>S01</x:v>
      </x:c>
      <x:c r="E425" t="str">
        <x:v>PM-ALB-A</x:v>
      </x:c>
      <x:c r="F425" t="str">
        <x:v>精密金屬加工件</x:v>
      </x:c>
      <x:c r="G425" t="n">
        <x:v>500</x:v>
      </x:c>
      <x:c r="H425" t="n">
        <x:v>10445.95</x:v>
      </x:c>
      <x:c r="I425" t="n">
        <x:v>7985.24</x:v>
      </x:c>
      <x:c r="J425" s="22" t="n">
        <x:v>0.2355659370377994</x:v>
      </x:c>
      <x:c r="K425" s="22" t="n">
        <x:v>0.1034</x:v>
      </x:c>
      <x:c r="L425" t="n">
        <x:v>18</x:v>
      </x:c>
      <x:c r="M425" t="str">
        <x:v>未成交</x:v>
      </x:c>
      <x:c r="N425" s="20" t="n">
        <x:v>45614</x:v>
      </x:c>
      <x:c r="O425" t="str">
        <x:v>競品</x:v>
      </x:c>
    </x:row>
    <x:row r="426" ht="20" customHeight="1">
      <x:c r="A426" t="str">
        <x:v>Q00425</x:v>
      </x:c>
      <x:c r="B426" s="20" t="n">
        <x:v>45597</x:v>
      </x:c>
      <x:c r="C426" t="str">
        <x:v>AUT-013</x:v>
      </x:c>
      <x:c r="D426" t="str">
        <x:v>S01</x:v>
      </x:c>
      <x:c r="E426" t="str">
        <x:v>AUTO-FL-B</x:v>
      </x:c>
      <x:c r="F426" t="str">
        <x:v>汽車精密零組件</x:v>
      </x:c>
      <x:c r="G426" t="n">
        <x:v>7000</x:v>
      </x:c>
      <x:c r="H426" t="n">
        <x:v>1584.85</x:v>
      </x:c>
      <x:c r="I426" t="n">
        <x:v>1210.76</x:v>
      </x:c>
      <x:c r="J426" s="22" t="n">
        <x:v>0.23604126573492756</x:v>
      </x:c>
      <x:c r="K426" s="22" t="n">
        <x:v>0.0337</x:v>
      </x:c>
      <x:c r="L426" t="n">
        <x:v>17</x:v>
      </x:c>
      <x:c r="M426" t="str">
        <x:v>成交</x:v>
      </x:c>
      <x:c r="N426" s="20" t="n">
        <x:v>45604</x:v>
      </x:c>
      <x:c r="O426"/>
    </x:row>
    <x:row r="427" ht="20" customHeight="1">
      <x:c r="A427" t="str">
        <x:v>Q00426</x:v>
      </x:c>
      <x:c r="B427" s="20" t="n">
        <x:v>45620</x:v>
      </x:c>
      <x:c r="C427" t="str">
        <x:v>EMS-004</x:v>
      </x:c>
      <x:c r="D427" t="str">
        <x:v>S03</x:v>
      </x:c>
      <x:c r="E427" t="str">
        <x:v>AUTO-LG-B</x:v>
      </x:c>
      <x:c r="F427" t="str">
        <x:v>汽車精密零組件</x:v>
      </x:c>
      <x:c r="G427" t="n">
        <x:v>7000</x:v>
      </x:c>
      <x:c r="H427" t="n">
        <x:v>1109.44</x:v>
      </x:c>
      <x:c r="I427" t="n">
        <x:v>913.12</x:v>
      </x:c>
      <x:c r="J427" s="22" t="n">
        <x:v>0.17695413902509377</x:v>
      </x:c>
      <x:c r="K427" s="22" t="n">
        <x:v>0.1443</x:v>
      </x:c>
      <x:c r="L427" t="n">
        <x:v>20</x:v>
      </x:c>
      <x:c r="M427" t="str">
        <x:v>未成交</x:v>
      </x:c>
      <x:c r="N427" s="20" t="n">
        <x:v>45630</x:v>
      </x:c>
      <x:c r="O427" t="str">
        <x:v>專案取消</x:v>
      </x:c>
    </x:row>
    <x:row r="428" ht="20" customHeight="1">
      <x:c r="A428" t="str">
        <x:v>Q00427</x:v>
      </x:c>
      <x:c r="B428" s="20" t="n">
        <x:v>45597</x:v>
      </x:c>
      <x:c r="C428" t="str">
        <x:v>IAT-002</x:v>
      </x:c>
      <x:c r="D428" t="str">
        <x:v>S01</x:v>
      </x:c>
      <x:c r="E428" t="str">
        <x:v>AUTO-BRK-B</x:v>
      </x:c>
      <x:c r="F428" t="str">
        <x:v>汽車精密零組件</x:v>
      </x:c>
      <x:c r="G428" t="n">
        <x:v>7000</x:v>
      </x:c>
      <x:c r="H428" t="n">
        <x:v>2154.22</x:v>
      </x:c>
      <x:c r="I428" t="n">
        <x:v>1672.89</x:v>
      </x:c>
      <x:c r="J428" s="22" t="n">
        <x:v>0.22343586077559383</x:v>
      </x:c>
      <x:c r="K428" s="22" t="n">
        <x:v>0.0556</x:v>
      </x:c>
      <x:c r="L428" t="n">
        <x:v>17</x:v>
      </x:c>
      <x:c r="M428" t="str">
        <x:v>成交</x:v>
      </x:c>
      <x:c r="N428" s="20" t="n">
        <x:v>45600</x:v>
      </x:c>
      <x:c r="O428"/>
    </x:row>
    <x:row r="429" ht="20" customHeight="1">
      <x:c r="A429" t="str">
        <x:v>Q00428</x:v>
      </x:c>
      <x:c r="B429" s="20" t="n">
        <x:v>45612</x:v>
      </x:c>
      <x:c r="C429" t="str">
        <x:v>IAT-002</x:v>
      </x:c>
      <x:c r="D429" t="str">
        <x:v>S01</x:v>
      </x:c>
      <x:c r="E429" t="str">
        <x:v>AUTO-LG-A</x:v>
      </x:c>
      <x:c r="F429" t="str">
        <x:v>汽車精密零組件</x:v>
      </x:c>
      <x:c r="G429" t="n">
        <x:v>3000</x:v>
      </x:c>
      <x:c r="H429" t="n">
        <x:v>1078.01</x:v>
      </x:c>
      <x:c r="I429" t="n">
        <x:v>822.36</x:v>
      </x:c>
      <x:c r="J429" s="22" t="n">
        <x:v>0.23714993367408463</x:v>
      </x:c>
      <x:c r="K429" s="22" t="n">
        <x:v>0.0984</x:v>
      </x:c>
      <x:c r="L429" t="n">
        <x:v>18</x:v>
      </x:c>
      <x:c r="M429" t="str">
        <x:v>成交</x:v>
      </x:c>
      <x:c r="N429" s="20" t="n">
        <x:v>45622</x:v>
      </x:c>
      <x:c r="O429"/>
    </x:row>
    <x:row r="430" ht="20" customHeight="1">
      <x:c r="A430" t="str">
        <x:v>Q00429</x:v>
      </x:c>
      <x:c r="B430" s="20" t="n">
        <x:v>45620</x:v>
      </x:c>
      <x:c r="C430" t="str">
        <x:v>IAT-006</x:v>
      </x:c>
      <x:c r="D430" t="str">
        <x:v>S01</x:v>
      </x:c>
      <x:c r="E430" t="str">
        <x:v>AUTO-FL-A</x:v>
      </x:c>
      <x:c r="F430" t="str">
        <x:v>汽車精密零組件</x:v>
      </x:c>
      <x:c r="G430" t="n">
        <x:v>3000</x:v>
      </x:c>
      <x:c r="H430" t="n">
        <x:v>1208.17</x:v>
      </x:c>
      <x:c r="I430" t="n">
        <x:v>995.42</x:v>
      </x:c>
      <x:c r="J430" s="22" t="n">
        <x:v>0.17609276840179786</x:v>
      </x:c>
      <x:c r="K430" s="22" t="n">
        <x:v>0.1268</x:v>
      </x:c>
      <x:c r="L430" t="n">
        <x:v>18</x:v>
      </x:c>
      <x:c r="M430" t="str">
        <x:v>成交</x:v>
      </x:c>
      <x:c r="N430" s="20" t="n">
        <x:v>45629</x:v>
      </x:c>
      <x:c r="O430"/>
    </x:row>
    <x:row r="431" ht="20" customHeight="1">
      <x:c r="A431" t="str">
        <x:v>Q00430</x:v>
      </x:c>
      <x:c r="B431" s="20" t="n">
        <x:v>45611</x:v>
      </x:c>
      <x:c r="C431" t="str">
        <x:v>EMS-001</x:v>
      </x:c>
      <x:c r="D431" t="str">
        <x:v>S02</x:v>
      </x:c>
      <x:c r="E431" t="str">
        <x:v>AUTO-BS-A</x:v>
      </x:c>
      <x:c r="F431" t="str">
        <x:v>汽車精密零組件</x:v>
      </x:c>
      <x:c r="G431" t="n">
        <x:v>13000</x:v>
      </x:c>
      <x:c r="H431" t="n">
        <x:v>819.99</x:v>
      </x:c>
      <x:c r="I431" t="n">
        <x:v>553.6</x:v>
      </x:c>
      <x:c r="J431" s="22" t="n">
        <x:v>0.32486981548555466</x:v>
      </x:c>
      <x:c r="K431" s="22" t="n">
        <x:v>0.0143</x:v>
      </x:c>
      <x:c r="L431" t="n">
        <x:v>14</x:v>
      </x:c>
      <x:c r="M431" t="str">
        <x:v>未成交</x:v>
      </x:c>
      <x:c r="N431" s="20" t="n">
        <x:v>45622</x:v>
      </x:c>
      <x:c r="O431" t="str">
        <x:v>價格</x:v>
      </x:c>
    </x:row>
    <x:row r="432" ht="20" customHeight="1">
      <x:c r="A432" t="str">
        <x:v>Q00431</x:v>
      </x:c>
      <x:c r="B432" s="20" t="n">
        <x:v>45624</x:v>
      </x:c>
      <x:c r="C432" t="str">
        <x:v>EMS-001</x:v>
      </x:c>
      <x:c r="D432" t="str">
        <x:v>S02</x:v>
      </x:c>
      <x:c r="E432" t="str">
        <x:v>MECH-CON-B</x:v>
      </x:c>
      <x:c r="F432" t="str">
        <x:v>機電／自動化模組</x:v>
      </x:c>
      <x:c r="G432" t="n">
        <x:v>30</x:v>
      </x:c>
      <x:c r="H432" t="n">
        <x:v>155954.6</x:v>
      </x:c>
      <x:c r="I432" t="n">
        <x:v>119301.84</x:v>
      </x:c>
      <x:c r="J432" s="22" t="n">
        <x:v>0.2350219871680605</x:v>
      </x:c>
      <x:c r="K432" s="22" t="n">
        <x:v>0.0605</x:v>
      </x:c>
      <x:c r="L432" t="n">
        <x:v>33</x:v>
      </x:c>
      <x:c r="M432" t="str">
        <x:v>未成交</x:v>
      </x:c>
      <x:c r="N432" s="20" t="n">
        <x:v>45631</x:v>
      </x:c>
      <x:c r="O432" t="str">
        <x:v>價格</x:v>
      </x:c>
    </x:row>
    <x:row r="433" ht="20" customHeight="1">
      <x:c r="A433" t="str">
        <x:v>Q00432</x:v>
      </x:c>
      <x:c r="B433" s="20" t="n">
        <x:v>45616</x:v>
      </x:c>
      <x:c r="C433" t="str">
        <x:v>IAT-002</x:v>
      </x:c>
      <x:c r="D433" t="str">
        <x:v>S01</x:v>
      </x:c>
      <x:c r="E433" t="str">
        <x:v>AUTO-LG-B</x:v>
      </x:c>
      <x:c r="F433" t="str">
        <x:v>汽車精密零組件</x:v>
      </x:c>
      <x:c r="G433" t="n">
        <x:v>7000</x:v>
      </x:c>
      <x:c r="H433" t="n">
        <x:v>1287.24</x:v>
      </x:c>
      <x:c r="I433" t="n">
        <x:v>912.28</x:v>
      </x:c>
      <x:c r="J433" s="22" t="n">
        <x:v>0.29128989155091517</x:v>
      </x:c>
      <x:c r="K433" s="22" t="n">
        <x:v>0.019</x:v>
      </x:c>
      <x:c r="L433" t="n">
        <x:v>16</x:v>
      </x:c>
      <x:c r="M433" t="str">
        <x:v>成交</x:v>
      </x:c>
      <x:c r="N433" s="20" t="n">
        <x:v>45624</x:v>
      </x:c>
      <x:c r="O433"/>
    </x:row>
    <x:row r="434" ht="20" customHeight="1">
      <x:c r="A434" t="str">
        <x:v>Q00433</x:v>
      </x:c>
      <x:c r="B434" s="20" t="n">
        <x:v>45617</x:v>
      </x:c>
      <x:c r="C434" t="str">
        <x:v>IAT-002</x:v>
      </x:c>
      <x:c r="D434" t="str">
        <x:v>S01</x:v>
      </x:c>
      <x:c r="E434" t="str">
        <x:v>AUTO-BRK-B</x:v>
      </x:c>
      <x:c r="F434" t="str">
        <x:v>汽車精密零組件</x:v>
      </x:c>
      <x:c r="G434" t="n">
        <x:v>10000</x:v>
      </x:c>
      <x:c r="H434" t="n">
        <x:v>2074.39</x:v>
      </x:c>
      <x:c r="I434" t="n">
        <x:v>1611.31</x:v>
      </x:c>
      <x:c r="J434" s="22" t="n">
        <x:v>0.22323671055105354</x:v>
      </x:c>
      <x:c r="K434" s="22" t="n">
        <x:v>0.076</x:v>
      </x:c>
      <x:c r="L434" t="n">
        <x:v>18</x:v>
      </x:c>
      <x:c r="M434" t="str">
        <x:v>未成交</x:v>
      </x:c>
      <x:c r="N434" s="20" t="n">
        <x:v>45628</x:v>
      </x:c>
      <x:c r="O434" t="str">
        <x:v>專案取消</x:v>
      </x:c>
    </x:row>
    <x:row r="435" ht="20" customHeight="1">
      <x:c r="A435" t="str">
        <x:v>Q00434</x:v>
      </x:c>
      <x:c r="B435" s="20" t="n">
        <x:v>45601</x:v>
      </x:c>
      <x:c r="C435" t="str">
        <x:v>IAT-009</x:v>
      </x:c>
      <x:c r="D435" t="str">
        <x:v>S04</x:v>
      </x:c>
      <x:c r="E435" t="str">
        <x:v>AUTO-LG-B</x:v>
      </x:c>
      <x:c r="F435" t="str">
        <x:v>汽車精密零組件</x:v>
      </x:c>
      <x:c r="G435" t="n">
        <x:v>3000</x:v>
      </x:c>
      <x:c r="H435" t="n">
        <x:v>1204.74</x:v>
      </x:c>
      <x:c r="I435" t="n">
        <x:v>946.48</x:v>
      </x:c>
      <x:c r="J435" s="22" t="n">
        <x:v>0.21436990553978452</x:v>
      </x:c>
      <x:c r="K435" s="22" t="n">
        <x:v>0.0569</x:v>
      </x:c>
      <x:c r="L435" t="n">
        <x:v>16</x:v>
      </x:c>
      <x:c r="M435" t="str">
        <x:v>成交</x:v>
      </x:c>
      <x:c r="N435" s="20" t="n">
        <x:v>45607</x:v>
      </x:c>
      <x:c r="O435"/>
    </x:row>
    <x:row r="436" ht="20" customHeight="1">
      <x:c r="A436" t="str">
        <x:v>Q00435</x:v>
      </x:c>
      <x:c r="B436" s="20" t="n">
        <x:v>45609</x:v>
      </x:c>
      <x:c r="C436" t="str">
        <x:v>AUT-014</x:v>
      </x:c>
      <x:c r="D436" t="str">
        <x:v>S06</x:v>
      </x:c>
      <x:c r="E436" t="str">
        <x:v>PM-BRG-A</x:v>
      </x:c>
      <x:c r="F436" t="str">
        <x:v>精密金屬加工件</x:v>
      </x:c>
      <x:c r="G436" t="n">
        <x:v>500</x:v>
      </x:c>
      <x:c r="H436" t="n">
        <x:v>6975.87</x:v>
      </x:c>
      <x:c r="I436" t="n">
        <x:v>4391.43</x:v>
      </x:c>
      <x:c r="J436" s="22" t="n">
        <x:v>0.3704828214975336</x:v>
      </x:c>
      <x:c r="K436" s="22" t="n">
        <x:v>0.0471</x:v>
      </x:c>
      <x:c r="L436" t="n">
        <x:v>14</x:v>
      </x:c>
      <x:c r="M436" t="str">
        <x:v>成交</x:v>
      </x:c>
      <x:c r="N436" s="20" t="n">
        <x:v>45621</x:v>
      </x:c>
      <x:c r="O436"/>
    </x:row>
    <x:row r="437" ht="20" customHeight="1">
      <x:c r="A437" t="str">
        <x:v>Q00436</x:v>
      </x:c>
      <x:c r="B437" s="20" t="n">
        <x:v>45620</x:v>
      </x:c>
      <x:c r="C437" t="str">
        <x:v>SEM-007</x:v>
      </x:c>
      <x:c r="D437" t="str">
        <x:v>S03</x:v>
      </x:c>
      <x:c r="E437" t="str">
        <x:v>SEMI-WH-A</x:v>
      </x:c>
      <x:c r="F437" t="str">
        <x:v>半導體設備零組件</x:v>
      </x:c>
      <x:c r="G437" t="n">
        <x:v>80</x:v>
      </x:c>
      <x:c r="H437" t="n">
        <x:v>117516</x:v>
      </x:c>
      <x:c r="I437" t="n">
        <x:v>85933.2</x:v>
      </x:c>
      <x:c r="J437" s="22" t="n">
        <x:v>0.2687531910548351</x:v>
      </x:c>
      <x:c r="K437" s="22" t="n">
        <x:v>0.0307</x:v>
      </x:c>
      <x:c r="L437" t="n">
        <x:v>36</x:v>
      </x:c>
      <x:c r="M437" t="str">
        <x:v>成交</x:v>
      </x:c>
      <x:c r="N437" s="20" t="n">
        <x:v>45629</x:v>
      </x:c>
      <x:c r="O437"/>
    </x:row>
    <x:row r="438" ht="20" customHeight="1">
      <x:c r="A438" t="str">
        <x:v>Q00437</x:v>
      </x:c>
      <x:c r="B438" s="20" t="n">
        <x:v>45610</x:v>
      </x:c>
      <x:c r="C438" t="str">
        <x:v>AUT-007</x:v>
      </x:c>
      <x:c r="D438" t="str">
        <x:v>S04</x:v>
      </x:c>
      <x:c r="E438" t="str">
        <x:v>PM-ALB-B</x:v>
      </x:c>
      <x:c r="F438" t="str">
        <x:v>精密金屬加工件</x:v>
      </x:c>
      <x:c r="G438" t="n">
        <x:v>1600</x:v>
      </x:c>
      <x:c r="H438" t="n">
        <x:v>14640.28</x:v>
      </x:c>
      <x:c r="I438" t="n">
        <x:v>11747.46</x:v>
      </x:c>
      <x:c r="J438" s="22" t="n">
        <x:v>0.19759321543030609</x:v>
      </x:c>
      <x:c r="K438" s="22" t="n">
        <x:v>0.1176</x:v>
      </x:c>
      <x:c r="L438" t="n">
        <x:v>32</x:v>
      </x:c>
      <x:c r="M438" t="str">
        <x:v>未成交</x:v>
      </x:c>
      <x:c r="N438" s="20" t="n">
        <x:v>45620</x:v>
      </x:c>
      <x:c r="O438" t="str">
        <x:v>價格</x:v>
      </x:c>
    </x:row>
    <x:row r="439" ht="20" customHeight="1">
      <x:c r="A439" t="str">
        <x:v>Q00438</x:v>
      </x:c>
      <x:c r="B439" s="20" t="n">
        <x:v>45625</x:v>
      </x:c>
      <x:c r="C439" t="str">
        <x:v>IAT-002</x:v>
      </x:c>
      <x:c r="D439" t="str">
        <x:v>S01</x:v>
      </x:c>
      <x:c r="E439" t="str">
        <x:v>PM-ALB-A</x:v>
      </x:c>
      <x:c r="F439" t="str">
        <x:v>精密金屬加工件</x:v>
      </x:c>
      <x:c r="G439" t="n">
        <x:v>300</x:v>
      </x:c>
      <x:c r="H439" t="n">
        <x:v>11444.73</x:v>
      </x:c>
      <x:c r="I439" t="n">
        <x:v>7860.58</x:v>
      </x:c>
      <x:c r="J439" s="22" t="n">
        <x:v>0.31317034128371746</x:v>
      </x:c>
      <x:c r="K439" s="22" t="n">
        <x:v>0.016</x:v>
      </x:c>
      <x:c r="L439" t="n">
        <x:v>27</x:v>
      </x:c>
      <x:c r="M439" t="str">
        <x:v>成交</x:v>
      </x:c>
      <x:c r="N439" s="20" t="n">
        <x:v>45637</x:v>
      </x:c>
      <x:c r="O439"/>
    </x:row>
    <x:row r="440" ht="20" customHeight="1">
      <x:c r="A440" t="str">
        <x:v>Q00439</x:v>
      </x:c>
      <x:c r="B440" s="20" t="n">
        <x:v>45626</x:v>
      </x:c>
      <x:c r="C440" t="str">
        <x:v>SEM-010</x:v>
      </x:c>
      <x:c r="D440" t="str">
        <x:v>S01</x:v>
      </x:c>
      <x:c r="E440" t="str">
        <x:v>SEMI-CHB-B</x:v>
      </x:c>
      <x:c r="F440" t="str">
        <x:v>半導體設備零組件</x:v>
      </x:c>
      <x:c r="G440" t="n">
        <x:v>60</x:v>
      </x:c>
      <x:c r="H440" t="n">
        <x:v>128895.96</x:v>
      </x:c>
      <x:c r="I440" t="n">
        <x:v>114460.47</x:v>
      </x:c>
      <x:c r="J440" s="22" t="n">
        <x:v>0.11199334719257302</x:v>
      </x:c>
      <x:c r="K440" s="22" t="n">
        <x:v>0.1187</x:v>
      </x:c>
      <x:c r="L440" t="n">
        <x:v>61</x:v>
      </x:c>
      <x:c r="M440" t="str">
        <x:v>成交</x:v>
      </x:c>
      <x:c r="N440" s="20" t="n">
        <x:v>45633</x:v>
      </x:c>
      <x:c r="O440"/>
    </x:row>
    <x:row r="441" ht="20" customHeight="1">
      <x:c r="A441" t="str">
        <x:v>Q00440</x:v>
      </x:c>
      <x:c r="B441" s="20" t="n">
        <x:v>45617</x:v>
      </x:c>
      <x:c r="C441" t="str">
        <x:v>AFT-001</x:v>
      </x:c>
      <x:c r="D441" t="str">
        <x:v>S05</x:v>
      </x:c>
      <x:c r="E441" t="str">
        <x:v>AUTO-KN-A</x:v>
      </x:c>
      <x:c r="F441" t="str">
        <x:v>汽車精密零組件</x:v>
      </x:c>
      <x:c r="G441" t="n">
        <x:v>10000</x:v>
      </x:c>
      <x:c r="H441" t="n">
        <x:v>3331.21</x:v>
      </x:c>
      <x:c r="I441" t="n">
        <x:v>2218.43</x:v>
      </x:c>
      <x:c r="J441" s="22" t="n">
        <x:v>0.3340467878038311</x:v>
      </x:c>
      <x:c r="K441" s="22" t="n">
        <x:v>0.0261</x:v>
      </x:c>
      <x:c r="L441" t="n">
        <x:v>23</x:v>
      </x:c>
      <x:c r="M441" t="str">
        <x:v>成交</x:v>
      </x:c>
      <x:c r="N441" s="20" t="n">
        <x:v>45628</x:v>
      </x:c>
      <x:c r="O441"/>
    </x:row>
    <x:row r="442" ht="20" customHeight="1">
      <x:c r="A442" t="str">
        <x:v>Q00441</x:v>
      </x:c>
      <x:c r="B442" s="20" t="n">
        <x:v>45608</x:v>
      </x:c>
      <x:c r="C442" t="str">
        <x:v>EMS-007</x:v>
      </x:c>
      <x:c r="D442" t="str">
        <x:v>S04</x:v>
      </x:c>
      <x:c r="E442" t="str">
        <x:v>AUTO-LG-A</x:v>
      </x:c>
      <x:c r="F442" t="str">
        <x:v>汽車精密零組件</x:v>
      </x:c>
      <x:c r="G442" t="n">
        <x:v>7000</x:v>
      </x:c>
      <x:c r="H442" t="n">
        <x:v>1151.94</x:v>
      </x:c>
      <x:c r="I442" t="n">
        <x:v>842.54</x:v>
      </x:c>
      <x:c r="J442" s="22" t="n">
        <x:v>0.26859037797107493</x:v>
      </x:c>
      <x:c r="K442" s="22" t="n">
        <x:v>0.022</x:v>
      </x:c>
      <x:c r="L442" t="n">
        <x:v>17</x:v>
      </x:c>
      <x:c r="M442" t="str">
        <x:v>成交</x:v>
      </x:c>
      <x:c r="N442" s="20" t="n">
        <x:v>45612</x:v>
      </x:c>
      <x:c r="O442"/>
    </x:row>
    <x:row r="443" ht="20" customHeight="1">
      <x:c r="A443" t="str">
        <x:v>Q00442</x:v>
      </x:c>
      <x:c r="B443" s="20" t="n">
        <x:v>45605</x:v>
      </x:c>
      <x:c r="C443" t="str">
        <x:v>AUT-014</x:v>
      </x:c>
      <x:c r="D443" t="str">
        <x:v>S06</x:v>
      </x:c>
      <x:c r="E443" t="str">
        <x:v>AUTO-KN-B</x:v>
      </x:c>
      <x:c r="F443" t="str">
        <x:v>汽車精密零組件</x:v>
      </x:c>
      <x:c r="G443" t="n">
        <x:v>3000</x:v>
      </x:c>
      <x:c r="H443" t="n">
        <x:v>3648.04</x:v>
      </x:c>
      <x:c r="I443" t="n">
        <x:v>2677</x:v>
      </x:c>
      <x:c r="J443" s="22" t="n">
        <x:v>0.2661812918717996</x:v>
      </x:c>
      <x:c r="K443" s="22" t="n">
        <x:v>0.0926</x:v>
      </x:c>
      <x:c r="L443" t="n">
        <x:v>20</x:v>
      </x:c>
      <x:c r="M443" t="str">
        <x:v>成交</x:v>
      </x:c>
      <x:c r="N443" s="20" t="n">
        <x:v>45610</x:v>
      </x:c>
      <x:c r="O443"/>
    </x:row>
    <x:row r="444" ht="20" customHeight="1">
      <x:c r="A444" t="str">
        <x:v>Q00443</x:v>
      </x:c>
      <x:c r="B444" s="20" t="n">
        <x:v>45613</x:v>
      </x:c>
      <x:c r="C444" t="str">
        <x:v>EMS-003</x:v>
      </x:c>
      <x:c r="D444" t="str">
        <x:v>S05</x:v>
      </x:c>
      <x:c r="E444" t="str">
        <x:v>PM-SUS-B</x:v>
      </x:c>
      <x:c r="F444" t="str">
        <x:v>精密金屬加工件</x:v>
      </x:c>
      <x:c r="G444" t="n">
        <x:v>1200</x:v>
      </x:c>
      <x:c r="H444" t="n">
        <x:v>15011.51</x:v>
      </x:c>
      <x:c r="I444" t="n">
        <x:v>11035.61</x:v>
      </x:c>
      <x:c r="J444" s="22" t="n">
        <x:v>0.2648567665744485</x:v>
      </x:c>
      <x:c r="K444" s="22" t="n">
        <x:v>0.054</x:v>
      </x:c>
      <x:c r="L444" t="n">
        <x:v>25</x:v>
      </x:c>
      <x:c r="M444" t="str">
        <x:v>未成交</x:v>
      </x:c>
      <x:c r="N444" s="20" t="n">
        <x:v>45622</x:v>
      </x:c>
      <x:c r="O444" t="str">
        <x:v>交期</x:v>
      </x:c>
    </x:row>
    <x:row r="445" ht="20" customHeight="1">
      <x:c r="A445" t="str">
        <x:v>Q00444</x:v>
      </x:c>
      <x:c r="B445" s="20" t="n">
        <x:v>45597</x:v>
      </x:c>
      <x:c r="C445" t="str">
        <x:v>AUT-009</x:v>
      </x:c>
      <x:c r="D445" t="str">
        <x:v>S04</x:v>
      </x:c>
      <x:c r="E445" t="str">
        <x:v>AUTO-BRK-A</x:v>
      </x:c>
      <x:c r="F445" t="str">
        <x:v>汽車精密零組件</x:v>
      </x:c>
      <x:c r="G445" t="n">
        <x:v>10000</x:v>
      </x:c>
      <x:c r="H445" t="n">
        <x:v>1808.42</x:v>
      </x:c>
      <x:c r="I445" t="n">
        <x:v>1417.59</x:v>
      </x:c>
      <x:c r="J445" s="22" t="n">
        <x:v>0.21611683126707298</x:v>
      </x:c>
      <x:c r="K445" s="22" t="n">
        <x:v>0.0217</x:v>
      </x:c>
      <x:c r="L445" t="n">
        <x:v>20</x:v>
      </x:c>
      <x:c r="M445" t="str">
        <x:v>成交</x:v>
      </x:c>
      <x:c r="N445" s="20" t="n">
        <x:v>45605</x:v>
      </x:c>
      <x:c r="O445"/>
    </x:row>
    <x:row r="446" ht="20" customHeight="1">
      <x:c r="A446" t="str">
        <x:v>Q00445</x:v>
      </x:c>
      <x:c r="B446" s="20" t="n">
        <x:v>45613</x:v>
      </x:c>
      <x:c r="C446" t="str">
        <x:v>IAT-008</x:v>
      </x:c>
      <x:c r="D446" t="str">
        <x:v>S01</x:v>
      </x:c>
      <x:c r="E446" t="str">
        <x:v>PM-ALB-A</x:v>
      </x:c>
      <x:c r="F446" t="str">
        <x:v>精密金屬加工件</x:v>
      </x:c>
      <x:c r="G446" t="n">
        <x:v>800</x:v>
      </x:c>
      <x:c r="H446" t="n">
        <x:v>10235.08</x:v>
      </x:c>
      <x:c r="I446" t="n">
        <x:v>8322.45</x:v>
      </x:c>
      <x:c r="J446" s="22" t="n">
        <x:v>0.1868700586609972</x:v>
      </x:c>
      <x:c r="K446" s="22" t="n">
        <x:v>0.1261</x:v>
      </x:c>
      <x:c r="L446" t="n">
        <x:v>18</x:v>
      </x:c>
      <x:c r="M446" t="str">
        <x:v>未成交</x:v>
      </x:c>
      <x:c r="N446" s="20" t="n">
        <x:v>45622</x:v>
      </x:c>
      <x:c r="O446" t="str">
        <x:v>競品</x:v>
      </x:c>
    </x:row>
    <x:row r="447" ht="20" customHeight="1">
      <x:c r="A447" t="str">
        <x:v>Q00446</x:v>
      </x:c>
      <x:c r="B447" s="20" t="n">
        <x:v>45619</x:v>
      </x:c>
      <x:c r="C447" t="str">
        <x:v>AFT-005</x:v>
      </x:c>
      <x:c r="D447" t="str">
        <x:v>S05</x:v>
      </x:c>
      <x:c r="E447" t="str">
        <x:v>PM-BRG-A</x:v>
      </x:c>
      <x:c r="F447" t="str">
        <x:v>精密金屬加工件</x:v>
      </x:c>
      <x:c r="G447" t="n">
        <x:v>800</x:v>
      </x:c>
      <x:c r="H447" t="n">
        <x:v>6554.53</x:v>
      </x:c>
      <x:c r="I447" t="n">
        <x:v>4359.08</x:v>
      </x:c>
      <x:c r="J447" s="22" t="n">
        <x:v>0.3349515525903459</x:v>
      </x:c>
      <x:c r="K447" s="22" t="n">
        <x:v>0.0886</x:v>
      </x:c>
      <x:c r="L447" t="n">
        <x:v>18</x:v>
      </x:c>
      <x:c r="M447" t="str">
        <x:v>成交</x:v>
      </x:c>
      <x:c r="N447" s="20" t="n">
        <x:v>45631</x:v>
      </x:c>
      <x:c r="O447"/>
    </x:row>
    <x:row r="448" ht="20" customHeight="1">
      <x:c r="A448" t="str">
        <x:v>Q00447</x:v>
      </x:c>
      <x:c r="B448" s="20" t="n">
        <x:v>45598</x:v>
      </x:c>
      <x:c r="C448" t="str">
        <x:v>AUT-006</x:v>
      </x:c>
      <x:c r="D448" t="str">
        <x:v>S03</x:v>
      </x:c>
      <x:c r="E448" t="str">
        <x:v>AUTO-LG-A</x:v>
      </x:c>
      <x:c r="F448" t="str">
        <x:v>汽車精密零組件</x:v>
      </x:c>
      <x:c r="G448" t="n">
        <x:v>10000</x:v>
      </x:c>
      <x:c r="H448" t="n">
        <x:v>1114.22</x:v>
      </x:c>
      <x:c r="I448" t="n">
        <x:v>858.13</x:v>
      </x:c>
      <x:c r="J448" s="22" t="n">
        <x:v>0.22983791351797672</x:v>
      </x:c>
      <x:c r="K448" s="22" t="n">
        <x:v>0.043</x:v>
      </x:c>
      <x:c r="L448" t="n">
        <x:v>18</x:v>
      </x:c>
      <x:c r="M448" t="str">
        <x:v>成交</x:v>
      </x:c>
      <x:c r="N448" s="20" t="n">
        <x:v>45604</x:v>
      </x:c>
      <x:c r="O448"/>
    </x:row>
    <x:row r="449" ht="20" customHeight="1">
      <x:c r="A449" t="str">
        <x:v>Q00448</x:v>
      </x:c>
      <x:c r="B449" s="20" t="n">
        <x:v>45612</x:v>
      </x:c>
      <x:c r="C449" t="str">
        <x:v>AUT-006</x:v>
      </x:c>
      <x:c r="D449" t="str">
        <x:v>S03</x:v>
      </x:c>
      <x:c r="E449" t="str">
        <x:v>PM-ALB-B</x:v>
      </x:c>
      <x:c r="F449" t="str">
        <x:v>精密金屬加工件</x:v>
      </x:c>
      <x:c r="G449" t="n">
        <x:v>1200</x:v>
      </x:c>
      <x:c r="H449" t="n">
        <x:v>15642.84</x:v>
      </x:c>
      <x:c r="I449" t="n">
        <x:v>12059.88</x:v>
      </x:c>
      <x:c r="J449" s="22" t="n">
        <x:v>0.2290479222442984</x:v>
      </x:c>
      <x:c r="K449" s="22" t="n">
        <x:v>0.0741</x:v>
      </x:c>
      <x:c r="L449" t="n">
        <x:v>25</x:v>
      </x:c>
      <x:c r="M449" t="str">
        <x:v>未成交</x:v>
      </x:c>
      <x:c r="N449" s="20" t="n">
        <x:v>45621</x:v>
      </x:c>
      <x:c r="O449" t="str">
        <x:v>交期</x:v>
      </x:c>
    </x:row>
    <x:row r="450" ht="20" customHeight="1">
      <x:c r="A450" t="str">
        <x:v>Q00449</x:v>
      </x:c>
      <x:c r="B450" s="20" t="n">
        <x:v>45649</x:v>
      </x:c>
      <x:c r="C450" t="str">
        <x:v>AUT-006</x:v>
      </x:c>
      <x:c r="D450" t="str">
        <x:v>S03</x:v>
      </x:c>
      <x:c r="E450" t="str">
        <x:v>MECH-STG-B</x:v>
      </x:c>
      <x:c r="F450" t="str">
        <x:v>機電／自動化模組</x:v>
      </x:c>
      <x:c r="G450" t="n">
        <x:v>10</x:v>
      </x:c>
      <x:c r="H450" t="n">
        <x:v>197193.57</x:v>
      </x:c>
      <x:c r="I450" t="n">
        <x:v>152518.6</x:v>
      </x:c>
      <x:c r="J450" s="22" t="n">
        <x:v>0.22655388814148453</x:v>
      </x:c>
      <x:c r="K450" s="22" t="n">
        <x:v>0.0469</x:v>
      </x:c>
      <x:c r="L450" t="n">
        <x:v>46</x:v>
      </x:c>
      <x:c r="M450" t="str">
        <x:v>成交</x:v>
      </x:c>
      <x:c r="N450" s="20" t="n">
        <x:v>45653</x:v>
      </x:c>
      <x:c r="O450"/>
    </x:row>
    <x:row r="451" ht="20" customHeight="1">
      <x:c r="A451" t="str">
        <x:v>Q00450</x:v>
      </x:c>
      <x:c r="B451" s="20" t="n">
        <x:v>45649</x:v>
      </x:c>
      <x:c r="C451" t="str">
        <x:v>AFT-003</x:v>
      </x:c>
      <x:c r="D451" t="str">
        <x:v>S01</x:v>
      </x:c>
      <x:c r="E451" t="str">
        <x:v>PM-SUS-A</x:v>
      </x:c>
      <x:c r="F451" t="str">
        <x:v>精密金屬加工件</x:v>
      </x:c>
      <x:c r="G451" t="n">
        <x:v>1600</x:v>
      </x:c>
      <x:c r="H451" t="n">
        <x:v>10517.83</x:v>
      </x:c>
      <x:c r="I451" t="n">
        <x:v>7317.51</x:v>
      </x:c>
      <x:c r="J451" s="22" t="n">
        <x:v>0.304275691848984</x:v>
      </x:c>
      <x:c r="K451" s="22" t="n">
        <x:v>0.0476</x:v>
      </x:c>
      <x:c r="L451" t="n">
        <x:v>19</x:v>
      </x:c>
      <x:c r="M451" t="str">
        <x:v>成交</x:v>
      </x:c>
      <x:c r="N451" s="20" t="n">
        <x:v>45653</x:v>
      </x:c>
      <x:c r="O451"/>
    </x:row>
    <x:row r="452" ht="20" customHeight="1">
      <x:c r="A452" t="str">
        <x:v>Q00451</x:v>
      </x:c>
      <x:c r="B452" s="20" t="n">
        <x:v>45651</x:v>
      </x:c>
      <x:c r="C452" t="str">
        <x:v>AUT-003</x:v>
      </x:c>
      <x:c r="D452" t="str">
        <x:v>S03</x:v>
      </x:c>
      <x:c r="E452" t="str">
        <x:v>PM-VAC-B</x:v>
      </x:c>
      <x:c r="F452" t="str">
        <x:v>精密金屬加工件</x:v>
      </x:c>
      <x:c r="G452" t="n">
        <x:v>1600</x:v>
      </x:c>
      <x:c r="H452" t="n">
        <x:v>22511.53</x:v>
      </x:c>
      <x:c r="I452" t="n">
        <x:v>15719.37</x:v>
      </x:c>
      <x:c r="J452" s="22" t="n">
        <x:v>0.3017191634686758</x:v>
      </x:c>
      <x:c r="K452" s="22" t="n">
        <x:v>0.0367</x:v>
      </x:c>
      <x:c r="L452" t="n">
        <x:v>27</x:v>
      </x:c>
      <x:c r="M452" t="str">
        <x:v>成交</x:v>
      </x:c>
      <x:c r="N452" s="20" t="n">
        <x:v>45659</x:v>
      </x:c>
      <x:c r="O452"/>
    </x:row>
    <x:row r="453" ht="20" customHeight="1">
      <x:c r="A453" t="str">
        <x:v>Q00452</x:v>
      </x:c>
      <x:c r="B453" s="20" t="n">
        <x:v>45656</x:v>
      </x:c>
      <x:c r="C453" t="str">
        <x:v>SEM-001</x:v>
      </x:c>
      <x:c r="D453" t="str">
        <x:v>S01</x:v>
      </x:c>
      <x:c r="E453" t="str">
        <x:v>PM-BRG-B</x:v>
      </x:c>
      <x:c r="F453" t="str">
        <x:v>精密金屬加工件</x:v>
      </x:c>
      <x:c r="G453" t="n">
        <x:v>1200</x:v>
      </x:c>
      <x:c r="H453" t="n">
        <x:v>7672.5</x:v>
      </x:c>
      <x:c r="I453" t="n">
        <x:v>5588.47</x:v>
      </x:c>
      <x:c r="J453" s="22" t="n">
        <x:v>0.27162333007494294</x:v>
      </x:c>
      <x:c r="K453" s="22" t="n">
        <x:v>0.0929</x:v>
      </x:c>
      <x:c r="L453" t="n">
        <x:v>25</x:v>
      </x:c>
      <x:c r="M453" t="str">
        <x:v>未成交</x:v>
      </x:c>
      <x:c r="N453" s="20" t="n">
        <x:v>45659</x:v>
      </x:c>
      <x:c r="O453" t="str">
        <x:v>專案取消</x:v>
      </x:c>
    </x:row>
    <x:row r="454" ht="20" customHeight="1">
      <x:c r="A454" t="str">
        <x:v>Q00453</x:v>
      </x:c>
      <x:c r="B454" s="20" t="n">
        <x:v>45654</x:v>
      </x:c>
      <x:c r="C454" t="str">
        <x:v>IAT-002</x:v>
      </x:c>
      <x:c r="D454" t="str">
        <x:v>S01</x:v>
      </x:c>
      <x:c r="E454" t="str">
        <x:v>PM-SUS-B</x:v>
      </x:c>
      <x:c r="F454" t="str">
        <x:v>精密金屬加工件</x:v>
      </x:c>
      <x:c r="G454" t="n">
        <x:v>500</x:v>
      </x:c>
      <x:c r="H454" t="n">
        <x:v>15619.81</x:v>
      </x:c>
      <x:c r="I454" t="n">
        <x:v>10903.38</x:v>
      </x:c>
      <x:c r="J454" s="22" t="n">
        <x:v>0.3019518163153073</x:v>
      </x:c>
      <x:c r="K454" s="22" t="n">
        <x:v>0.0258</x:v>
      </x:c>
      <x:c r="L454" t="n">
        <x:v>31</x:v>
      </x:c>
      <x:c r="M454" t="str">
        <x:v>未成交</x:v>
      </x:c>
      <x:c r="N454" s="20" t="n">
        <x:v>45657</x:v>
      </x:c>
      <x:c r="O454" t="str">
        <x:v>競品</x:v>
      </x:c>
    </x:row>
    <x:row r="455" ht="20" customHeight="1">
      <x:c r="A455" t="str">
        <x:v>Q00454</x:v>
      </x:c>
      <x:c r="B455" s="20" t="n">
        <x:v>45642</x:v>
      </x:c>
      <x:c r="C455" t="str">
        <x:v>AFT-001</x:v>
      </x:c>
      <x:c r="D455" t="str">
        <x:v>S05</x:v>
      </x:c>
      <x:c r="E455" t="str">
        <x:v>AUTO-FL-A</x:v>
      </x:c>
      <x:c r="F455" t="str">
        <x:v>汽車精密零組件</x:v>
      </x:c>
      <x:c r="G455" t="n">
        <x:v>5000</x:v>
      </x:c>
      <x:c r="H455" t="n">
        <x:v>1302.36</x:v>
      </x:c>
      <x:c r="I455" t="n">
        <x:v>944.37</x:v>
      </x:c>
      <x:c r="J455" s="22" t="n">
        <x:v>0.27487791394084576</x:v>
      </x:c>
      <x:c r="K455" s="22" t="n">
        <x:v>0.0572</x:v>
      </x:c>
      <x:c r="L455" t="n">
        <x:v>15</x:v>
      </x:c>
      <x:c r="M455" t="str">
        <x:v>成交</x:v>
      </x:c>
      <x:c r="N455" s="20" t="n">
        <x:v>45652</x:v>
      </x:c>
      <x:c r="O455"/>
    </x:row>
    <x:row r="456" ht="20" customHeight="1">
      <x:c r="A456" t="str">
        <x:v>Q00455</x:v>
      </x:c>
      <x:c r="B456" s="20" t="n">
        <x:v>45628</x:v>
      </x:c>
      <x:c r="C456" t="str">
        <x:v>AUT-009</x:v>
      </x:c>
      <x:c r="D456" t="str">
        <x:v>S04</x:v>
      </x:c>
      <x:c r="E456" t="str">
        <x:v>AUTO-MH-B</x:v>
      </x:c>
      <x:c r="F456" t="str">
        <x:v>汽車精密零組件</x:v>
      </x:c>
      <x:c r="G456" t="n">
        <x:v>5000</x:v>
      </x:c>
      <x:c r="H456" t="n">
        <x:v>2875.53</x:v>
      </x:c>
      <x:c r="I456" t="n">
        <x:v>2410.8</x:v>
      </x:c>
      <x:c r="J456" s="22" t="n">
        <x:v>0.16161542393923903</x:v>
      </x:c>
      <x:c r="K456" s="22" t="n">
        <x:v>0.0848</x:v>
      </x:c>
      <x:c r="L456" t="n">
        <x:v>25</x:v>
      </x:c>
      <x:c r="M456" t="str">
        <x:v>未成交</x:v>
      </x:c>
      <x:c r="N456" s="20" t="n">
        <x:v>45639</x:v>
      </x:c>
      <x:c r="O456" t="str">
        <x:v>競品</x:v>
      </x:c>
    </x:row>
    <x:row r="457" ht="20" customHeight="1">
      <x:c r="A457" t="str">
        <x:v>Q00456</x:v>
      </x:c>
      <x:c r="B457" s="20" t="n">
        <x:v>45644</x:v>
      </x:c>
      <x:c r="C457" t="str">
        <x:v>AUT-011</x:v>
      </x:c>
      <x:c r="D457" t="str">
        <x:v>S02</x:v>
      </x:c>
      <x:c r="E457" t="str">
        <x:v>AUTO-MH-A</x:v>
      </x:c>
      <x:c r="F457" t="str">
        <x:v>汽車精密零組件</x:v>
      </x:c>
      <x:c r="G457" t="n">
        <x:v>10000</x:v>
      </x:c>
      <x:c r="H457" t="n">
        <x:v>2587.68</x:v>
      </x:c>
      <x:c r="I457" t="n">
        <x:v>1928.83</x:v>
      </x:c>
      <x:c r="J457" s="22" t="n">
        <x:v>0.25461030730229395</x:v>
      </x:c>
      <x:c r="K457" s="22" t="n">
        <x:v>0.0385</x:v>
      </x:c>
      <x:c r="L457" t="n">
        <x:v>23</x:v>
      </x:c>
      <x:c r="M457" t="str">
        <x:v>成交</x:v>
      </x:c>
      <x:c r="N457" s="20" t="n">
        <x:v>45651</x:v>
      </x:c>
      <x:c r="O457"/>
    </x:row>
    <x:row r="458" ht="20" customHeight="1">
      <x:c r="A458" t="str">
        <x:v>Q00457</x:v>
      </x:c>
      <x:c r="B458" s="20" t="n">
        <x:v>45651</x:v>
      </x:c>
      <x:c r="C458" t="str">
        <x:v>SEM-007</x:v>
      </x:c>
      <x:c r="D458" t="str">
        <x:v>S03</x:v>
      </x:c>
      <x:c r="E458" t="str">
        <x:v>SEMI-WH-A</x:v>
      </x:c>
      <x:c r="F458" t="str">
        <x:v>半導體設備零組件</x:v>
      </x:c>
      <x:c r="G458" t="n">
        <x:v>160</x:v>
      </x:c>
      <x:c r="H458" t="n">
        <x:v>114216.63</x:v>
      </x:c>
      <x:c r="I458" t="n">
        <x:v>87307.23</x:v>
      </x:c>
      <x:c r="J458" s="22" t="n">
        <x:v>0.23559966705373822</x:v>
      </x:c>
      <x:c r="K458" s="22" t="n">
        <x:v>0.0389</x:v>
      </x:c>
      <x:c r="L458" t="n">
        <x:v>39</x:v>
      </x:c>
      <x:c r="M458" t="str">
        <x:v>成交</x:v>
      </x:c>
      <x:c r="N458" s="20" t="n">
        <x:v>45656</x:v>
      </x:c>
      <x:c r="O458"/>
    </x:row>
    <x:row r="459" ht="20" customHeight="1">
      <x:c r="A459" t="str">
        <x:v>Q00458</x:v>
      </x:c>
      <x:c r="B459" s="20" t="n">
        <x:v>45653</x:v>
      </x:c>
      <x:c r="C459" t="str">
        <x:v>SEM-002</x:v>
      </x:c>
      <x:c r="D459" t="str">
        <x:v>S02</x:v>
      </x:c>
      <x:c r="E459" t="str">
        <x:v>SEMI-CHB-A</x:v>
      </x:c>
      <x:c r="F459" t="str">
        <x:v>半導體設備零組件</x:v>
      </x:c>
      <x:c r="G459" t="n">
        <x:v>160</x:v>
      </x:c>
      <x:c r="H459" t="n">
        <x:v>94654.1</x:v>
      </x:c>
      <x:c r="I459" t="n">
        <x:v>68400.92</x:v>
      </x:c>
      <x:c r="J459" s="22" t="n">
        <x:v>0.27735914239319803</x:v>
      </x:c>
      <x:c r="K459" s="22" t="n">
        <x:v>0.0471</x:v>
      </x:c>
      <x:c r="L459" t="n">
        <x:v>38</x:v>
      </x:c>
      <x:c r="M459" t="str">
        <x:v>未成交</x:v>
      </x:c>
      <x:c r="N459" s="20" t="n">
        <x:v>45658</x:v>
      </x:c>
      <x:c r="O459" t="str">
        <x:v>交期</x:v>
      </x:c>
    </x:row>
    <x:row r="460" ht="20" customHeight="1">
      <x:c r="A460" t="str">
        <x:v>Q00459</x:v>
      </x:c>
      <x:c r="B460" s="20" t="n">
        <x:v>45642</x:v>
      </x:c>
      <x:c r="C460" t="str">
        <x:v>EMS-006</x:v>
      </x:c>
      <x:c r="D460" t="str">
        <x:v>S03</x:v>
      </x:c>
      <x:c r="E460" t="str">
        <x:v>AUTO-MH-B</x:v>
      </x:c>
      <x:c r="F460" t="str">
        <x:v>汽車精密零組件</x:v>
      </x:c>
      <x:c r="G460" t="n">
        <x:v>13000</x:v>
      </x:c>
      <x:c r="H460" t="n">
        <x:v>2942.46</x:v>
      </x:c>
      <x:c r="I460" t="n">
        <x:v>2331.29</x:v>
      </x:c>
      <x:c r="J460" s="22" t="n">
        <x:v>0.20770715659686115</x:v>
      </x:c>
      <x:c r="K460" s="22" t="n">
        <x:v>0.083</x:v>
      </x:c>
      <x:c r="L460" t="n">
        <x:v>18</x:v>
      </x:c>
      <x:c r="M460" t="str">
        <x:v>成交</x:v>
      </x:c>
      <x:c r="N460" s="20" t="n">
        <x:v>45645</x:v>
      </x:c>
      <x:c r="O460"/>
    </x:row>
    <x:row r="461" ht="20" customHeight="1">
      <x:c r="A461" t="str">
        <x:v>Q00460</x:v>
      </x:c>
      <x:c r="B461" s="20" t="n">
        <x:v>45656</x:v>
      </x:c>
      <x:c r="C461" t="str">
        <x:v>IAT-006</x:v>
      </x:c>
      <x:c r="D461" t="str">
        <x:v>S01</x:v>
      </x:c>
      <x:c r="E461" t="str">
        <x:v>PM-VAC-A</x:v>
      </x:c>
      <x:c r="F461" t="str">
        <x:v>精密金屬加工件</x:v>
      </x:c>
      <x:c r="G461" t="n">
        <x:v>500</x:v>
      </x:c>
      <x:c r="H461" t="n">
        <x:v>16377.82</x:v>
      </x:c>
      <x:c r="I461" t="n">
        <x:v>11210.01</x:v>
      </x:c>
      <x:c r="J461" s="22" t="n">
        <x:v>0.3155371105556173</x:v>
      </x:c>
      <x:c r="K461" s="22" t="n">
        <x:v>0.0351</x:v>
      </x:c>
      <x:c r="L461" t="n">
        <x:v>33</x:v>
      </x:c>
      <x:c r="M461" t="str">
        <x:v>成交</x:v>
      </x:c>
      <x:c r="N461" s="20" t="n">
        <x:v>45665</x:v>
      </x:c>
      <x:c r="O461"/>
    </x:row>
    <x:row r="462" ht="20" customHeight="1">
      <x:c r="A462" t="str">
        <x:v>Q00461</x:v>
      </x:c>
      <x:c r="B462" s="20" t="n">
        <x:v>45631</x:v>
      </x:c>
      <x:c r="C462" t="str">
        <x:v>EMS-008</x:v>
      </x:c>
      <x:c r="D462" t="str">
        <x:v>S02</x:v>
      </x:c>
      <x:c r="E462" t="str">
        <x:v>MECH-STG-B</x:v>
      </x:c>
      <x:c r="F462" t="str">
        <x:v>機電／自動化模組</x:v>
      </x:c>
      <x:c r="G462" t="n">
        <x:v>20</x:v>
      </x:c>
      <x:c r="H462" t="n">
        <x:v>197247.26</x:v>
      </x:c>
      <x:c r="I462" t="n">
        <x:v>150511.68</x:v>
      </x:c>
      <x:c r="J462" s="22" t="n">
        <x:v>0.23693905811416602</x:v>
      </x:c>
      <x:c r="K462" s="22" t="n">
        <x:v>0.0374</x:v>
      </x:c>
      <x:c r="L462" t="n">
        <x:v>56</x:v>
      </x:c>
      <x:c r="M462" t="str">
        <x:v>成交</x:v>
      </x:c>
      <x:c r="N462" s="20" t="n">
        <x:v>45634</x:v>
      </x:c>
      <x:c r="O462"/>
    </x:row>
    <x:row r="463" ht="20" customHeight="1">
      <x:c r="A463" t="str">
        <x:v>Q00462</x:v>
      </x:c>
      <x:c r="B463" s="20" t="n">
        <x:v>45628</x:v>
      </x:c>
      <x:c r="C463" t="str">
        <x:v>IAT-001</x:v>
      </x:c>
      <x:c r="D463" t="str">
        <x:v>S05</x:v>
      </x:c>
      <x:c r="E463" t="str">
        <x:v>PM-VAC-A</x:v>
      </x:c>
      <x:c r="F463" t="str">
        <x:v>精密金屬加工件</x:v>
      </x:c>
      <x:c r="G463" t="n">
        <x:v>1200</x:v>
      </x:c>
      <x:c r="H463" t="n">
        <x:v>15456</x:v>
      </x:c>
      <x:c r="I463" t="n">
        <x:v>10551.78</x:v>
      </x:c>
      <x:c r="J463" s="22" t="n">
        <x:v>0.31730201863354035</x:v>
      </x:c>
      <x:c r="K463" s="22" t="n">
        <x:v>0.0717</x:v>
      </x:c>
      <x:c r="L463" t="n">
        <x:v>25</x:v>
      </x:c>
      <x:c r="M463" t="str">
        <x:v>未成交</x:v>
      </x:c>
      <x:c r="N463" s="20" t="n">
        <x:v>45631</x:v>
      </x:c>
      <x:c r="O463" t="str">
        <x:v>規格</x:v>
      </x:c>
    </x:row>
    <x:row r="464" ht="20" customHeight="1">
      <x:c r="A464" t="str">
        <x:v>Q00463</x:v>
      </x:c>
      <x:c r="B464" s="20" t="n">
        <x:v>45647</x:v>
      </x:c>
      <x:c r="C464" t="str">
        <x:v>SEM-003</x:v>
      </x:c>
      <x:c r="D464" t="str">
        <x:v>S02</x:v>
      </x:c>
      <x:c r="E464" t="str">
        <x:v>MECH-STG-A</x:v>
      </x:c>
      <x:c r="F464" t="str">
        <x:v>機電／自動化模組</x:v>
      </x:c>
      <x:c r="G464" t="n">
        <x:v>30</x:v>
      </x:c>
      <x:c r="H464" t="n">
        <x:v>128406.05</x:v>
      </x:c>
      <x:c r="I464" t="n">
        <x:v>106859.18</x:v>
      </x:c>
      <x:c r="J464" s="22" t="n">
        <x:v>0.16780260743165926</x:v>
      </x:c>
      <x:c r="K464" s="22" t="n">
        <x:v>0.1238</x:v>
      </x:c>
      <x:c r="L464" t="n">
        <x:v>36</x:v>
      </x:c>
      <x:c r="M464" t="str">
        <x:v>成交</x:v>
      </x:c>
      <x:c r="N464" s="20" t="n">
        <x:v>45654</x:v>
      </x:c>
      <x:c r="O464"/>
    </x:row>
    <x:row r="465" ht="20" customHeight="1">
      <x:c r="A465" t="str">
        <x:v>Q00464</x:v>
      </x:c>
      <x:c r="B465" s="20" t="n">
        <x:v>45631</x:v>
      </x:c>
      <x:c r="C465" t="str">
        <x:v>IAT-003</x:v>
      </x:c>
      <x:c r="D465" t="str">
        <x:v>S04</x:v>
      </x:c>
      <x:c r="E465" t="str">
        <x:v>PM-VAC-B</x:v>
      </x:c>
      <x:c r="F465" t="str">
        <x:v>精密金屬加工件</x:v>
      </x:c>
      <x:c r="G465" t="n">
        <x:v>1600</x:v>
      </x:c>
      <x:c r="H465" t="n">
        <x:v>22773.5</x:v>
      </x:c>
      <x:c r="I465" t="n">
        <x:v>15919.26</x:v>
      </x:c>
      <x:c r="J465" s="22" t="n">
        <x:v>0.30097437811491423</x:v>
      </x:c>
      <x:c r="K465" s="22" t="n">
        <x:v>0.0372</x:v>
      </x:c>
      <x:c r="L465" t="n">
        <x:v>37</x:v>
      </x:c>
      <x:c r="M465" t="str">
        <x:v>成交</x:v>
      </x:c>
      <x:c r="N465" s="20" t="n">
        <x:v>45641</x:v>
      </x:c>
      <x:c r="O465"/>
    </x:row>
    <x:row r="466" ht="20" customHeight="1">
      <x:c r="A466" t="str">
        <x:v>Q00465</x:v>
      </x:c>
      <x:c r="B466" s="20" t="n">
        <x:v>45644</x:v>
      </x:c>
      <x:c r="C466" t="str">
        <x:v>AFT-003</x:v>
      </x:c>
      <x:c r="D466" t="str">
        <x:v>S01</x:v>
      </x:c>
      <x:c r="E466" t="str">
        <x:v>AUTO-FL-B</x:v>
      </x:c>
      <x:c r="F466" t="str">
        <x:v>汽車精密零組件</x:v>
      </x:c>
      <x:c r="G466" t="n">
        <x:v>10000</x:v>
      </x:c>
      <x:c r="H466" t="n">
        <x:v>1519.1</x:v>
      </x:c>
      <x:c r="I466" t="n">
        <x:v>1192.62</x:v>
      </x:c>
      <x:c r="J466" s="22" t="n">
        <x:v>0.2149167270094135</x:v>
      </x:c>
      <x:c r="K466" s="22" t="n">
        <x:v>0.0701</x:v>
      </x:c>
      <x:c r="L466" t="n">
        <x:v>16</x:v>
      </x:c>
      <x:c r="M466" t="str">
        <x:v>未成交</x:v>
      </x:c>
      <x:c r="N466" s="20" t="n">
        <x:v>45648</x:v>
      </x:c>
      <x:c r="O466" t="str">
        <x:v>規格</x:v>
      </x:c>
    </x:row>
    <x:row r="467" ht="20" customHeight="1">
      <x:c r="A467" t="str">
        <x:v>Q00466</x:v>
      </x:c>
      <x:c r="B467" s="20" t="n">
        <x:v>45642</x:v>
      </x:c>
      <x:c r="C467" t="str">
        <x:v>AFT-002</x:v>
      </x:c>
      <x:c r="D467" t="str">
        <x:v>S04</x:v>
      </x:c>
      <x:c r="E467" t="str">
        <x:v>AUTO-MH-A</x:v>
      </x:c>
      <x:c r="F467" t="str">
        <x:v>汽車精密零組件</x:v>
      </x:c>
      <x:c r="G467" t="n">
        <x:v>13000</x:v>
      </x:c>
      <x:c r="H467" t="n">
        <x:v>2481.6</x:v>
      </x:c>
      <x:c r="I467" t="n">
        <x:v>1968.57</x:v>
      </x:c>
      <x:c r="J467" s="22" t="n">
        <x:v>0.2067335589941973</x:v>
      </x:c>
      <x:c r="K467" s="22" t="n">
        <x:v>0.077</x:v>
      </x:c>
      <x:c r="L467" t="n">
        <x:v>20</x:v>
      </x:c>
      <x:c r="M467" t="str">
        <x:v>成交</x:v>
      </x:c>
      <x:c r="N467" s="20" t="n">
        <x:v>45649</x:v>
      </x:c>
      <x:c r="O467"/>
    </x:row>
    <x:row r="468" ht="20" customHeight="1">
      <x:c r="A468" t="str">
        <x:v>Q00467</x:v>
      </x:c>
      <x:c r="B468" s="20" t="n">
        <x:v>45654</x:v>
      </x:c>
      <x:c r="C468" t="str">
        <x:v>EMS-002</x:v>
      </x:c>
      <x:c r="D468" t="str">
        <x:v>S05</x:v>
      </x:c>
      <x:c r="E468" t="str">
        <x:v>AUTO-LG-B</x:v>
      </x:c>
      <x:c r="F468" t="str">
        <x:v>汽車精密零組件</x:v>
      </x:c>
      <x:c r="G468" t="n">
        <x:v>3000</x:v>
      </x:c>
      <x:c r="H468" t="n">
        <x:v>1224.67</x:v>
      </x:c>
      <x:c r="I468" t="n">
        <x:v>953.94</x:v>
      </x:c>
      <x:c r="J468" s="22" t="n">
        <x:v>0.22106363346860788</x:v>
      </x:c>
      <x:c r="K468" s="22" t="n">
        <x:v>0.05</x:v>
      </x:c>
      <x:c r="L468" t="n">
        <x:v>17</x:v>
      </x:c>
      <x:c r="M468" t="str">
        <x:v>成交</x:v>
      </x:c>
      <x:c r="N468" s="20" t="n">
        <x:v>45657</x:v>
      </x:c>
      <x:c r="O468"/>
    </x:row>
    <x:row r="469" ht="20" customHeight="1">
      <x:c r="A469" t="str">
        <x:v>Q00468</x:v>
      </x:c>
      <x:c r="B469" s="20" t="n">
        <x:v>45651</x:v>
      </x:c>
      <x:c r="C469" t="str">
        <x:v>IAT-007</x:v>
      </x:c>
      <x:c r="D469" t="str">
        <x:v>S04</x:v>
      </x:c>
      <x:c r="E469" t="str">
        <x:v>AUTO-KN-B</x:v>
      </x:c>
      <x:c r="F469" t="str">
        <x:v>汽車精密零組件</x:v>
      </x:c>
      <x:c r="G469" t="n">
        <x:v>13000</x:v>
      </x:c>
      <x:c r="H469" t="n">
        <x:v>3768.94</x:v>
      </x:c>
      <x:c r="I469" t="n">
        <x:v>2554.52</x:v>
      </x:c>
      <x:c r="J469" s="22" t="n">
        <x:v>0.3222179180353097</x:v>
      </x:c>
      <x:c r="K469" s="22" t="n">
        <x:v>0.0676</x:v>
      </x:c>
      <x:c r="L469" t="n">
        <x:v>22</x:v>
      </x:c>
      <x:c r="M469" t="str">
        <x:v>成交</x:v>
      </x:c>
      <x:c r="N469" s="20" t="n">
        <x:v>45661</x:v>
      </x:c>
      <x:c r="O469"/>
    </x:row>
    <x:row r="470" ht="20" customHeight="1">
      <x:c r="A470" t="str">
        <x:v>Q00469</x:v>
      </x:c>
      <x:c r="B470" s="20" t="n">
        <x:v>45635</x:v>
      </x:c>
      <x:c r="C470" t="str">
        <x:v>AFT-001</x:v>
      </x:c>
      <x:c r="D470" t="str">
        <x:v>S05</x:v>
      </x:c>
      <x:c r="E470" t="str">
        <x:v>AUTO-KN-A</x:v>
      </x:c>
      <x:c r="F470" t="str">
        <x:v>汽車精密零組件</x:v>
      </x:c>
      <x:c r="G470" t="n">
        <x:v>3000</x:v>
      </x:c>
      <x:c r="H470" t="n">
        <x:v>3354.81</x:v>
      </x:c>
      <x:c r="I470" t="n">
        <x:v>2259.31</x:v>
      </x:c>
      <x:c r="J470" s="22" t="n">
        <x:v>0.32654606371150674</x:v>
      </x:c>
      <x:c r="K470" s="22" t="n">
        <x:v>0.0237</x:v>
      </x:c>
      <x:c r="L470" t="n">
        <x:v>17</x:v>
      </x:c>
      <x:c r="M470" t="str">
        <x:v>成交</x:v>
      </x:c>
      <x:c r="N470" s="20" t="n">
        <x:v>45647</x:v>
      </x:c>
      <x:c r="O470"/>
    </x:row>
    <x:row r="471" ht="20" customHeight="1">
      <x:c r="A471" t="str">
        <x:v>Q00470</x:v>
      </x:c>
      <x:c r="B471" s="20" t="n">
        <x:v>45635</x:v>
      </x:c>
      <x:c r="C471" t="str">
        <x:v>SEM-008</x:v>
      </x:c>
      <x:c r="D471" t="str">
        <x:v>S04</x:v>
      </x:c>
      <x:c r="E471" t="str">
        <x:v>MECH-STG-B</x:v>
      </x:c>
      <x:c r="F471" t="str">
        <x:v>機電／自動化模組</x:v>
      </x:c>
      <x:c r="G471" t="n">
        <x:v>50</x:v>
      </x:c>
      <x:c r="H471" t="n">
        <x:v>202702.44</x:v>
      </x:c>
      <x:c r="I471" t="n">
        <x:v>153317.41</x:v>
      </x:c>
      <x:c r="J471" s="22" t="n">
        <x:v>0.24363313041520368</x:v>
      </x:c>
      <x:c r="K471" s="22" t="n">
        <x:v>0.0269</x:v>
      </x:c>
      <x:c r="L471" t="n">
        <x:v>45</x:v>
      </x:c>
      <x:c r="M471" t="str">
        <x:v>成交</x:v>
      </x:c>
      <x:c r="N471" s="20" t="n">
        <x:v>45638</x:v>
      </x:c>
      <x:c r="O471"/>
    </x:row>
    <x:row r="472" ht="20" customHeight="1">
      <x:c r="A472" t="str">
        <x:v>Q00471</x:v>
      </x:c>
      <x:c r="B472" s="20" t="n">
        <x:v>45656</x:v>
      </x:c>
      <x:c r="C472" t="str">
        <x:v>EMS-002</x:v>
      </x:c>
      <x:c r="D472" t="str">
        <x:v>S05</x:v>
      </x:c>
      <x:c r="E472" t="str">
        <x:v>MECH-CON-B</x:v>
      </x:c>
      <x:c r="F472" t="str">
        <x:v>機電／自動化模組</x:v>
      </x:c>
      <x:c r="G472" t="n">
        <x:v>50</x:v>
      </x:c>
      <x:c r="H472" t="n">
        <x:v>151508.3</x:v>
      </x:c>
      <x:c r="I472" t="n">
        <x:v>119205.97</x:v>
      </x:c>
      <x:c r="J472" s="22" t="n">
        <x:v>0.21320501913096504</x:v>
      </x:c>
      <x:c r="K472" s="22" t="n">
        <x:v>0.0711</x:v>
      </x:c>
      <x:c r="L472" t="n">
        <x:v>35</x:v>
      </x:c>
      <x:c r="M472" t="str">
        <x:v>未成交</x:v>
      </x:c>
      <x:c r="N472" s="20" t="n">
        <x:v>45660</x:v>
      </x:c>
      <x:c r="O472" t="str">
        <x:v>專案取消</x:v>
      </x:c>
    </x:row>
    <x:row r="473" ht="20" customHeight="1">
      <x:c r="A473" t="str">
        <x:v>Q00472</x:v>
      </x:c>
      <x:c r="B473" s="20" t="n">
        <x:v>45651</x:v>
      </x:c>
      <x:c r="C473" t="str">
        <x:v>AUT-009</x:v>
      </x:c>
      <x:c r="D473" t="str">
        <x:v>S04</x:v>
      </x:c>
      <x:c r="E473" t="str">
        <x:v>MECH-STG-B</x:v>
      </x:c>
      <x:c r="F473" t="str">
        <x:v>機電／自動化模組</x:v>
      </x:c>
      <x:c r="G473" t="n">
        <x:v>30</x:v>
      </x:c>
      <x:c r="H473" t="n">
        <x:v>189092.6</x:v>
      </x:c>
      <x:c r="I473" t="n">
        <x:v>147200.5</x:v>
      </x:c>
      <x:c r="J473" s="22" t="n">
        <x:v>0.22154277851169218</x:v>
      </x:c>
      <x:c r="K473" s="22" t="n">
        <x:v>0.0742</x:v>
      </x:c>
      <x:c r="L473" t="n">
        <x:v>38</x:v>
      </x:c>
      <x:c r="M473" t="str">
        <x:v>未成交</x:v>
      </x:c>
      <x:c r="N473" s="20" t="n">
        <x:v>45658</x:v>
      </x:c>
      <x:c r="O473" t="str">
        <x:v>交期</x:v>
      </x:c>
    </x:row>
    <x:row r="474" ht="20" customHeight="1">
      <x:c r="A474" t="str">
        <x:v>Q00473</x:v>
      </x:c>
      <x:c r="B474" s="20" t="n">
        <x:v>45641</x:v>
      </x:c>
      <x:c r="C474" t="str">
        <x:v>AFT-001</x:v>
      </x:c>
      <x:c r="D474" t="str">
        <x:v>S05</x:v>
      </x:c>
      <x:c r="E474" t="str">
        <x:v>PM-VAC-A</x:v>
      </x:c>
      <x:c r="F474" t="str">
        <x:v>精密金屬加工件</x:v>
      </x:c>
      <x:c r="G474" t="n">
        <x:v>800</x:v>
      </x:c>
      <x:c r="H474" t="n">
        <x:v>16076.7</x:v>
      </x:c>
      <x:c r="I474" t="n">
        <x:v>11123.07</x:v>
      </x:c>
      <x:c r="J474" s="22" t="n">
        <x:v>0.3081248017316987</x:v>
      </x:c>
      <x:c r="K474" s="22" t="n">
        <x:v>0.032</x:v>
      </x:c>
      <x:c r="L474" t="n">
        <x:v>27</x:v>
      </x:c>
      <x:c r="M474" t="str">
        <x:v>未成交</x:v>
      </x:c>
      <x:c r="N474" s="20" t="n">
        <x:v>45646</x:v>
      </x:c>
      <x:c r="O474" t="str">
        <x:v>競品</x:v>
      </x:c>
    </x:row>
    <x:row r="475" ht="20" customHeight="1">
      <x:c r="A475" t="str">
        <x:v>Q00474</x:v>
      </x:c>
      <x:c r="B475" s="20" t="n">
        <x:v>45631</x:v>
      </x:c>
      <x:c r="C475" t="str">
        <x:v>AUT-005</x:v>
      </x:c>
      <x:c r="D475" t="str">
        <x:v>S04</x:v>
      </x:c>
      <x:c r="E475" t="str">
        <x:v>AUTO-BRK-B</x:v>
      </x:c>
      <x:c r="F475" t="str">
        <x:v>汽車精密零組件</x:v>
      </x:c>
      <x:c r="G475" t="n">
        <x:v>5000</x:v>
      </x:c>
      <x:c r="H475" t="n">
        <x:v>2153</x:v>
      </x:c>
      <x:c r="I475" t="n">
        <x:v>1662.83</x:v>
      </x:c>
      <x:c r="J475" s="22" t="n">
        <x:v>0.22766836971667445</x:v>
      </x:c>
      <x:c r="K475" s="22" t="n">
        <x:v>0.0427</x:v>
      </x:c>
      <x:c r="L475" t="n">
        <x:v>22</x:v>
      </x:c>
      <x:c r="M475" t="str">
        <x:v>成交</x:v>
      </x:c>
      <x:c r="N475" s="20" t="n">
        <x:v>45640</x:v>
      </x:c>
      <x:c r="O475"/>
    </x:row>
    <x:row r="476" ht="20" customHeight="1">
      <x:c r="A476" t="str">
        <x:v>Q00475</x:v>
      </x:c>
      <x:c r="B476" s="20" t="n">
        <x:v>45649</x:v>
      </x:c>
      <x:c r="C476" t="str">
        <x:v>AUT-012</x:v>
      </x:c>
      <x:c r="D476" t="str">
        <x:v>S06</x:v>
      </x:c>
      <x:c r="E476" t="str">
        <x:v>AUTO-BRK-B</x:v>
      </x:c>
      <x:c r="F476" t="str">
        <x:v>汽車精密零組件</x:v>
      </x:c>
      <x:c r="G476" t="n">
        <x:v>10000</x:v>
      </x:c>
      <x:c r="H476" t="n">
        <x:v>1899.07</x:v>
      </x:c>
      <x:c r="I476" t="n">
        <x:v>1666.03</x:v>
      </x:c>
      <x:c r="J476" s="22" t="n">
        <x:v>0.12271269621446286</x:v>
      </x:c>
      <x:c r="K476" s="22" t="n">
        <x:v>0.153</x:v>
      </x:c>
      <x:c r="L476" t="n">
        <x:v>21</x:v>
      </x:c>
      <x:c r="M476" t="str">
        <x:v>未成交</x:v>
      </x:c>
      <x:c r="N476" s="20" t="n">
        <x:v>45654</x:v>
      </x:c>
      <x:c r="O476" t="str">
        <x:v>競品</x:v>
      </x:c>
    </x:row>
    <x:row r="477" ht="20" customHeight="1">
      <x:c r="A477" t="str">
        <x:v>Q00476</x:v>
      </x:c>
      <x:c r="B477" s="20" t="n">
        <x:v>45628</x:v>
      </x:c>
      <x:c r="C477" t="str">
        <x:v>IAT-009</x:v>
      </x:c>
      <x:c r="D477" t="str">
        <x:v>S04</x:v>
      </x:c>
      <x:c r="E477" t="str">
        <x:v>PM-ALB-A</x:v>
      </x:c>
      <x:c r="F477" t="str">
        <x:v>精密金屬加工件</x:v>
      </x:c>
      <x:c r="G477" t="n">
        <x:v>1600</x:v>
      </x:c>
      <x:c r="H477" t="n">
        <x:v>9940.43</x:v>
      </x:c>
      <x:c r="I477" t="n">
        <x:v>8105.63</x:v>
      </x:c>
      <x:c r="J477" s="22" t="n">
        <x:v>0.18457954032169635</x:v>
      </x:c>
      <x:c r="K477" s="22" t="n">
        <x:v>0.1478</x:v>
      </x:c>
      <x:c r="L477" t="n">
        <x:v>21</x:v>
      </x:c>
      <x:c r="M477" t="str">
        <x:v>未成交</x:v>
      </x:c>
      <x:c r="N477" s="20" t="n">
        <x:v>45640</x:v>
      </x:c>
      <x:c r="O477" t="str">
        <x:v>交期</x:v>
      </x:c>
    </x:row>
    <x:row r="478" ht="20" customHeight="1">
      <x:c r="A478" t="str">
        <x:v>Q00477</x:v>
      </x:c>
      <x:c r="B478" s="20" t="n">
        <x:v>45668</x:v>
      </x:c>
      <x:c r="C478" t="str">
        <x:v>IAT-009</x:v>
      </x:c>
      <x:c r="D478" t="str">
        <x:v>S04</x:v>
      </x:c>
      <x:c r="E478" t="str">
        <x:v>SEMI-CHB-B</x:v>
      </x:c>
      <x:c r="F478" t="str">
        <x:v>半導體設備零組件</x:v>
      </x:c>
      <x:c r="G478" t="n">
        <x:v>160</x:v>
      </x:c>
      <x:c r="H478" t="n">
        <x:v>142073.83</x:v>
      </x:c>
      <x:c r="I478" t="n">
        <x:v>108087.75</x:v>
      </x:c>
      <x:c r="J478" s="22" t="n">
        <x:v>0.23921421700252601</x:v>
      </x:c>
      <x:c r="K478" s="22" t="n">
        <x:v>0.0464</x:v>
      </x:c>
      <x:c r="L478" t="n">
        <x:v>57</x:v>
      </x:c>
      <x:c r="M478" t="str">
        <x:v>成交</x:v>
      </x:c>
      <x:c r="N478" s="20" t="n">
        <x:v>45677</x:v>
      </x:c>
      <x:c r="O478"/>
    </x:row>
    <x:row r="479" ht="20" customHeight="1">
      <x:c r="A479" t="str">
        <x:v>Q00478</x:v>
      </x:c>
      <x:c r="B479" s="20" t="n">
        <x:v>45672</x:v>
      </x:c>
      <x:c r="C479" t="str">
        <x:v>AFT-005</x:v>
      </x:c>
      <x:c r="D479" t="str">
        <x:v>S05</x:v>
      </x:c>
      <x:c r="E479" t="str">
        <x:v>PM-SUS-A</x:v>
      </x:c>
      <x:c r="F479" t="str">
        <x:v>精密金屬加工件</x:v>
      </x:c>
      <x:c r="G479" t="n">
        <x:v>1600</x:v>
      </x:c>
      <x:c r="H479" t="n">
        <x:v>11078.63</x:v>
      </x:c>
      <x:c r="I479" t="n">
        <x:v>7760.93</x:v>
      </x:c>
      <x:c r="J479" s="22" t="n">
        <x:v>0.2994684360791902</x:v>
      </x:c>
      <x:c r="K479" s="22" t="n">
        <x:v>0.01</x:v>
      </x:c>
      <x:c r="L479" t="n">
        <x:v>26</x:v>
      </x:c>
      <x:c r="M479" t="str">
        <x:v>成交</x:v>
      </x:c>
      <x:c r="N479" s="20" t="n">
        <x:v>45678</x:v>
      </x:c>
      <x:c r="O479"/>
    </x:row>
    <x:row r="480" ht="20" customHeight="1">
      <x:c r="A480" t="str">
        <x:v>Q00479</x:v>
      </x:c>
      <x:c r="B480" s="20" t="n">
        <x:v>45666</x:v>
      </x:c>
      <x:c r="C480" t="str">
        <x:v>AUT-005</x:v>
      </x:c>
      <x:c r="D480" t="str">
        <x:v>S04</x:v>
      </x:c>
      <x:c r="E480" t="str">
        <x:v>AUTO-MH-B</x:v>
      </x:c>
      <x:c r="F480" t="str">
        <x:v>汽車精密零組件</x:v>
      </x:c>
      <x:c r="G480" t="n">
        <x:v>3000</x:v>
      </x:c>
      <x:c r="H480" t="n">
        <x:v>3132.26</x:v>
      </x:c>
      <x:c r="I480" t="n">
        <x:v>2340.18</x:v>
      </x:c>
      <x:c r="J480" s="22" t="n">
        <x:v>0.25287811356656226</x:v>
      </x:c>
      <x:c r="K480" s="22" t="n">
        <x:v>0.01</x:v>
      </x:c>
      <x:c r="L480" t="n">
        <x:v>17</x:v>
      </x:c>
      <x:c r="M480" t="str">
        <x:v>成交</x:v>
      </x:c>
      <x:c r="N480" s="20" t="n">
        <x:v>45670</x:v>
      </x:c>
      <x:c r="O480"/>
    </x:row>
    <x:row r="481" ht="20" customHeight="1">
      <x:c r="A481" t="str">
        <x:v>Q00480</x:v>
      </x:c>
      <x:c r="B481" s="20" t="n">
        <x:v>45669</x:v>
      </x:c>
      <x:c r="C481" t="str">
        <x:v>IAT-006</x:v>
      </x:c>
      <x:c r="D481" t="str">
        <x:v>S01</x:v>
      </x:c>
      <x:c r="E481" t="str">
        <x:v>PM-ALB-B</x:v>
      </x:c>
      <x:c r="F481" t="str">
        <x:v>精密金屬加工件</x:v>
      </x:c>
      <x:c r="G481" t="n">
        <x:v>300</x:v>
      </x:c>
      <x:c r="H481" t="n">
        <x:v>16454.08</x:v>
      </x:c>
      <x:c r="I481" t="n">
        <x:v>11506.55</x:v>
      </x:c>
      <x:c r="J481" s="22" t="n">
        <x:v>0.30068712440926515</x:v>
      </x:c>
      <x:c r="K481" s="22" t="n">
        <x:v>0.0283</x:v>
      </x:c>
      <x:c r="L481" t="n">
        <x:v>27</x:v>
      </x:c>
      <x:c r="M481" t="str">
        <x:v>成交</x:v>
      </x:c>
      <x:c r="N481" s="20" t="n">
        <x:v>45673</x:v>
      </x:c>
      <x:c r="O481"/>
    </x:row>
    <x:row r="482" ht="20" customHeight="1">
      <x:c r="A482" t="str">
        <x:v>Q00481</x:v>
      </x:c>
      <x:c r="B482" s="20" t="n">
        <x:v>45673</x:v>
      </x:c>
      <x:c r="C482" t="str">
        <x:v>IAT-007</x:v>
      </x:c>
      <x:c r="D482" t="str">
        <x:v>S04</x:v>
      </x:c>
      <x:c r="E482" t="str">
        <x:v>PM-ALB-A</x:v>
      </x:c>
      <x:c r="F482" t="str">
        <x:v>精密金屬加工件</x:v>
      </x:c>
      <x:c r="G482" t="n">
        <x:v>500</x:v>
      </x:c>
      <x:c r="H482" t="n">
        <x:v>10893.83</x:v>
      </x:c>
      <x:c r="I482" t="n">
        <x:v>8139.91</x:v>
      </x:c>
      <x:c r="J482" s="22" t="n">
        <x:v>0.25279630763468863</x:v>
      </x:c>
      <x:c r="K482" s="22" t="n">
        <x:v>0.0772</x:v>
      </x:c>
      <x:c r="L482" t="n">
        <x:v>27</x:v>
      </x:c>
      <x:c r="M482" t="str">
        <x:v>成交</x:v>
      </x:c>
      <x:c r="N482" s="20" t="n">
        <x:v>45677</x:v>
      </x:c>
      <x:c r="O482"/>
    </x:row>
    <x:row r="483" ht="20" customHeight="1">
      <x:c r="A483" t="str">
        <x:v>Q00482</x:v>
      </x:c>
      <x:c r="B483" s="20" t="n">
        <x:v>45666</x:v>
      </x:c>
      <x:c r="C483" t="str">
        <x:v>AFT-007</x:v>
      </x:c>
      <x:c r="D483" t="str">
        <x:v>S04</x:v>
      </x:c>
      <x:c r="E483" t="str">
        <x:v>AUTO-BS-A</x:v>
      </x:c>
      <x:c r="F483" t="str">
        <x:v>汽車精密零組件</x:v>
      </x:c>
      <x:c r="G483" t="n">
        <x:v>13000</x:v>
      </x:c>
      <x:c r="H483" t="n">
        <x:v>772.6</x:v>
      </x:c>
      <x:c r="I483" t="n">
        <x:v>533.88</x:v>
      </x:c>
      <x:c r="J483" s="22" t="n">
        <x:v>0.30898265596686514</x:v>
      </x:c>
      <x:c r="K483" s="22" t="n">
        <x:v>0.0722</x:v>
      </x:c>
      <x:c r="L483" t="n">
        <x:v>14</x:v>
      </x:c>
      <x:c r="M483" t="str">
        <x:v>成交</x:v>
      </x:c>
      <x:c r="N483" s="20" t="n">
        <x:v>45669</x:v>
      </x:c>
      <x:c r="O483"/>
    </x:row>
    <x:row r="484" ht="20" customHeight="1">
      <x:c r="A484" t="str">
        <x:v>Q00483</x:v>
      </x:c>
      <x:c r="B484" s="20" t="n">
        <x:v>45671</x:v>
      </x:c>
      <x:c r="C484" t="str">
        <x:v>AUT-008</x:v>
      </x:c>
      <x:c r="D484" t="str">
        <x:v>S01</x:v>
      </x:c>
      <x:c r="E484" t="str">
        <x:v>PM-SUS-B</x:v>
      </x:c>
      <x:c r="F484" t="str">
        <x:v>精密金屬加工件</x:v>
      </x:c>
      <x:c r="G484" t="n">
        <x:v>800</x:v>
      </x:c>
      <x:c r="H484" t="n">
        <x:v>13856.05</x:v>
      </x:c>
      <x:c r="I484" t="n">
        <x:v>10944</x:v>
      </x:c>
      <x:c r="J484" s="22" t="n">
        <x:v>0.2101645129744768</x:v>
      </x:c>
      <x:c r="K484" s="22" t="n">
        <x:v>0.111</x:v>
      </x:c>
      <x:c r="L484" t="n">
        <x:v>22</x:v>
      </x:c>
      <x:c r="M484" t="str">
        <x:v>未成交</x:v>
      </x:c>
      <x:c r="N484" s="20" t="n">
        <x:v>45683</x:v>
      </x:c>
      <x:c r="O484" t="str">
        <x:v>專案取消</x:v>
      </x:c>
    </x:row>
    <x:row r="485" ht="20" customHeight="1">
      <x:c r="A485" t="str">
        <x:v>Q00484</x:v>
      </x:c>
      <x:c r="B485" s="20" t="n">
        <x:v>45679</x:v>
      </x:c>
      <x:c r="C485" t="str">
        <x:v>IAT-001</x:v>
      </x:c>
      <x:c r="D485" t="str">
        <x:v>S05</x:v>
      </x:c>
      <x:c r="E485" t="str">
        <x:v>AUTO-FL-B</x:v>
      </x:c>
      <x:c r="F485" t="str">
        <x:v>汽車精密零組件</x:v>
      </x:c>
      <x:c r="G485" t="n">
        <x:v>3000</x:v>
      </x:c>
      <x:c r="H485" t="n">
        <x:v>1422.25</x:v>
      </x:c>
      <x:c r="I485" t="n">
        <x:v>1151.81</x:v>
      </x:c>
      <x:c r="J485" s="22" t="n">
        <x:v>0.19014941114431363</x:v>
      </x:c>
      <x:c r="K485" s="22" t="n">
        <x:v>0.1278</x:v>
      </x:c>
      <x:c r="L485" t="n">
        <x:v>17</x:v>
      </x:c>
      <x:c r="M485" t="str">
        <x:v>成交</x:v>
      </x:c>
      <x:c r="N485" s="20" t="n">
        <x:v>45682</x:v>
      </x:c>
      <x:c r="O485"/>
    </x:row>
    <x:row r="486" ht="20" customHeight="1">
      <x:c r="A486" t="str">
        <x:v>Q00485</x:v>
      </x:c>
      <x:c r="B486" s="20" t="n">
        <x:v>45664</x:v>
      </x:c>
      <x:c r="C486" t="str">
        <x:v>IAT-010</x:v>
      </x:c>
      <x:c r="D486" t="str">
        <x:v>S04</x:v>
      </x:c>
      <x:c r="E486" t="str">
        <x:v>SEMI-CHB-B</x:v>
      </x:c>
      <x:c r="F486" t="str">
        <x:v>半導體設備零組件</x:v>
      </x:c>
      <x:c r="G486" t="n">
        <x:v>60</x:v>
      </x:c>
      <x:c r="H486" t="n">
        <x:v>141006.2</x:v>
      </x:c>
      <x:c r="I486" t="n">
        <x:v>112947.53</x:v>
      </x:c>
      <x:c r="J486" s="22" t="n">
        <x:v>0.19898890970751648</x:v>
      </x:c>
      <x:c r="K486" s="22" t="n">
        <x:v>0.0569</x:v>
      </x:c>
      <x:c r="L486" t="n">
        <x:v>59</x:v>
      </x:c>
      <x:c r="M486" t="str">
        <x:v>成交</x:v>
      </x:c>
      <x:c r="N486" s="20" t="n">
        <x:v>45667</x:v>
      </x:c>
      <x:c r="O486"/>
    </x:row>
    <x:row r="487" ht="20" customHeight="1">
      <x:c r="A487" t="str">
        <x:v>Q00486</x:v>
      </x:c>
      <x:c r="B487" s="20" t="n">
        <x:v>45676</x:v>
      </x:c>
      <x:c r="C487" t="str">
        <x:v>IAT-002</x:v>
      </x:c>
      <x:c r="D487" t="str">
        <x:v>S01</x:v>
      </x:c>
      <x:c r="E487" t="str">
        <x:v>PM-SUS-B</x:v>
      </x:c>
      <x:c r="F487" t="str">
        <x:v>精密金屬加工件</x:v>
      </x:c>
      <x:c r="G487" t="n">
        <x:v>300</x:v>
      </x:c>
      <x:c r="H487" t="n">
        <x:v>14568.84</x:v>
      </x:c>
      <x:c r="I487" t="n">
        <x:v>10884.17</x:v>
      </x:c>
      <x:c r="J487" s="22" t="n">
        <x:v>0.252914439310199</x:v>
      </x:c>
      <x:c r="K487" s="22" t="n">
        <x:v>0.0771</x:v>
      </x:c>
      <x:c r="L487" t="n">
        <x:v>26</x:v>
      </x:c>
      <x:c r="M487" t="str">
        <x:v>成交</x:v>
      </x:c>
      <x:c r="N487" s="20" t="n">
        <x:v>45681</x:v>
      </x:c>
      <x:c r="O487"/>
    </x:row>
    <x:row r="488" ht="20" customHeight="1">
      <x:c r="A488" t="str">
        <x:v>Q00487</x:v>
      </x:c>
      <x:c r="B488" s="20" t="n">
        <x:v>45688</x:v>
      </x:c>
      <x:c r="C488" t="str">
        <x:v>IAT-006</x:v>
      </x:c>
      <x:c r="D488" t="str">
        <x:v>S01</x:v>
      </x:c>
      <x:c r="E488" t="str">
        <x:v>AUTO-KN-B</x:v>
      </x:c>
      <x:c r="F488" t="str">
        <x:v>汽車精密零組件</x:v>
      </x:c>
      <x:c r="G488" t="n">
        <x:v>3000</x:v>
      </x:c>
      <x:c r="H488" t="n">
        <x:v>3448.19</x:v>
      </x:c>
      <x:c r="I488" t="n">
        <x:v>2604.04</x:v>
      </x:c>
      <x:c r="J488" s="22" t="n">
        <x:v>0.2448095957589344</x:v>
      </x:c>
      <x:c r="K488" s="22" t="n">
        <x:v>0.1221</x:v>
      </x:c>
      <x:c r="L488" t="n">
        <x:v>24</x:v>
      </x:c>
      <x:c r="M488" t="str">
        <x:v>成交</x:v>
      </x:c>
      <x:c r="N488" s="20" t="n">
        <x:v>45694</x:v>
      </x:c>
      <x:c r="O488"/>
    </x:row>
    <x:row r="489" ht="20" customHeight="1">
      <x:c r="A489" t="str">
        <x:v>Q00488</x:v>
      </x:c>
      <x:c r="B489" s="20" t="n">
        <x:v>45674</x:v>
      </x:c>
      <x:c r="C489" t="str">
        <x:v>AUT-011</x:v>
      </x:c>
      <x:c r="D489" t="str">
        <x:v>S02</x:v>
      </x:c>
      <x:c r="E489" t="str">
        <x:v>AUTO-FL-B</x:v>
      </x:c>
      <x:c r="F489" t="str">
        <x:v>汽車精密零組件</x:v>
      </x:c>
      <x:c r="G489" t="n">
        <x:v>10000</x:v>
      </x:c>
      <x:c r="H489" t="n">
        <x:v>1424.07</x:v>
      </x:c>
      <x:c r="I489" t="n">
        <x:v>1197.28</x:v>
      </x:c>
      <x:c r="J489" s="22" t="n">
        <x:v>0.15925481191233576</x:v>
      </x:c>
      <x:c r="K489" s="22" t="n">
        <x:v>0.1222</x:v>
      </x:c>
      <x:c r="L489" t="n">
        <x:v>14</x:v>
      </x:c>
      <x:c r="M489" t="str">
        <x:v>未成交</x:v>
      </x:c>
      <x:c r="N489" s="20" t="n">
        <x:v>45686</x:v>
      </x:c>
      <x:c r="O489" t="str">
        <x:v>專案取消</x:v>
      </x:c>
    </x:row>
    <x:row r="490" ht="20" customHeight="1">
      <x:c r="A490" t="str">
        <x:v>Q00489</x:v>
      </x:c>
      <x:c r="B490" s="20" t="n">
        <x:v>45684</x:v>
      </x:c>
      <x:c r="C490" t="str">
        <x:v>EMS-002</x:v>
      </x:c>
      <x:c r="D490" t="str">
        <x:v>S05</x:v>
      </x:c>
      <x:c r="E490" t="str">
        <x:v>AUTO-BRK-B</x:v>
      </x:c>
      <x:c r="F490" t="str">
        <x:v>汽車精密零組件</x:v>
      </x:c>
      <x:c r="G490" t="n">
        <x:v>3000</x:v>
      </x:c>
      <x:c r="H490" t="n">
        <x:v>2165.03</x:v>
      </x:c>
      <x:c r="I490" t="n">
        <x:v>1658.14</x:v>
      </x:c>
      <x:c r="J490" s="22" t="n">
        <x:v>0.23412608601266496</x:v>
      </x:c>
      <x:c r="K490" s="22" t="n">
        <x:v>0.0381</x:v>
      </x:c>
      <x:c r="L490" t="n">
        <x:v>17</x:v>
      </x:c>
      <x:c r="M490" t="str">
        <x:v>成交</x:v>
      </x:c>
      <x:c r="N490" s="20" t="n">
        <x:v>45687</x:v>
      </x:c>
      <x:c r="O490"/>
    </x:row>
    <x:row r="491" ht="20" customHeight="1">
      <x:c r="A491" t="str">
        <x:v>Q00490</x:v>
      </x:c>
      <x:c r="B491" s="20" t="n">
        <x:v>45674</x:v>
      </x:c>
      <x:c r="C491" t="str">
        <x:v>AUT-011</x:v>
      </x:c>
      <x:c r="D491" t="str">
        <x:v>S02</x:v>
      </x:c>
      <x:c r="E491" t="str">
        <x:v>MECH-CON-A</x:v>
      </x:c>
      <x:c r="F491" t="str">
        <x:v>機電／自動化模組</x:v>
      </x:c>
      <x:c r="G491" t="n">
        <x:v>10</x:v>
      </x:c>
      <x:c r="H491" t="n">
        <x:v>114698.4</x:v>
      </x:c>
      <x:c r="I491" t="n">
        <x:v>83377.03</x:v>
      </x:c>
      <x:c r="J491" s="22" t="n">
        <x:v>0.2730759103875904</x:v>
      </x:c>
      <x:c r="K491" s="22" t="n">
        <x:v>0.0387</x:v>
      </x:c>
      <x:c r="L491" t="n">
        <x:v>25</x:v>
      </x:c>
      <x:c r="M491" t="str">
        <x:v>成交</x:v>
      </x:c>
      <x:c r="N491" s="20" t="n">
        <x:v>45685</x:v>
      </x:c>
      <x:c r="O491"/>
    </x:row>
    <x:row r="492" ht="20" customHeight="1">
      <x:c r="A492" t="str">
        <x:v>Q00491</x:v>
      </x:c>
      <x:c r="B492" s="20" t="n">
        <x:v>45671</x:v>
      </x:c>
      <x:c r="C492" t="str">
        <x:v>AUT-013</x:v>
      </x:c>
      <x:c r="D492" t="str">
        <x:v>S01</x:v>
      </x:c>
      <x:c r="E492" t="str">
        <x:v>MECH-CON-A</x:v>
      </x:c>
      <x:c r="F492" t="str">
        <x:v>機電／自動化模組</x:v>
      </x:c>
      <x:c r="G492" t="n">
        <x:v>20</x:v>
      </x:c>
      <x:c r="H492" t="n">
        <x:v>113209.77</x:v>
      </x:c>
      <x:c r="I492" t="n">
        <x:v>85287.93</x:v>
      </x:c>
      <x:c r="J492" s="22" t="n">
        <x:v>0.24663807726135306</x:v>
      </x:c>
      <x:c r="K492" s="22" t="n">
        <x:v>0.0478</x:v>
      </x:c>
      <x:c r="L492" t="n">
        <x:v>33</x:v>
      </x:c>
      <x:c r="M492" t="str">
        <x:v>成交</x:v>
      </x:c>
      <x:c r="N492" s="20" t="n">
        <x:v>45675</x:v>
      </x:c>
      <x:c r="O492"/>
    </x:row>
    <x:row r="493" ht="20" customHeight="1">
      <x:c r="A493" t="str">
        <x:v>Q00492</x:v>
      </x:c>
      <x:c r="B493" s="20" t="n">
        <x:v>45679</x:v>
      </x:c>
      <x:c r="C493" t="str">
        <x:v>AFT-008</x:v>
      </x:c>
      <x:c r="D493" t="str">
        <x:v>S04</x:v>
      </x:c>
      <x:c r="E493" t="str">
        <x:v>AUTO-BRK-A</x:v>
      </x:c>
      <x:c r="F493" t="str">
        <x:v>汽車精密零組件</x:v>
      </x:c>
      <x:c r="G493" t="n">
        <x:v>3000</x:v>
      </x:c>
      <x:c r="H493" t="n">
        <x:v>1771.8</x:v>
      </x:c>
      <x:c r="I493" t="n">
        <x:v>1422.53</x:v>
      </x:c>
      <x:c r="J493" s="22" t="n">
        <x:v>0.19712721526131616</x:v>
      </x:c>
      <x:c r="K493" s="22" t="n">
        <x:v>0.0534</x:v>
      </x:c>
      <x:c r="L493" t="n">
        <x:v>17</x:v>
      </x:c>
      <x:c r="M493" t="str">
        <x:v>未成交</x:v>
      </x:c>
      <x:c r="N493" s="20" t="n">
        <x:v>45685</x:v>
      </x:c>
      <x:c r="O493" t="str">
        <x:v>價格</x:v>
      </x:c>
    </x:row>
    <x:row r="494" ht="20" customHeight="1">
      <x:c r="A494" t="str">
        <x:v>Q00493</x:v>
      </x:c>
      <x:c r="B494" s="20" t="n">
        <x:v>45679</x:v>
      </x:c>
      <x:c r="C494" t="str">
        <x:v>AFT-001</x:v>
      </x:c>
      <x:c r="D494" t="str">
        <x:v>S05</x:v>
      </x:c>
      <x:c r="E494" t="str">
        <x:v>PM-ALB-B</x:v>
      </x:c>
      <x:c r="F494" t="str">
        <x:v>精密金屬加工件</x:v>
      </x:c>
      <x:c r="G494" t="n">
        <x:v>1600</x:v>
      </x:c>
      <x:c r="H494" t="n">
        <x:v>15776.53</x:v>
      </x:c>
      <x:c r="I494" t="n">
        <x:v>12098.68</x:v>
      </x:c>
      <x:c r="J494" s="22" t="n">
        <x:v>0.23312160532132226</x:v>
      </x:c>
      <x:c r="K494" s="22" t="n">
        <x:v>0.0584</x:v>
      </x:c>
      <x:c r="L494" t="n">
        <x:v>32</x:v>
      </x:c>
      <x:c r="M494" t="str">
        <x:v>成交</x:v>
      </x:c>
      <x:c r="N494" s="20" t="n">
        <x:v>45684</x:v>
      </x:c>
      <x:c r="O494"/>
    </x:row>
    <x:row r="495" ht="20" customHeight="1">
      <x:c r="A495" t="str">
        <x:v>Q00494</x:v>
      </x:c>
      <x:c r="B495" s="20" t="n">
        <x:v>45687</x:v>
      </x:c>
      <x:c r="C495" t="str">
        <x:v>IAT-009</x:v>
      </x:c>
      <x:c r="D495" t="str">
        <x:v>S04</x:v>
      </x:c>
      <x:c r="E495" t="str">
        <x:v>PM-ALB-B</x:v>
      </x:c>
      <x:c r="F495" t="str">
        <x:v>精密金屬加工件</x:v>
      </x:c>
      <x:c r="G495" t="n">
        <x:v>500</x:v>
      </x:c>
      <x:c r="H495" t="n">
        <x:v>14697.88</x:v>
      </x:c>
      <x:c r="I495" t="n">
        <x:v>11713.26</x:v>
      </x:c>
      <x:c r="J495" s="22" t="n">
        <x:v>0.20306465966520335</x:v>
      </x:c>
      <x:c r="K495" s="22" t="n">
        <x:v>0.1356</x:v>
      </x:c>
      <x:c r="L495" t="n">
        <x:v>22</x:v>
      </x:c>
      <x:c r="M495" t="str">
        <x:v>未成交</x:v>
      </x:c>
      <x:c r="N495" s="20" t="n">
        <x:v>45697</x:v>
      </x:c>
      <x:c r="O495" t="str">
        <x:v>規格</x:v>
      </x:c>
    </x:row>
    <x:row r="496" ht="20" customHeight="1">
      <x:c r="A496" t="str">
        <x:v>Q00495</x:v>
      </x:c>
      <x:c r="B496" s="20" t="n">
        <x:v>45676</x:v>
      </x:c>
      <x:c r="C496" t="str">
        <x:v>EMS-001</x:v>
      </x:c>
      <x:c r="D496" t="str">
        <x:v>S02</x:v>
      </x:c>
      <x:c r="E496" t="str">
        <x:v>PM-SUS-B</x:v>
      </x:c>
      <x:c r="F496" t="str">
        <x:v>精密金屬加工件</x:v>
      </x:c>
      <x:c r="G496" t="n">
        <x:v>500</x:v>
      </x:c>
      <x:c r="H496" t="n">
        <x:v>15458.17</x:v>
      </x:c>
      <x:c r="I496" t="n">
        <x:v>11194.72</x:v>
      </x:c>
      <x:c r="J496" s="22" t="n">
        <x:v>0.2758056095902685</x:v>
      </x:c>
      <x:c r="K496" s="22" t="n">
        <x:v>0.0277</x:v>
      </x:c>
      <x:c r="L496" t="n">
        <x:v>20</x:v>
      </x:c>
      <x:c r="M496" t="str">
        <x:v>成交</x:v>
      </x:c>
      <x:c r="N496" s="20" t="n">
        <x:v>45683</x:v>
      </x:c>
      <x:c r="O496"/>
    </x:row>
    <x:row r="497" ht="20" customHeight="1">
      <x:c r="A497" t="str">
        <x:v>Q00496</x:v>
      </x:c>
      <x:c r="B497" s="20" t="n">
        <x:v>45664</x:v>
      </x:c>
      <x:c r="C497" t="str">
        <x:v>IAT-007</x:v>
      </x:c>
      <x:c r="D497" t="str">
        <x:v>S04</x:v>
      </x:c>
      <x:c r="E497" t="str">
        <x:v>SEMI-CHB-B</x:v>
      </x:c>
      <x:c r="F497" t="str">
        <x:v>半導體設備零組件</x:v>
      </x:c>
      <x:c r="G497" t="n">
        <x:v>160</x:v>
      </x:c>
      <x:c r="H497" t="n">
        <x:v>139142.48</x:v>
      </x:c>
      <x:c r="I497" t="n">
        <x:v>113513.15</x:v>
      </x:c>
      <x:c r="J497" s="22" t="n">
        <x:v>0.18419486270476143</x:v>
      </x:c>
      <x:c r="K497" s="22" t="n">
        <x:v>0.0566</x:v>
      </x:c>
      <x:c r="L497" t="n">
        <x:v>56</x:v>
      </x:c>
      <x:c r="M497" t="str">
        <x:v>成交</x:v>
      </x:c>
      <x:c r="N497" s="20" t="n">
        <x:v>45669</x:v>
      </x:c>
      <x:c r="O497"/>
    </x:row>
    <x:row r="498" ht="20" customHeight="1">
      <x:c r="A498" t="str">
        <x:v>Q00497</x:v>
      </x:c>
      <x:c r="B498" s="20" t="n">
        <x:v>45682</x:v>
      </x:c>
      <x:c r="C498" t="str">
        <x:v>EMS-005</x:v>
      </x:c>
      <x:c r="D498" t="str">
        <x:v>S01</x:v>
      </x:c>
      <x:c r="E498" t="str">
        <x:v>MECH-CON-A</x:v>
      </x:c>
      <x:c r="F498" t="str">
        <x:v>機電／自動化模組</x:v>
      </x:c>
      <x:c r="G498" t="n">
        <x:v>10</x:v>
      </x:c>
      <x:c r="H498" t="n">
        <x:v>111902.76</x:v>
      </x:c>
      <x:c r="I498" t="n">
        <x:v>81845.12</x:v>
      </x:c>
      <x:c r="J498" s="22" t="n">
        <x:v>0.2686049924059067</x:v>
      </x:c>
      <x:c r="K498" s="22" t="n">
        <x:v>0.0628</x:v>
      </x:c>
      <x:c r="L498" t="n">
        <x:v>30</x:v>
      </x:c>
      <x:c r="M498" t="str">
        <x:v>成交</x:v>
      </x:c>
      <x:c r="N498" s="20" t="n">
        <x:v>45687</x:v>
      </x:c>
      <x:c r="O498"/>
    </x:row>
    <x:row r="499" ht="20" customHeight="1">
      <x:c r="A499" t="str">
        <x:v>Q00498</x:v>
      </x:c>
      <x:c r="B499" s="20" t="n">
        <x:v>45686</x:v>
      </x:c>
      <x:c r="C499" t="str">
        <x:v>EMS-004</x:v>
      </x:c>
      <x:c r="D499" t="str">
        <x:v>S03</x:v>
      </x:c>
      <x:c r="E499" t="str">
        <x:v>PM-BRG-A</x:v>
      </x:c>
      <x:c r="F499" t="str">
        <x:v>精密金屬加工件</x:v>
      </x:c>
      <x:c r="G499" t="n">
        <x:v>1600</x:v>
      </x:c>
      <x:c r="H499" t="n">
        <x:v>6419.41</x:v>
      </x:c>
      <x:c r="I499" t="n">
        <x:v>4611.73</x:v>
      </x:c>
      <x:c r="J499" s="22" t="n">
        <x:v>0.2815959722155152</x:v>
      </x:c>
      <x:c r="K499" s="22" t="n">
        <x:v>0.1116</x:v>
      </x:c>
      <x:c r="L499" t="n">
        <x:v>21</x:v>
      </x:c>
      <x:c r="M499" t="str">
        <x:v>未成交</x:v>
      </x:c>
      <x:c r="N499" s="20" t="n">
        <x:v>45694</x:v>
      </x:c>
      <x:c r="O499" t="str">
        <x:v>競品</x:v>
      </x:c>
    </x:row>
    <x:row r="500" ht="20" customHeight="1">
      <x:c r="A500" t="str">
        <x:v>Q00499</x:v>
      </x:c>
      <x:c r="B500" s="20" t="n">
        <x:v>45659</x:v>
      </x:c>
      <x:c r="C500" t="str">
        <x:v>EMS-002</x:v>
      </x:c>
      <x:c r="D500" t="str">
        <x:v>S05</x:v>
      </x:c>
      <x:c r="E500" t="str">
        <x:v>MECH-STG-A</x:v>
      </x:c>
      <x:c r="F500" t="str">
        <x:v>機電／自動化模組</x:v>
      </x:c>
      <x:c r="G500" t="n">
        <x:v>30</x:v>
      </x:c>
      <x:c r="H500" t="n">
        <x:v>137166.84</x:v>
      </x:c>
      <x:c r="I500" t="n">
        <x:v>103663.48</x:v>
      </x:c>
      <x:c r="J500" s="22" t="n">
        <x:v>0.2442526196564709</x:v>
      </x:c>
      <x:c r="K500" s="22" t="n">
        <x:v>0.0553</x:v>
      </x:c>
      <x:c r="L500" t="n">
        <x:v>41</x:v>
      </x:c>
      <x:c r="M500" t="str">
        <x:v>成交</x:v>
      </x:c>
      <x:c r="N500" s="20" t="n">
        <x:v>45669</x:v>
      </x:c>
      <x:c r="O500"/>
    </x:row>
    <x:row r="501" ht="20" customHeight="1">
      <x:c r="A501" t="str">
        <x:v>Q00500</x:v>
      </x:c>
      <x:c r="B501" s="20" t="n">
        <x:v>45686</x:v>
      </x:c>
      <x:c r="C501" t="str">
        <x:v>EMS-008</x:v>
      </x:c>
      <x:c r="D501" t="str">
        <x:v>S02</x:v>
      </x:c>
      <x:c r="E501" t="str">
        <x:v>SEMI-CHB-A</x:v>
      </x:c>
      <x:c r="F501" t="str">
        <x:v>半導體設備零組件</x:v>
      </x:c>
      <x:c r="G501" t="n">
        <x:v>80</x:v>
      </x:c>
      <x:c r="H501" t="n">
        <x:v>88022.8</x:v>
      </x:c>
      <x:c r="I501" t="n">
        <x:v>70386.44</x:v>
      </x:c>
      <x:c r="J501" s="22" t="n">
        <x:v>0.20036127003458196</x:v>
      </x:c>
      <x:c r="K501" s="22" t="n">
        <x:v>0.1083</x:v>
      </x:c>
      <x:c r="L501" t="n">
        <x:v>50</x:v>
      </x:c>
      <x:c r="M501" t="str">
        <x:v>成交</x:v>
      </x:c>
      <x:c r="N501" s="20" t="n">
        <x:v>45689</x:v>
      </x:c>
      <x:c r="O501"/>
    </x:row>
    <x:row r="502" ht="20" customHeight="1">
      <x:c r="A502" t="str">
        <x:v>Q00501</x:v>
      </x:c>
      <x:c r="B502" s="20" t="n">
        <x:v>45688</x:v>
      </x:c>
      <x:c r="C502" t="str">
        <x:v>IAT-003</x:v>
      </x:c>
      <x:c r="D502" t="str">
        <x:v>S04</x:v>
      </x:c>
      <x:c r="E502" t="str">
        <x:v>AUTO-LG-A</x:v>
      </x:c>
      <x:c r="F502" t="str">
        <x:v>汽車精密零組件</x:v>
      </x:c>
      <x:c r="G502" t="n">
        <x:v>7000</x:v>
      </x:c>
      <x:c r="H502" t="n">
        <x:v>1148.95</x:v>
      </x:c>
      <x:c r="I502" t="n">
        <x:v>823.41</x:v>
      </x:c>
      <x:c r="J502" s="22" t="n">
        <x:v>0.283336959832891</x:v>
      </x:c>
      <x:c r="K502" s="22" t="n">
        <x:v>0.0322</x:v>
      </x:c>
      <x:c r="L502" t="n">
        <x:v>19</x:v>
      </x:c>
      <x:c r="M502" t="str">
        <x:v>未成交</x:v>
      </x:c>
      <x:c r="N502" s="20" t="n">
        <x:v>45697</x:v>
      </x:c>
      <x:c r="O502" t="str">
        <x:v>規格</x:v>
      </x:c>
    </x:row>
    <x:row r="503" ht="20" customHeight="1">
      <x:c r="A503" t="str">
        <x:v>Q00502</x:v>
      </x:c>
      <x:c r="B503" s="20" t="n">
        <x:v>45658</x:v>
      </x:c>
      <x:c r="C503" t="str">
        <x:v>SEM-003</x:v>
      </x:c>
      <x:c r="D503" t="str">
        <x:v>S02</x:v>
      </x:c>
      <x:c r="E503" t="str">
        <x:v>SEMI-WH-B</x:v>
      </x:c>
      <x:c r="F503" t="str">
        <x:v>半導體設備零組件</x:v>
      </x:c>
      <x:c r="G503" t="n">
        <x:v>60</x:v>
      </x:c>
      <x:c r="H503" t="n">
        <x:v>160575.35</x:v>
      </x:c>
      <x:c r="I503" t="n">
        <x:v>127431.65</x:v>
      </x:c>
      <x:c r="J503" s="22" t="n">
        <x:v>0.20640590227578523</x:v>
      </x:c>
      <x:c r="K503" s="22" t="n">
        <x:v>0.098</x:v>
      </x:c>
      <x:c r="L503" t="n">
        <x:v>48</x:v>
      </x:c>
      <x:c r="M503" t="str">
        <x:v>成交</x:v>
      </x:c>
      <x:c r="N503" s="20" t="n">
        <x:v>45664</x:v>
      </x:c>
      <x:c r="O503"/>
    </x:row>
    <x:row r="504" ht="20" customHeight="1">
      <x:c r="A504" t="str">
        <x:v>Q00503</x:v>
      </x:c>
      <x:c r="B504" s="20" t="n">
        <x:v>45658</x:v>
      </x:c>
      <x:c r="C504" t="str">
        <x:v>AFT-003</x:v>
      </x:c>
      <x:c r="D504" t="str">
        <x:v>S01</x:v>
      </x:c>
      <x:c r="E504" t="str">
        <x:v>AUTO-FL-B</x:v>
      </x:c>
      <x:c r="F504" t="str">
        <x:v>汽車精密零組件</x:v>
      </x:c>
      <x:c r="G504" t="n">
        <x:v>10000</x:v>
      </x:c>
      <x:c r="H504" t="n">
        <x:v>1442.74</x:v>
      </x:c>
      <x:c r="I504" t="n">
        <x:v>1170.5</x:v>
      </x:c>
      <x:c r="J504" s="22" t="n">
        <x:v>0.1886965080333255</x:v>
      </x:c>
      <x:c r="K504" s="22" t="n">
        <x:v>0.1181</x:v>
      </x:c>
      <x:c r="L504" t="n">
        <x:v>16</x:v>
      </x:c>
      <x:c r="M504" t="str">
        <x:v>成交</x:v>
      </x:c>
      <x:c r="N504" s="20" t="n">
        <x:v>45666</x:v>
      </x:c>
      <x:c r="O504"/>
    </x:row>
    <x:row r="505" ht="20" customHeight="1">
      <x:c r="A505" t="str">
        <x:v>Q00504</x:v>
      </x:c>
      <x:c r="B505" s="20" t="n">
        <x:v>45710</x:v>
      </x:c>
      <x:c r="C505" t="str">
        <x:v>SEM-005</x:v>
      </x:c>
      <x:c r="D505" t="str">
        <x:v>S06</x:v>
      </x:c>
      <x:c r="E505" t="str">
        <x:v>MECH-CON-B</x:v>
      </x:c>
      <x:c r="F505" t="str">
        <x:v>機電／自動化模組</x:v>
      </x:c>
      <x:c r="G505" t="n">
        <x:v>10</x:v>
      </x:c>
      <x:c r="H505" t="n">
        <x:v>152706.43</x:v>
      </x:c>
      <x:c r="I505" t="n">
        <x:v>122768.66</x:v>
      </x:c>
      <x:c r="J505" s="22" t="n">
        <x:v>0.196047867794434</x:v>
      </x:c>
      <x:c r="K505" s="22" t="n">
        <x:v>0.0823</x:v>
      </x:c>
      <x:c r="L505" t="n">
        <x:v>44</x:v>
      </x:c>
      <x:c r="M505" t="str">
        <x:v>未成交</x:v>
      </x:c>
      <x:c r="N505" s="20" t="n">
        <x:v>45720</x:v>
      </x:c>
      <x:c r="O505" t="str">
        <x:v>交期</x:v>
      </x:c>
    </x:row>
    <x:row r="506" ht="20" customHeight="1">
      <x:c r="A506" t="str">
        <x:v>Q00505</x:v>
      </x:c>
      <x:c r="B506" s="20" t="n">
        <x:v>45694</x:v>
      </x:c>
      <x:c r="C506" t="str">
        <x:v>SEM-006</x:v>
      </x:c>
      <x:c r="D506" t="str">
        <x:v>S06</x:v>
      </x:c>
      <x:c r="E506" t="str">
        <x:v>SEMI-CHB-B</x:v>
      </x:c>
      <x:c r="F506" t="str">
        <x:v>半導體設備零組件</x:v>
      </x:c>
      <x:c r="G506" t="n">
        <x:v>60</x:v>
      </x:c>
      <x:c r="H506" t="n">
        <x:v>134957.57</x:v>
      </x:c>
      <x:c r="I506" t="n">
        <x:v>115318.47</x:v>
      </x:c>
      <x:c r="J506" s="22" t="n">
        <x:v>0.1455205513851502</x:v>
      </x:c>
      <x:c r="K506" s="22" t="n">
        <x:v>0.1034</x:v>
      </x:c>
      <x:c r="L506" t="n">
        <x:v>47</x:v>
      </x:c>
      <x:c r="M506" t="str">
        <x:v>未成交</x:v>
      </x:c>
      <x:c r="N506" s="20" t="n">
        <x:v>45704</x:v>
      </x:c>
      <x:c r="O506" t="str">
        <x:v>價格</x:v>
      </x:c>
    </x:row>
    <x:row r="507" ht="20" customHeight="1">
      <x:c r="A507" t="str">
        <x:v>Q00506</x:v>
      </x:c>
      <x:c r="B507" s="20" t="n">
        <x:v>45712</x:v>
      </x:c>
      <x:c r="C507" t="str">
        <x:v>EMS-006</x:v>
      </x:c>
      <x:c r="D507" t="str">
        <x:v>S03</x:v>
      </x:c>
      <x:c r="E507" t="str">
        <x:v>PM-VAC-A</x:v>
      </x:c>
      <x:c r="F507" t="str">
        <x:v>精密金屬加工件</x:v>
      </x:c>
      <x:c r="G507" t="n">
        <x:v>500</x:v>
      </x:c>
      <x:c r="H507" t="n">
        <x:v>15748.72</x:v>
      </x:c>
      <x:c r="I507" t="n">
        <x:v>10827.43</x:v>
      </x:c>
      <x:c r="J507" s="22" t="n">
        <x:v>0.3124882530135782</x:v>
      </x:c>
      <x:c r="K507" s="22" t="n">
        <x:v>0.0723</x:v>
      </x:c>
      <x:c r="L507" t="n">
        <x:v>28</x:v>
      </x:c>
      <x:c r="M507" t="str">
        <x:v>未成交</x:v>
      </x:c>
      <x:c r="N507" s="20" t="n">
        <x:v>45715</x:v>
      </x:c>
      <x:c r="O507" t="str">
        <x:v>專案取消</x:v>
      </x:c>
    </x:row>
    <x:row r="508" ht="20" customHeight="1">
      <x:c r="A508" t="str">
        <x:v>Q00507</x:v>
      </x:c>
      <x:c r="B508" s="20" t="n">
        <x:v>45712</x:v>
      </x:c>
      <x:c r="C508" t="str">
        <x:v>IAT-009</x:v>
      </x:c>
      <x:c r="D508" t="str">
        <x:v>S04</x:v>
      </x:c>
      <x:c r="E508" t="str">
        <x:v>MECH-STG-A</x:v>
      </x:c>
      <x:c r="F508" t="str">
        <x:v>機電／自動化模組</x:v>
      </x:c>
      <x:c r="G508" t="n">
        <x:v>30</x:v>
      </x:c>
      <x:c r="H508" t="n">
        <x:v>138172.61</x:v>
      </x:c>
      <x:c r="I508" t="n">
        <x:v>101059.67</x:v>
      </x:c>
      <x:c r="J508" s="22" t="n">
        <x:v>0.26859838574374467</x:v>
      </x:c>
      <x:c r="K508" s="22" t="n">
        <x:v>0.0433</x:v>
      </x:c>
      <x:c r="L508" t="n">
        <x:v>33</x:v>
      </x:c>
      <x:c r="M508" t="str">
        <x:v>成交</x:v>
      </x:c>
      <x:c r="N508" s="20" t="n">
        <x:v>45723</x:v>
      </x:c>
      <x:c r="O508"/>
    </x:row>
    <x:row r="509" ht="20" customHeight="1">
      <x:c r="A509" t="str">
        <x:v>Q00508</x:v>
      </x:c>
      <x:c r="B509" s="20" t="n">
        <x:v>45709</x:v>
      </x:c>
      <x:c r="C509" t="str">
        <x:v>AUT-009</x:v>
      </x:c>
      <x:c r="D509" t="str">
        <x:v>S04</x:v>
      </x:c>
      <x:c r="E509" t="str">
        <x:v>MECH-CON-B</x:v>
      </x:c>
      <x:c r="F509" t="str">
        <x:v>機電／自動化模組</x:v>
      </x:c>
      <x:c r="G509" t="n">
        <x:v>40</x:v>
      </x:c>
      <x:c r="H509" t="n">
        <x:v>157054.07</x:v>
      </x:c>
      <x:c r="I509" t="n">
        <x:v>121964.08</x:v>
      </x:c>
      <x:c r="J509" s="22" t="n">
        <x:v>0.22342617418319694</x:v>
      </x:c>
      <x:c r="K509" s="22" t="n">
        <x:v>0.0539</x:v>
      </x:c>
      <x:c r="L509" t="n">
        <x:v>43</x:v>
      </x:c>
      <x:c r="M509" t="str">
        <x:v>未成交</x:v>
      </x:c>
      <x:c r="N509" s="20" t="n">
        <x:v>45716</x:v>
      </x:c>
      <x:c r="O509" t="str">
        <x:v>專案取消</x:v>
      </x:c>
    </x:row>
    <x:row r="510" ht="20" customHeight="1">
      <x:c r="A510" t="str">
        <x:v>Q00509</x:v>
      </x:c>
      <x:c r="B510" s="20" t="n">
        <x:v>45692</x:v>
      </x:c>
      <x:c r="C510" t="str">
        <x:v>AFT-001</x:v>
      </x:c>
      <x:c r="D510" t="str">
        <x:v>S05</x:v>
      </x:c>
      <x:c r="E510" t="str">
        <x:v>PM-SUS-B</x:v>
      </x:c>
      <x:c r="F510" t="str">
        <x:v>精密金屬加工件</x:v>
      </x:c>
      <x:c r="G510" t="n">
        <x:v>500</x:v>
      </x:c>
      <x:c r="H510" t="n">
        <x:v>13726.38</x:v>
      </x:c>
      <x:c r="I510" t="n">
        <x:v>10889.7</x:v>
      </x:c>
      <x:c r="J510" s="22" t="n">
        <x:v>0.206659002592089</x:v>
      </x:c>
      <x:c r="K510" s="22" t="n">
        <x:v>0.1248</x:v>
      </x:c>
      <x:c r="L510" t="n">
        <x:v>30</x:v>
      </x:c>
      <x:c r="M510" t="str">
        <x:v>未成交</x:v>
      </x:c>
      <x:c r="N510" s="20" t="n">
        <x:v>45702</x:v>
      </x:c>
      <x:c r="O510" t="str">
        <x:v>競品</x:v>
      </x:c>
    </x:row>
    <x:row r="511" ht="20" customHeight="1">
      <x:c r="A511" t="str">
        <x:v>Q00510</x:v>
      </x:c>
      <x:c r="B511" s="20" t="n">
        <x:v>45707</x:v>
      </x:c>
      <x:c r="C511" t="str">
        <x:v>SEM-004</x:v>
      </x:c>
      <x:c r="D511" t="str">
        <x:v>S02</x:v>
      </x:c>
      <x:c r="E511" t="str">
        <x:v>MECH-STG-A</x:v>
      </x:c>
      <x:c r="F511" t="str">
        <x:v>機電／自動化模組</x:v>
      </x:c>
      <x:c r="G511" t="n">
        <x:v>10</x:v>
      </x:c>
      <x:c r="H511" t="n">
        <x:v>137242.79</x:v>
      </x:c>
      <x:c r="I511" t="n">
        <x:v>101409.52</x:v>
      </x:c>
      <x:c r="J511" s="22" t="n">
        <x:v>0.2610940071970265</x:v>
      </x:c>
      <x:c r="K511" s="22" t="n">
        <x:v>0.0543</x:v>
      </x:c>
      <x:c r="L511" t="n">
        <x:v>31</x:v>
      </x:c>
      <x:c r="M511" t="str">
        <x:v>成交</x:v>
      </x:c>
      <x:c r="N511" s="20" t="n">
        <x:v>45719</x:v>
      </x:c>
      <x:c r="O511"/>
    </x:row>
    <x:row r="512" ht="20" customHeight="1">
      <x:c r="A512" t="str">
        <x:v>Q00511</x:v>
      </x:c>
      <x:c r="B512" s="20" t="n">
        <x:v>45715</x:v>
      </x:c>
      <x:c r="C512" t="str">
        <x:v>IAT-007</x:v>
      </x:c>
      <x:c r="D512" t="str">
        <x:v>S04</x:v>
      </x:c>
      <x:c r="E512" t="str">
        <x:v>AUTO-BS-A</x:v>
      </x:c>
      <x:c r="F512" t="str">
        <x:v>汽車精密零組件</x:v>
      </x:c>
      <x:c r="G512" t="n">
        <x:v>5000</x:v>
      </x:c>
      <x:c r="H512" t="n">
        <x:v>791.87</x:v>
      </x:c>
      <x:c r="I512" t="n">
        <x:v>539.99</x:v>
      </x:c>
      <x:c r="J512" s="22" t="n">
        <x:v>0.3180825135438898</x:v>
      </x:c>
      <x:c r="K512" s="22" t="n">
        <x:v>0.0331</x:v>
      </x:c>
      <x:c r="L512" t="n">
        <x:v>14</x:v>
      </x:c>
      <x:c r="M512" t="str">
        <x:v>成交</x:v>
      </x:c>
      <x:c r="N512" s="20" t="n">
        <x:v>45724</x:v>
      </x:c>
      <x:c r="O512"/>
    </x:row>
    <x:row r="513" ht="20" customHeight="1">
      <x:c r="A513" t="str">
        <x:v>Q00512</x:v>
      </x:c>
      <x:c r="B513" s="20" t="n">
        <x:v>45713</x:v>
      </x:c>
      <x:c r="C513" t="str">
        <x:v>EMS-004</x:v>
      </x:c>
      <x:c r="D513" t="str">
        <x:v>S03</x:v>
      </x:c>
      <x:c r="E513" t="str">
        <x:v>AUTO-BS-A</x:v>
      </x:c>
      <x:c r="F513" t="str">
        <x:v>汽車精密零組件</x:v>
      </x:c>
      <x:c r="G513" t="n">
        <x:v>3000</x:v>
      </x:c>
      <x:c r="H513" t="n">
        <x:v>738.36</x:v>
      </x:c>
      <x:c r="I513" t="n">
        <x:v>569.05</x:v>
      </x:c>
      <x:c r="J513" s="22" t="n">
        <x:v>0.22930548783791113</x:v>
      </x:c>
      <x:c r="K513" s="22" t="n">
        <x:v>0.1049</x:v>
      </x:c>
      <x:c r="L513" t="n">
        <x:v>14</x:v>
      </x:c>
      <x:c r="M513" t="str">
        <x:v>成交</x:v>
      </x:c>
      <x:c r="N513" s="20" t="n">
        <x:v>45716</x:v>
      </x:c>
      <x:c r="O513"/>
    </x:row>
    <x:row r="514" ht="20" customHeight="1">
      <x:c r="A514" t="str">
        <x:v>Q00513</x:v>
      </x:c>
      <x:c r="B514" s="20" t="n">
        <x:v>45712</x:v>
      </x:c>
      <x:c r="C514" t="str">
        <x:v>SEM-010</x:v>
      </x:c>
      <x:c r="D514" t="str">
        <x:v>S01</x:v>
      </x:c>
      <x:c r="E514" t="str">
        <x:v>PM-SUS-B</x:v>
      </x:c>
      <x:c r="F514" t="str">
        <x:v>精密金屬加工件</x:v>
      </x:c>
      <x:c r="G514" t="n">
        <x:v>1200</x:v>
      </x:c>
      <x:c r="H514" t="n">
        <x:v>14917.94</x:v>
      </x:c>
      <x:c r="I514" t="n">
        <x:v>11267.71</x:v>
      </x:c>
      <x:c r="J514" s="22" t="n">
        <x:v>0.24468726915378405</x:v>
      </x:c>
      <x:c r="K514" s="22" t="n">
        <x:v>0.063</x:v>
      </x:c>
      <x:c r="L514" t="n">
        <x:v>21</x:v>
      </x:c>
      <x:c r="M514" t="str">
        <x:v>成交</x:v>
      </x:c>
      <x:c r="N514" s="20" t="n">
        <x:v>45717</x:v>
      </x:c>
      <x:c r="O514"/>
    </x:row>
    <x:row r="515" ht="20" customHeight="1">
      <x:c r="A515" t="str">
        <x:v>Q00514</x:v>
      </x:c>
      <x:c r="B515" s="20" t="n">
        <x:v>45712</x:v>
      </x:c>
      <x:c r="C515" t="str">
        <x:v>EMS-008</x:v>
      </x:c>
      <x:c r="D515" t="str">
        <x:v>S02</x:v>
      </x:c>
      <x:c r="E515" t="str">
        <x:v>MECH-CON-A</x:v>
      </x:c>
      <x:c r="F515" t="str">
        <x:v>機電／自動化模組</x:v>
      </x:c>
      <x:c r="G515" t="n">
        <x:v>10</x:v>
      </x:c>
      <x:c r="H515" t="n">
        <x:v>109279.99</x:v>
      </x:c>
      <x:c r="I515" t="n">
        <x:v>84595.33</x:v>
      </x:c>
      <x:c r="J515" s="22" t="n">
        <x:v>0.22588453750773588</x:v>
      </x:c>
      <x:c r="K515" s="22" t="n">
        <x:v>0.0614</x:v>
      </x:c>
      <x:c r="L515" t="n">
        <x:v>29</x:v>
      </x:c>
      <x:c r="M515" t="str">
        <x:v>未成交</x:v>
      </x:c>
      <x:c r="N515" s="20" t="n">
        <x:v>45719</x:v>
      </x:c>
      <x:c r="O515" t="str">
        <x:v>競品</x:v>
      </x:c>
    </x:row>
    <x:row r="516" ht="20" customHeight="1">
      <x:c r="A516" t="str">
        <x:v>Q00515</x:v>
      </x:c>
      <x:c r="B516" s="20" t="n">
        <x:v>45712</x:v>
      </x:c>
      <x:c r="C516" t="str">
        <x:v>SEM-007</x:v>
      </x:c>
      <x:c r="D516" t="str">
        <x:v>S03</x:v>
      </x:c>
      <x:c r="E516" t="str">
        <x:v>SEMI-WH-B</x:v>
      </x:c>
      <x:c r="F516" t="str">
        <x:v>半導體設備零組件</x:v>
      </x:c>
      <x:c r="G516" t="n">
        <x:v>120</x:v>
      </x:c>
      <x:c r="H516" t="n">
        <x:v>167589.68</x:v>
      </x:c>
      <x:c r="I516" t="n">
        <x:v>134454.62</x:v>
      </x:c>
      <x:c r="J516" s="22" t="n">
        <x:v>0.19771539631795942</x:v>
      </x:c>
      <x:c r="K516" s="22" t="n">
        <x:v>0.0721</x:v>
      </x:c>
      <x:c r="L516" t="n">
        <x:v>49</x:v>
      </x:c>
      <x:c r="M516" t="str">
        <x:v>成交</x:v>
      </x:c>
      <x:c r="N516" s="20" t="n">
        <x:v>45718</x:v>
      </x:c>
      <x:c r="O516"/>
    </x:row>
    <x:row r="517" ht="20" customHeight="1">
      <x:c r="A517" t="str">
        <x:v>Q00516</x:v>
      </x:c>
      <x:c r="B517" s="20" t="n">
        <x:v>45712</x:v>
      </x:c>
      <x:c r="C517" t="str">
        <x:v>SEM-005</x:v>
      </x:c>
      <x:c r="D517" t="str">
        <x:v>S06</x:v>
      </x:c>
      <x:c r="E517" t="str">
        <x:v>MECH-CON-B</x:v>
      </x:c>
      <x:c r="F517" t="str">
        <x:v>機電／自動化模組</x:v>
      </x:c>
      <x:c r="G517" t="n">
        <x:v>20</x:v>
      </x:c>
      <x:c r="H517" t="n">
        <x:v>156146.41</x:v>
      </x:c>
      <x:c r="I517" t="n">
        <x:v>119891.36</x:v>
      </x:c>
      <x:c r="J517" s="22" t="n">
        <x:v>0.23218625391387482</x:v>
      </x:c>
      <x:c r="K517" s="22" t="n">
        <x:v>0.0529</x:v>
      </x:c>
      <x:c r="L517" t="n">
        <x:v>34</x:v>
      </x:c>
      <x:c r="M517" t="str">
        <x:v>成交</x:v>
      </x:c>
      <x:c r="N517" s="20" t="n">
        <x:v>45722</x:v>
      </x:c>
      <x:c r="O517"/>
    </x:row>
    <x:row r="518" ht="20" customHeight="1">
      <x:c r="A518" t="str">
        <x:v>Q00517</x:v>
      </x:c>
      <x:c r="B518" s="20" t="n">
        <x:v>45695</x:v>
      </x:c>
      <x:c r="C518" t="str">
        <x:v>EMS-007</x:v>
      </x:c>
      <x:c r="D518" t="str">
        <x:v>S04</x:v>
      </x:c>
      <x:c r="E518" t="str">
        <x:v>AUTO-BS-A</x:v>
      </x:c>
      <x:c r="F518" t="str">
        <x:v>汽車精密零組件</x:v>
      </x:c>
      <x:c r="G518" t="n">
        <x:v>7000</x:v>
      </x:c>
      <x:c r="H518" t="n">
        <x:v>784.73</x:v>
      </x:c>
      <x:c r="I518" t="n">
        <x:v>549.43</x:v>
      </x:c>
      <x:c r="J518" s="22" t="n">
        <x:v>0.29984835548532623</x:v>
      </x:c>
      <x:c r="K518" s="22" t="n">
        <x:v>0.05</x:v>
      </x:c>
      <x:c r="L518" t="n">
        <x:v>11</x:v>
      </x:c>
      <x:c r="M518" t="str">
        <x:v>成交</x:v>
      </x:c>
      <x:c r="N518" s="20" t="n">
        <x:v>45703</x:v>
      </x:c>
      <x:c r="O518"/>
    </x:row>
    <x:row r="519" ht="20" customHeight="1">
      <x:c r="A519" t="str">
        <x:v>Q00518</x:v>
      </x:c>
      <x:c r="B519" s="20" t="n">
        <x:v>45693</x:v>
      </x:c>
      <x:c r="C519" t="str">
        <x:v>IAT-004</x:v>
      </x:c>
      <x:c r="D519" t="str">
        <x:v>S05</x:v>
      </x:c>
      <x:c r="E519" t="str">
        <x:v>AUTO-FL-B</x:v>
      </x:c>
      <x:c r="F519" t="str">
        <x:v>汽車精密零組件</x:v>
      </x:c>
      <x:c r="G519" t="n">
        <x:v>3000</x:v>
      </x:c>
      <x:c r="H519" t="n">
        <x:v>1455</x:v>
      </x:c>
      <x:c r="I519" t="n">
        <x:v>1212</x:v>
      </x:c>
      <x:c r="J519" s="22" t="n">
        <x:v>0.1670103092783505</x:v>
      </x:c>
      <x:c r="K519" s="22" t="n">
        <x:v>0.1088</x:v>
      </x:c>
      <x:c r="L519" t="n">
        <x:v>13</x:v>
      </x:c>
      <x:c r="M519" t="str">
        <x:v>成交</x:v>
      </x:c>
      <x:c r="N519" s="20" t="n">
        <x:v>45699</x:v>
      </x:c>
      <x:c r="O519"/>
    </x:row>
    <x:row r="520" ht="20" customHeight="1">
      <x:c r="A520" t="str">
        <x:v>Q00519</x:v>
      </x:c>
      <x:c r="B520" s="20" t="n">
        <x:v>45699</x:v>
      </x:c>
      <x:c r="C520" t="str">
        <x:v>AFT-007</x:v>
      </x:c>
      <x:c r="D520" t="str">
        <x:v>S04</x:v>
      </x:c>
      <x:c r="E520" t="str">
        <x:v>AUTO-FL-A</x:v>
      </x:c>
      <x:c r="F520" t="str">
        <x:v>汽車精密零組件</x:v>
      </x:c>
      <x:c r="G520" t="n">
        <x:v>10000</x:v>
      </x:c>
      <x:c r="H520" t="n">
        <x:v>1233.71</x:v>
      </x:c>
      <x:c r="I520" t="n">
        <x:v>977.89</x:v>
      </x:c>
      <x:c r="J520" s="22" t="n">
        <x:v>0.20735829327799893</x:v>
      </x:c>
      <x:c r="K520" s="22" t="n">
        <x:v>0.1069</x:v>
      </x:c>
      <x:c r="L520" t="n">
        <x:v>15</x:v>
      </x:c>
      <x:c r="M520" t="str">
        <x:v>未成交</x:v>
      </x:c>
      <x:c r="N520" s="20" t="n">
        <x:v>45702</x:v>
      </x:c>
      <x:c r="O520" t="str">
        <x:v>規格</x:v>
      </x:c>
    </x:row>
    <x:row r="521" ht="20" customHeight="1">
      <x:c r="A521" t="str">
        <x:v>Q00520</x:v>
      </x:c>
      <x:c r="B521" s="20" t="n">
        <x:v>45707</x:v>
      </x:c>
      <x:c r="C521" t="str">
        <x:v>AUT-004</x:v>
      </x:c>
      <x:c r="D521" t="str">
        <x:v>S03</x:v>
      </x:c>
      <x:c r="E521" t="str">
        <x:v>AUTO-BRK-B</x:v>
      </x:c>
      <x:c r="F521" t="str">
        <x:v>汽車精密零組件</x:v>
      </x:c>
      <x:c r="G521" t="n">
        <x:v>5000</x:v>
      </x:c>
      <x:c r="H521" t="n">
        <x:v>2096.02</x:v>
      </x:c>
      <x:c r="I521" t="n">
        <x:v>1722.61</x:v>
      </x:c>
      <x:c r="J521" s="22" t="n">
        <x:v>0.1781519260312402</x:v>
      </x:c>
      <x:c r="K521" s="22" t="n">
        <x:v>0.0675</x:v>
      </x:c>
      <x:c r="L521" t="n">
        <x:v>16</x:v>
      </x:c>
      <x:c r="M521" t="str">
        <x:v>成交</x:v>
      </x:c>
      <x:c r="N521" s="20" t="n">
        <x:v>45711</x:v>
      </x:c>
      <x:c r="O521"/>
    </x:row>
    <x:row r="522" ht="20" customHeight="1">
      <x:c r="A522" t="str">
        <x:v>Q00521</x:v>
      </x:c>
      <x:c r="B522" s="20" t="n">
        <x:v>45716</x:v>
      </x:c>
      <x:c r="C522" t="str">
        <x:v>EMS-005</x:v>
      </x:c>
      <x:c r="D522" t="str">
        <x:v>S01</x:v>
      </x:c>
      <x:c r="E522" t="str">
        <x:v>SEMI-CHB-A</x:v>
      </x:c>
      <x:c r="F522" t="str">
        <x:v>半導體設備零組件</x:v>
      </x:c>
      <x:c r="G522" t="n">
        <x:v>80</x:v>
      </x:c>
      <x:c r="H522" t="n">
        <x:v>87674.09</x:v>
      </x:c>
      <x:c r="I522" t="n">
        <x:v>69293.09</x:v>
      </x:c>
      <x:c r="J522" s="22" t="n">
        <x:v>0.2096514489058284</x:v>
      </x:c>
      <x:c r="K522" s="22" t="n">
        <x:v>0.109</x:v>
      </x:c>
      <x:c r="L522" t="n">
        <x:v>36</x:v>
      </x:c>
      <x:c r="M522" t="str">
        <x:v>未成交</x:v>
      </x:c>
      <x:c r="N522" s="20" t="n">
        <x:v>45727</x:v>
      </x:c>
      <x:c r="O522" t="str">
        <x:v>交期</x:v>
      </x:c>
    </x:row>
    <x:row r="523" ht="20" customHeight="1">
      <x:c r="A523" t="str">
        <x:v>Q00522</x:v>
      </x:c>
      <x:c r="B523" s="20" t="n">
        <x:v>45700</x:v>
      </x:c>
      <x:c r="C523" t="str">
        <x:v>AFT-002</x:v>
      </x:c>
      <x:c r="D523" t="str">
        <x:v>S04</x:v>
      </x:c>
      <x:c r="E523" t="str">
        <x:v>AUTO-LG-A</x:v>
      </x:c>
      <x:c r="F523" t="str">
        <x:v>汽車精密零組件</x:v>
      </x:c>
      <x:c r="G523" t="n">
        <x:v>13000</x:v>
      </x:c>
      <x:c r="H523" t="n">
        <x:v>1086.14</x:v>
      </x:c>
      <x:c r="I523" t="n">
        <x:v>840.35</x:v>
      </x:c>
      <x:c r="J523" s="22" t="n">
        <x:v>0.22629679415176684</x:v>
      </x:c>
      <x:c r="K523" s="22" t="n">
        <x:v>0.0807</x:v>
      </x:c>
      <x:c r="L523" t="n">
        <x:v>14</x:v>
      </x:c>
      <x:c r="M523" t="str">
        <x:v>成交</x:v>
      </x:c>
      <x:c r="N523" s="20" t="n">
        <x:v>45707</x:v>
      </x:c>
      <x:c r="O523"/>
    </x:row>
    <x:row r="524" ht="20" customHeight="1">
      <x:c r="A524" t="str">
        <x:v>Q00523</x:v>
      </x:c>
      <x:c r="B524" s="20" t="n">
        <x:v>45716</x:v>
      </x:c>
      <x:c r="C524" t="str">
        <x:v>AUT-014</x:v>
      </x:c>
      <x:c r="D524" t="str">
        <x:v>S06</x:v>
      </x:c>
      <x:c r="E524" t="str">
        <x:v>AUTO-LG-B</x:v>
      </x:c>
      <x:c r="F524" t="str">
        <x:v>汽車精密零組件</x:v>
      </x:c>
      <x:c r="G524" t="n">
        <x:v>7000</x:v>
      </x:c>
      <x:c r="H524" t="n">
        <x:v>1086.1</x:v>
      </x:c>
      <x:c r="I524" t="n">
        <x:v>934.84</x:v>
      </x:c>
      <x:c r="J524" s="22" t="n">
        <x:v>0.13926894392781503</x:v>
      </x:c>
      <x:c r="K524" s="22" t="n">
        <x:v>0.1477</x:v>
      </x:c>
      <x:c r="L524" t="n">
        <x:v>19</x:v>
      </x:c>
      <x:c r="M524" t="str">
        <x:v>成交</x:v>
      </x:c>
      <x:c r="N524" s="20" t="n">
        <x:v>45727</x:v>
      </x:c>
      <x:c r="O524"/>
    </x:row>
    <x:row r="525" ht="20" customHeight="1">
      <x:c r="A525" t="str">
        <x:v>Q00524</x:v>
      </x:c>
      <x:c r="B525" s="20" t="n">
        <x:v>45699</x:v>
      </x:c>
      <x:c r="C525" t="str">
        <x:v>IAT-007</x:v>
      </x:c>
      <x:c r="D525" t="str">
        <x:v>S04</x:v>
      </x:c>
      <x:c r="E525" t="str">
        <x:v>SEMI-CHB-B</x:v>
      </x:c>
      <x:c r="F525" t="str">
        <x:v>半導體設備零組件</x:v>
      </x:c>
      <x:c r="G525" t="n">
        <x:v>60</x:v>
      </x:c>
      <x:c r="H525" t="n">
        <x:v>128150.28</x:v>
      </x:c>
      <x:c r="I525" t="n">
        <x:v>109707.88</x:v>
      </x:c>
      <x:c r="J525" s="22" t="n">
        <x:v>0.14391228797939415</x:v>
      </x:c>
      <x:c r="K525" s="22" t="n">
        <x:v>0.1292</x:v>
      </x:c>
      <x:c r="L525" t="n">
        <x:v>49</x:v>
      </x:c>
      <x:c r="M525" t="str">
        <x:v>未成交</x:v>
      </x:c>
      <x:c r="N525" s="20" t="n">
        <x:v>45704</x:v>
      </x:c>
      <x:c r="O525" t="str">
        <x:v>專案取消</x:v>
      </x:c>
    </x:row>
    <x:row r="526" ht="20" customHeight="1">
      <x:c r="A526" t="str">
        <x:v>Q00525</x:v>
      </x:c>
      <x:c r="B526" s="20" t="n">
        <x:v>45713</x:v>
      </x:c>
      <x:c r="C526" t="str">
        <x:v>AUT-013</x:v>
      </x:c>
      <x:c r="D526" t="str">
        <x:v>S01</x:v>
      </x:c>
      <x:c r="E526" t="str">
        <x:v>PM-SUS-B</x:v>
      </x:c>
      <x:c r="F526" t="str">
        <x:v>精密金屬加工件</x:v>
      </x:c>
      <x:c r="G526" t="n">
        <x:v>800</x:v>
      </x:c>
      <x:c r="H526" t="n">
        <x:v>14823.36</x:v>
      </x:c>
      <x:c r="I526" t="n">
        <x:v>11019.75</x:v>
      </x:c>
      <x:c r="J526" s="22" t="n">
        <x:v>0.256595670617188</x:v>
      </x:c>
      <x:c r="K526" s="22" t="n">
        <x:v>0.0553</x:v>
      </x:c>
      <x:c r="L526" t="n">
        <x:v>29</x:v>
      </x:c>
      <x:c r="M526" t="str">
        <x:v>成交</x:v>
      </x:c>
      <x:c r="N526" s="20" t="n">
        <x:v>45723</x:v>
      </x:c>
      <x:c r="O526"/>
    </x:row>
    <x:row r="527" ht="20" customHeight="1">
      <x:c r="A527" t="str">
        <x:v>Q00526</x:v>
      </x:c>
      <x:c r="B527" s="20" t="n">
        <x:v>45699</x:v>
      </x:c>
      <x:c r="C527" t="str">
        <x:v>EMS-003</x:v>
      </x:c>
      <x:c r="D527" t="str">
        <x:v>S05</x:v>
      </x:c>
      <x:c r="E527" t="str">
        <x:v>AUTO-KN-B</x:v>
      </x:c>
      <x:c r="F527" t="str">
        <x:v>汽車精密零組件</x:v>
      </x:c>
      <x:c r="G527" t="n">
        <x:v>3000</x:v>
      </x:c>
      <x:c r="H527" t="n">
        <x:v>3864.27</x:v>
      </x:c>
      <x:c r="I527" t="n">
        <x:v>2686</x:v>
      </x:c>
      <x:c r="J527" s="22" t="n">
        <x:v>0.3049139941049668</x:v>
      </x:c>
      <x:c r="K527" s="22" t="n">
        <x:v>0.0359</x:v>
      </x:c>
      <x:c r="L527" t="n">
        <x:v>23</x:v>
      </x:c>
      <x:c r="M527" t="str">
        <x:v>成交</x:v>
      </x:c>
      <x:c r="N527" s="20" t="n">
        <x:v>45710</x:v>
      </x:c>
      <x:c r="O527"/>
    </x:row>
    <x:row r="528" ht="20" customHeight="1">
      <x:c r="A528" t="str">
        <x:v>Q00527</x:v>
      </x:c>
      <x:c r="B528" s="20" t="n">
        <x:v>45696</x:v>
      </x:c>
      <x:c r="C528" t="str">
        <x:v>AFT-005</x:v>
      </x:c>
      <x:c r="D528" t="str">
        <x:v>S05</x:v>
      </x:c>
      <x:c r="E528" t="str">
        <x:v>PM-BRG-B</x:v>
      </x:c>
      <x:c r="F528" t="str">
        <x:v>精密金屬加工件</x:v>
      </x:c>
      <x:c r="G528" t="n">
        <x:v>800</x:v>
      </x:c>
      <x:c r="H528" t="n">
        <x:v>7950.13</x:v>
      </x:c>
      <x:c r="I528" t="n">
        <x:v>5389.14</x:v>
      </x:c>
      <x:c r="J528" s="22" t="n">
        <x:v>0.32213183935357026</x:v>
      </x:c>
      <x:c r="K528" s="22" t="n">
        <x:v>0.0514</x:v>
      </x:c>
      <x:c r="L528" t="n">
        <x:v>21</x:v>
      </x:c>
      <x:c r="M528" t="str">
        <x:v>成交</x:v>
      </x:c>
      <x:c r="N528" s="20" t="n">
        <x:v>45700</x:v>
      </x:c>
      <x:c r="O528"/>
    </x:row>
    <x:row r="529" ht="20" customHeight="1">
      <x:c r="A529" t="str">
        <x:v>Q00528</x:v>
      </x:c>
      <x:c r="B529" s="20" t="n">
        <x:v>45695</x:v>
      </x:c>
      <x:c r="C529" t="str">
        <x:v>AUT-008</x:v>
      </x:c>
      <x:c r="D529" t="str">
        <x:v>S01</x:v>
      </x:c>
      <x:c r="E529" t="str">
        <x:v>PM-BRG-B</x:v>
      </x:c>
      <x:c r="F529" t="str">
        <x:v>精密金屬加工件</x:v>
      </x:c>
      <x:c r="G529" t="n">
        <x:v>1600</x:v>
      </x:c>
      <x:c r="H529" t="n">
        <x:v>7934.29</x:v>
      </x:c>
      <x:c r="I529" t="n">
        <x:v>5386.99</x:v>
      </x:c>
      <x:c r="J529" s="22" t="n">
        <x:v>0.32104952049899865</x:v>
      </x:c>
      <x:c r="K529" s="22" t="n">
        <x:v>0.0594</x:v>
      </x:c>
      <x:c r="L529" t="n">
        <x:v>21</x:v>
      </x:c>
      <x:c r="M529" t="str">
        <x:v>未成交</x:v>
      </x:c>
      <x:c r="N529" s="20" t="n">
        <x:v>45699</x:v>
      </x:c>
      <x:c r="O529" t="str">
        <x:v>專案取消</x:v>
      </x:c>
    </x:row>
    <x:row r="530" ht="20" customHeight="1">
      <x:c r="A530" t="str">
        <x:v>Q00529</x:v>
      </x:c>
      <x:c r="B530" s="20" t="n">
        <x:v>45699</x:v>
      </x:c>
      <x:c r="C530" t="str">
        <x:v>SEM-001</x:v>
      </x:c>
      <x:c r="D530" t="str">
        <x:v>S01</x:v>
      </x:c>
      <x:c r="E530" t="str">
        <x:v>PM-VAC-A</x:v>
      </x:c>
      <x:c r="F530" t="str">
        <x:v>精密金屬加工件</x:v>
      </x:c>
      <x:c r="G530" t="n">
        <x:v>300</x:v>
      </x:c>
      <x:c r="H530" t="n">
        <x:v>16007.15</x:v>
      </x:c>
      <x:c r="I530" t="n">
        <x:v>11182.48</x:v>
      </x:c>
      <x:c r="J530" s="22" t="n">
        <x:v>0.3014071836647998</x:v>
      </x:c>
      <x:c r="K530" s="22" t="n">
        <x:v>0.0633</x:v>
      </x:c>
      <x:c r="L530" t="n">
        <x:v>33</x:v>
      </x:c>
      <x:c r="M530" t="str">
        <x:v>成交</x:v>
      </x:c>
      <x:c r="N530" s="20" t="n">
        <x:v>45709</x:v>
      </x:c>
      <x:c r="O530"/>
    </x:row>
    <x:row r="531" ht="20" customHeight="1">
      <x:c r="A531" t="str">
        <x:v>Q00530</x:v>
      </x:c>
      <x:c r="B531" s="20" t="n">
        <x:v>45711</x:v>
      </x:c>
      <x:c r="C531" t="str">
        <x:v>AUT-011</x:v>
      </x:c>
      <x:c r="D531" t="str">
        <x:v>S02</x:v>
      </x:c>
      <x:c r="E531" t="str">
        <x:v>PM-ALB-A</x:v>
      </x:c>
      <x:c r="F531" t="str">
        <x:v>精密金屬加工件</x:v>
      </x:c>
      <x:c r="G531" t="n">
        <x:v>800</x:v>
      </x:c>
      <x:c r="H531" t="n">
        <x:v>10159.35</x:v>
      </x:c>
      <x:c r="I531" t="n">
        <x:v>7909.63</x:v>
      </x:c>
      <x:c r="J531" s="22" t="n">
        <x:v>0.22144330099858753</x:v>
      </x:c>
      <x:c r="K531" s="22" t="n">
        <x:v>0.1324</x:v>
      </x:c>
      <x:c r="L531" t="n">
        <x:v>23</x:v>
      </x:c>
      <x:c r="M531" t="str">
        <x:v>未成交</x:v>
      </x:c>
      <x:c r="N531" s="20" t="n">
        <x:v>45719</x:v>
      </x:c>
      <x:c r="O531" t="str">
        <x:v>競品</x:v>
      </x:c>
    </x:row>
    <x:row r="532" ht="20" customHeight="1">
      <x:c r="A532" t="str">
        <x:v>Q00531</x:v>
      </x:c>
      <x:c r="B532" s="20" t="n">
        <x:v>45689</x:v>
      </x:c>
      <x:c r="C532" t="str">
        <x:v>EMS-002</x:v>
      </x:c>
      <x:c r="D532" t="str">
        <x:v>S05</x:v>
      </x:c>
      <x:c r="E532" t="str">
        <x:v>PM-SUS-A</x:v>
      </x:c>
      <x:c r="F532" t="str">
        <x:v>精密金屬加工件</x:v>
      </x:c>
      <x:c r="G532" t="n">
        <x:v>1200</x:v>
      </x:c>
      <x:c r="H532" t="n">
        <x:v>10101.6</x:v>
      </x:c>
      <x:c r="I532" t="n">
        <x:v>7277.9</x:v>
      </x:c>
      <x:c r="J532" s="22" t="n">
        <x:v>0.2795299754494338</x:v>
      </x:c>
      <x:c r="K532" s="22" t="n">
        <x:v>0.1108</x:v>
      </x:c>
      <x:c r="L532" t="n">
        <x:v>19</x:v>
      </x:c>
      <x:c r="M532" t="str">
        <x:v>成交</x:v>
      </x:c>
      <x:c r="N532" s="20" t="n">
        <x:v>45701</x:v>
      </x:c>
      <x:c r="O532"/>
    </x:row>
    <x:row r="533" ht="20" customHeight="1">
      <x:c r="A533" t="str">
        <x:v>Q00532</x:v>
      </x:c>
      <x:c r="B533" s="20" t="n">
        <x:v>45713</x:v>
      </x:c>
      <x:c r="C533" t="str">
        <x:v>AUT-014</x:v>
      </x:c>
      <x:c r="D533" t="str">
        <x:v>S06</x:v>
      </x:c>
      <x:c r="E533" t="str">
        <x:v>MECH-STG-A</x:v>
      </x:c>
      <x:c r="F533" t="str">
        <x:v>機電／自動化模組</x:v>
      </x:c>
      <x:c r="G533" t="n">
        <x:v>10</x:v>
      </x:c>
      <x:c r="H533" t="n">
        <x:v>137555.43</x:v>
      </x:c>
      <x:c r="I533" t="n">
        <x:v>107081.34</x:v>
      </x:c>
      <x:c r="J533" s="22" t="n">
        <x:v>0.22154043646259547</x:v>
      </x:c>
      <x:c r="K533" s="22" t="n">
        <x:v>0.0591</x:v>
      </x:c>
      <x:c r="L533" t="n">
        <x:v>33</x:v>
      </x:c>
      <x:c r="M533" t="str">
        <x:v>未成交</x:v>
      </x:c>
      <x:c r="N533" s="20" t="n">
        <x:v>45717</x:v>
      </x:c>
      <x:c r="O533" t="str">
        <x:v>競品</x:v>
      </x:c>
    </x:row>
    <x:row r="534" ht="20" customHeight="1">
      <x:c r="A534" t="str">
        <x:v>Q00533</x:v>
      </x:c>
      <x:c r="B534" s="20" t="n">
        <x:v>45710</x:v>
      </x:c>
      <x:c r="C534" t="str">
        <x:v>IAT-002</x:v>
      </x:c>
      <x:c r="D534" t="str">
        <x:v>S01</x:v>
      </x:c>
      <x:c r="E534" t="str">
        <x:v>PM-ALB-B</x:v>
      </x:c>
      <x:c r="F534" t="str">
        <x:v>精密金屬加工件</x:v>
      </x:c>
      <x:c r="G534" t="n">
        <x:v>1200</x:v>
      </x:c>
      <x:c r="H534" t="n">
        <x:v>15818.9</x:v>
      </x:c>
      <x:c r="I534" t="n">
        <x:v>11803.98</x:v>
      </x:c>
      <x:c r="J534" s="22" t="n">
        <x:v>0.2538052582670097</x:v>
      </x:c>
      <x:c r="K534" s="22" t="n">
        <x:v>0.0502</x:v>
      </x:c>
      <x:c r="L534" t="n">
        <x:v>29</x:v>
      </x:c>
      <x:c r="M534" t="str">
        <x:v>未成交</x:v>
      </x:c>
      <x:c r="N534" s="20" t="n">
        <x:v>45713</x:v>
      </x:c>
      <x:c r="O534" t="str">
        <x:v>規格</x:v>
      </x:c>
    </x:row>
    <x:row r="535" ht="20" customHeight="1">
      <x:c r="A535" t="str">
        <x:v>Q00534</x:v>
      </x:c>
      <x:c r="B535" s="20" t="n">
        <x:v>45704</x:v>
      </x:c>
      <x:c r="C535" t="str">
        <x:v>SEM-009</x:v>
      </x:c>
      <x:c r="D535" t="str">
        <x:v>S02</x:v>
      </x:c>
      <x:c r="E535" t="str">
        <x:v>SEMI-CHB-A</x:v>
      </x:c>
      <x:c r="F535" t="str">
        <x:v>半導體設備零組件</x:v>
      </x:c>
      <x:c r="G535" t="n">
        <x:v>60</x:v>
      </x:c>
      <x:c r="H535" t="n">
        <x:v>96469.62</x:v>
      </x:c>
      <x:c r="I535" t="n">
        <x:v>70312.13</x:v>
      </x:c>
      <x:c r="J535" s="22" t="n">
        <x:v>0.27114743480901027</x:v>
      </x:c>
      <x:c r="K535" s="22" t="n">
        <x:v>0.01</x:v>
      </x:c>
      <x:c r="L535" t="n">
        <x:v>35</x:v>
      </x:c>
      <x:c r="M535" t="str">
        <x:v>成交</x:v>
      </x:c>
      <x:c r="N535" s="20" t="n">
        <x:v>45714</x:v>
      </x:c>
      <x:c r="O535"/>
    </x:row>
    <x:row r="536" ht="20" customHeight="1">
      <x:c r="A536" t="str">
        <x:v>Q00535</x:v>
      </x:c>
      <x:c r="B536" s="20" t="n">
        <x:v>45710</x:v>
      </x:c>
      <x:c r="C536" t="str">
        <x:v>SEM-010</x:v>
      </x:c>
      <x:c r="D536" t="str">
        <x:v>S01</x:v>
      </x:c>
      <x:c r="E536" t="str">
        <x:v>MECH-STG-B</x:v>
      </x:c>
      <x:c r="F536" t="str">
        <x:v>機電／自動化模組</x:v>
      </x:c>
      <x:c r="G536" t="n">
        <x:v>20</x:v>
      </x:c>
      <x:c r="H536" t="n">
        <x:v>192221.63</x:v>
      </x:c>
      <x:c r="I536" t="n">
        <x:v>149650.32</x:v>
      </x:c>
      <x:c r="J536" s="22" t="n">
        <x:v>0.22146992510676347</x:v>
      </x:c>
      <x:c r="K536" s="22" t="n">
        <x:v>0.0762</x:v>
      </x:c>
      <x:c r="L536" t="n">
        <x:v>57</x:v>
      </x:c>
      <x:c r="M536" t="str">
        <x:v>成交</x:v>
      </x:c>
      <x:c r="N536" s="20" t="n">
        <x:v>45721</x:v>
      </x:c>
      <x:c r="O536"/>
    </x:row>
    <x:row r="537" ht="20" customHeight="1">
      <x:c r="A537" t="str">
        <x:v>Q00536</x:v>
      </x:c>
      <x:c r="B537" s="20" t="n">
        <x:v>45715</x:v>
      </x:c>
      <x:c r="C537" t="str">
        <x:v>SEM-009</x:v>
      </x:c>
      <x:c r="D537" t="str">
        <x:v>S02</x:v>
      </x:c>
      <x:c r="E537" t="str">
        <x:v>PM-ALB-B</x:v>
      </x:c>
      <x:c r="F537" t="str">
        <x:v>精密金屬加工件</x:v>
      </x:c>
      <x:c r="G537" t="n">
        <x:v>300</x:v>
      </x:c>
      <x:c r="H537" t="n">
        <x:v>16123.17</x:v>
      </x:c>
      <x:c r="I537" t="n">
        <x:v>11925.98</x:v>
      </x:c>
      <x:c r="J537" s="22" t="n">
        <x:v>0.26032039605114876</x:v>
      </x:c>
      <x:c r="K537" s="22" t="n">
        <x:v>0.0313</x:v>
      </x:c>
      <x:c r="L537" t="n">
        <x:v>28</x:v>
      </x:c>
      <x:c r="M537" t="str">
        <x:v>成交</x:v>
      </x:c>
      <x:c r="N537" s="20" t="n">
        <x:v>45727</x:v>
      </x:c>
      <x:c r="O537"/>
    </x:row>
    <x:row r="538" ht="20" customHeight="1">
      <x:c r="A538" t="str">
        <x:v>Q00537</x:v>
      </x:c>
      <x:c r="B538" s="20" t="n">
        <x:v>45745</x:v>
      </x:c>
      <x:c r="C538" t="str">
        <x:v>IAT-005</x:v>
      </x:c>
      <x:c r="D538" t="str">
        <x:v>S02</x:v>
      </x:c>
      <x:c r="E538" t="str">
        <x:v>AUTO-FL-B</x:v>
      </x:c>
      <x:c r="F538" t="str">
        <x:v>汽車精密零組件</x:v>
      </x:c>
      <x:c r="G538" t="n">
        <x:v>13000</x:v>
      </x:c>
      <x:c r="H538" t="n">
        <x:v>1528.06</x:v>
      </x:c>
      <x:c r="I538" t="n">
        <x:v>1168.94</x:v>
      </x:c>
      <x:c r="J538" s="22" t="n">
        <x:v>0.23501694959622</x:v>
      </x:c>
      <x:c r="K538" s="22" t="n">
        <x:v>0.064</x:v>
      </x:c>
      <x:c r="L538" t="n">
        <x:v>15</x:v>
      </x:c>
      <x:c r="M538" t="str">
        <x:v>成交</x:v>
      </x:c>
      <x:c r="N538" s="20" t="n">
        <x:v>45753</x:v>
      </x:c>
      <x:c r="O538"/>
    </x:row>
    <x:row r="539" ht="20" customHeight="1">
      <x:c r="A539" t="str">
        <x:v>Q00538</x:v>
      </x:c>
      <x:c r="B539" s="20" t="n">
        <x:v>45747</x:v>
      </x:c>
      <x:c r="C539" t="str">
        <x:v>AUT-004</x:v>
      </x:c>
      <x:c r="D539" t="str">
        <x:v>S03</x:v>
      </x:c>
      <x:c r="E539" t="str">
        <x:v>PM-BRG-A</x:v>
      </x:c>
      <x:c r="F539" t="str">
        <x:v>精密金屬加工件</x:v>
      </x:c>
      <x:c r="G539" t="n">
        <x:v>500</x:v>
      </x:c>
      <x:c r="H539" t="n">
        <x:v>6714.8</x:v>
      </x:c>
      <x:c r="I539" t="n">
        <x:v>4468.44</x:v>
      </x:c>
      <x:c r="J539" s="22" t="n">
        <x:v>0.3345386310835767</x:v>
      </x:c>
      <x:c r="K539" s="22" t="n">
        <x:v>0.0743</x:v>
      </x:c>
      <x:c r="L539" t="n">
        <x:v>18</x:v>
      </x:c>
      <x:c r="M539" t="str">
        <x:v>成交</x:v>
      </x:c>
      <x:c r="N539" s="20" t="n">
        <x:v>45755</x:v>
      </x:c>
      <x:c r="O539"/>
    </x:row>
    <x:row r="540" ht="20" customHeight="1">
      <x:c r="A540" t="str">
        <x:v>Q00539</x:v>
      </x:c>
      <x:c r="B540" s="20" t="n">
        <x:v>45745</x:v>
      </x:c>
      <x:c r="C540" t="str">
        <x:v>AUT-010</x:v>
      </x:c>
      <x:c r="D540" t="str">
        <x:v>S05</x:v>
      </x:c>
      <x:c r="E540" t="str">
        <x:v>MECH-CON-A</x:v>
      </x:c>
      <x:c r="F540" t="str">
        <x:v>機電／自動化模組</x:v>
      </x:c>
      <x:c r="G540" t="n">
        <x:v>50</x:v>
      </x:c>
      <x:c r="H540" t="n">
        <x:v>112314.27</x:v>
      </x:c>
      <x:c r="I540" t="n">
        <x:v>80842.13</x:v>
      </x:c>
      <x:c r="J540" s="22" t="n">
        <x:v>0.28021497179298765</x:v>
      </x:c>
      <x:c r="K540" s="22" t="n">
        <x:v>0.0457</x:v>
      </x:c>
      <x:c r="L540" t="n">
        <x:v>27</x:v>
      </x:c>
      <x:c r="M540" t="str">
        <x:v>未成交</x:v>
      </x:c>
      <x:c r="N540" s="20" t="n">
        <x:v>45750</x:v>
      </x:c>
      <x:c r="O540" t="str">
        <x:v>價格</x:v>
      </x:c>
    </x:row>
    <x:row r="541" ht="20" customHeight="1">
      <x:c r="A541" t="str">
        <x:v>Q00540</x:v>
      </x:c>
      <x:c r="B541" s="20" t="n">
        <x:v>45739</x:v>
      </x:c>
      <x:c r="C541" t="str">
        <x:v>AUT-011</x:v>
      </x:c>
      <x:c r="D541" t="str">
        <x:v>S02</x:v>
      </x:c>
      <x:c r="E541" t="str">
        <x:v>AUTO-MH-A</x:v>
      </x:c>
      <x:c r="F541" t="str">
        <x:v>汽車精密零組件</x:v>
      </x:c>
      <x:c r="G541" t="n">
        <x:v>7000</x:v>
      </x:c>
      <x:c r="H541" t="n">
        <x:v>2445.4</x:v>
      </x:c>
      <x:c r="I541" t="n">
        <x:v>1943.03</x:v>
      </x:c>
      <x:c r="J541" s="22" t="n">
        <x:v>0.20543469371064044</x:v>
      </x:c>
      <x:c r="K541" s="22" t="n">
        <x:v>0.082</x:v>
      </x:c>
      <x:c r="L541" t="n">
        <x:v>19</x:v>
      </x:c>
      <x:c r="M541" t="str">
        <x:v>未成交</x:v>
      </x:c>
      <x:c r="N541" s="20" t="n">
        <x:v>45750</x:v>
      </x:c>
      <x:c r="O541" t="str">
        <x:v>規格</x:v>
      </x:c>
    </x:row>
    <x:row r="542" ht="20" customHeight="1">
      <x:c r="A542" t="str">
        <x:v>Q00541</x:v>
      </x:c>
      <x:c r="B542" s="20" t="n">
        <x:v>45730</x:v>
      </x:c>
      <x:c r="C542" t="str">
        <x:v>AFT-005</x:v>
      </x:c>
      <x:c r="D542" t="str">
        <x:v>S05</x:v>
      </x:c>
      <x:c r="E542" t="str">
        <x:v>AUTO-LG-A</x:v>
      </x:c>
      <x:c r="F542" t="str">
        <x:v>汽車精密零組件</x:v>
      </x:c>
      <x:c r="G542" t="n">
        <x:v>13000</x:v>
      </x:c>
      <x:c r="H542" t="n">
        <x:v>1141.14</x:v>
      </x:c>
      <x:c r="I542" t="n">
        <x:v>828.47</x:v>
      </x:c>
      <x:c r="J542" s="22" t="n">
        <x:v>0.2739979318926688</x:v>
      </x:c>
      <x:c r="K542" s="22" t="n">
        <x:v>0.0334</x:v>
      </x:c>
      <x:c r="L542" t="n">
        <x:v>13</x:v>
      </x:c>
      <x:c r="M542" t="str">
        <x:v>成交</x:v>
      </x:c>
      <x:c r="N542" s="20" t="n">
        <x:v>45740</x:v>
      </x:c>
      <x:c r="O542"/>
    </x:row>
    <x:row r="543" ht="20" customHeight="1">
      <x:c r="A543" t="str">
        <x:v>Q00542</x:v>
      </x:c>
      <x:c r="B543" s="20" t="n">
        <x:v>45740</x:v>
      </x:c>
      <x:c r="C543" t="str">
        <x:v>EMS-007</x:v>
      </x:c>
      <x:c r="D543" t="str">
        <x:v>S04</x:v>
      </x:c>
      <x:c r="E543" t="str">
        <x:v>AUTO-KN-B</x:v>
      </x:c>
      <x:c r="F543" t="str">
        <x:v>汽車精密零組件</x:v>
      </x:c>
      <x:c r="G543" t="n">
        <x:v>5000</x:v>
      </x:c>
      <x:c r="H543" t="n">
        <x:v>3879.8</x:v>
      </x:c>
      <x:c r="I543" t="n">
        <x:v>2673.51</x:v>
      </x:c>
      <x:c r="J543" s="22" t="n">
        <x:v>0.31091551110882004</x:v>
      </x:c>
      <x:c r="K543" s="22" t="n">
        <x:v>0.0391</x:v>
      </x:c>
      <x:c r="L543" t="n">
        <x:v>19</x:v>
      </x:c>
      <x:c r="M543" t="str">
        <x:v>成交</x:v>
      </x:c>
      <x:c r="N543" s="20" t="n">
        <x:v>45752</x:v>
      </x:c>
      <x:c r="O543"/>
    </x:row>
    <x:row r="544" ht="20" customHeight="1">
      <x:c r="A544" t="str">
        <x:v>Q00543</x:v>
      </x:c>
      <x:c r="B544" s="20" t="n">
        <x:v>45746</x:v>
      </x:c>
      <x:c r="C544" t="str">
        <x:v>AUT-007</x:v>
      </x:c>
      <x:c r="D544" t="str">
        <x:v>S04</x:v>
      </x:c>
      <x:c r="E544" t="str">
        <x:v>AUTO-BS-A</x:v>
      </x:c>
      <x:c r="F544" t="str">
        <x:v>汽車精密零組件</x:v>
      </x:c>
      <x:c r="G544" t="n">
        <x:v>13000</x:v>
      </x:c>
      <x:c r="H544" t="n">
        <x:v>782.3</x:v>
      </x:c>
      <x:c r="I544" t="n">
        <x:v>552.02</x:v>
      </x:c>
      <x:c r="J544" s="22" t="n">
        <x:v>0.2943627764284801</x:v>
      </x:c>
      <x:c r="K544" s="22" t="n">
        <x:v>0.0573</x:v>
      </x:c>
      <x:c r="L544" t="n">
        <x:v>12</x:v>
      </x:c>
      <x:c r="M544" t="str">
        <x:v>未成交</x:v>
      </x:c>
      <x:c r="N544" s="20" t="n">
        <x:v>45752</x:v>
      </x:c>
      <x:c r="O544" t="str">
        <x:v>規格</x:v>
      </x:c>
    </x:row>
    <x:row r="545" ht="20" customHeight="1">
      <x:c r="A545" t="str">
        <x:v>Q00544</x:v>
      </x:c>
      <x:c r="B545" s="20" t="n">
        <x:v>45741</x:v>
      </x:c>
      <x:c r="C545" t="str">
        <x:v>AFT-003</x:v>
      </x:c>
      <x:c r="D545" t="str">
        <x:v>S01</x:v>
      </x:c>
      <x:c r="E545" t="str">
        <x:v>AUTO-KN-A</x:v>
      </x:c>
      <x:c r="F545" t="str">
        <x:v>汽車精密零組件</x:v>
      </x:c>
      <x:c r="G545" t="n">
        <x:v>3000</x:v>
      </x:c>
      <x:c r="H545" t="n">
        <x:v>3181.46</x:v>
      </x:c>
      <x:c r="I545" t="n">
        <x:v>2205.4</x:v>
      </x:c>
      <x:c r="J545" s="22" t="n">
        <x:v>0.3067962507779447</x:v>
      </x:c>
      <x:c r="K545" s="22" t="n">
        <x:v>0.059</x:v>
      </x:c>
      <x:c r="L545" t="n">
        <x:v>26</x:v>
      </x:c>
      <x:c r="M545" t="str">
        <x:v>未成交</x:v>
      </x:c>
      <x:c r="N545" s="20" t="n">
        <x:v>45747</x:v>
      </x:c>
      <x:c r="O545" t="str">
        <x:v>交期</x:v>
      </x:c>
    </x:row>
    <x:row r="546" ht="20" customHeight="1">
      <x:c r="A546" t="str">
        <x:v>Q00545</x:v>
      </x:c>
      <x:c r="B546" s="20" t="n">
        <x:v>45719</x:v>
      </x:c>
      <x:c r="C546" t="str">
        <x:v>AUT-010</x:v>
      </x:c>
      <x:c r="D546" t="str">
        <x:v>S05</x:v>
      </x:c>
      <x:c r="E546" t="str">
        <x:v>AUTO-FL-B</x:v>
      </x:c>
      <x:c r="F546" t="str">
        <x:v>汽車精密零組件</x:v>
      </x:c>
      <x:c r="G546" t="n">
        <x:v>7000</x:v>
      </x:c>
      <x:c r="H546" t="n">
        <x:v>1586.59</x:v>
      </x:c>
      <x:c r="I546" t="n">
        <x:v>1205.66</x:v>
      </x:c>
      <x:c r="J546" s="22" t="n">
        <x:v>0.2400935339312613</x:v>
      </x:c>
      <x:c r="K546" s="22" t="n">
        <x:v>0.0245</x:v>
      </x:c>
      <x:c r="L546" t="n">
        <x:v>14</x:v>
      </x:c>
      <x:c r="M546" t="str">
        <x:v>成交</x:v>
      </x:c>
      <x:c r="N546" s="20" t="n">
        <x:v>45731</x:v>
      </x:c>
      <x:c r="O546"/>
    </x:row>
    <x:row r="547" ht="20" customHeight="1">
      <x:c r="A547" t="str">
        <x:v>Q00546</x:v>
      </x:c>
      <x:c r="B547" s="20" t="n">
        <x:v>45726</x:v>
      </x:c>
      <x:c r="C547" t="str">
        <x:v>IAT-003</x:v>
      </x:c>
      <x:c r="D547" t="str">
        <x:v>S04</x:v>
      </x:c>
      <x:c r="E547" t="str">
        <x:v>MECH-CON-A</x:v>
      </x:c>
      <x:c r="F547" t="str">
        <x:v>機電／自動化模組</x:v>
      </x:c>
      <x:c r="G547" t="n">
        <x:v>50</x:v>
      </x:c>
      <x:c r="H547" t="n">
        <x:v>118056.76</x:v>
      </x:c>
      <x:c r="I547" t="n">
        <x:v>81820.9</x:v>
      </x:c>
      <x:c r="J547" s="22" t="n">
        <x:v>0.3069359179431995</x:v>
      </x:c>
      <x:c r="K547" s="22" t="n">
        <x:v>0.0186</x:v>
      </x:c>
      <x:c r="L547" t="n">
        <x:v>32</x:v>
      </x:c>
      <x:c r="M547" t="str">
        <x:v>成交</x:v>
      </x:c>
      <x:c r="N547" s="20" t="n">
        <x:v>45731</x:v>
      </x:c>
      <x:c r="O547"/>
    </x:row>
    <x:row r="548" ht="20" customHeight="1">
      <x:c r="A548" t="str">
        <x:v>Q00547</x:v>
      </x:c>
      <x:c r="B548" s="20" t="n">
        <x:v>45731</x:v>
      </x:c>
      <x:c r="C548" t="str">
        <x:v>AUT-005</x:v>
      </x:c>
      <x:c r="D548" t="str">
        <x:v>S04</x:v>
      </x:c>
      <x:c r="E548" t="str">
        <x:v>AUTO-BS-A</x:v>
      </x:c>
      <x:c r="F548" t="str">
        <x:v>汽車精密零組件</x:v>
      </x:c>
      <x:c r="G548" t="n">
        <x:v>10000</x:v>
      </x:c>
      <x:c r="H548" t="n">
        <x:v>771.72</x:v>
      </x:c>
      <x:c r="I548" t="n">
        <x:v>552.92</x:v>
      </x:c>
      <x:c r="J548" s="22" t="n">
        <x:v>0.28352252112165044</x:v>
      </x:c>
      <x:c r="K548" s="22" t="n">
        <x:v>0.0484</x:v>
      </x:c>
      <x:c r="L548" t="n">
        <x:v>12</x:v>
      </x:c>
      <x:c r="M548" t="str">
        <x:v>成交</x:v>
      </x:c>
      <x:c r="N548" s="20" t="n">
        <x:v>45737</x:v>
      </x:c>
      <x:c r="O548"/>
    </x:row>
    <x:row r="549" ht="20" customHeight="1">
      <x:c r="A549" t="str">
        <x:v>Q00548</x:v>
      </x:c>
      <x:c r="B549" s="20" t="n">
        <x:v>45738</x:v>
      </x:c>
      <x:c r="C549" t="str">
        <x:v>IAT-003</x:v>
      </x:c>
      <x:c r="D549" t="str">
        <x:v>S04</x:v>
      </x:c>
      <x:c r="E549" t="str">
        <x:v>PM-SUS-B</x:v>
      </x:c>
      <x:c r="F549" t="str">
        <x:v>精密金屬加工件</x:v>
      </x:c>
      <x:c r="G549" t="n">
        <x:v>1600</x:v>
      </x:c>
      <x:c r="H549" t="n">
        <x:v>13960.53</x:v>
      </x:c>
      <x:c r="I549" t="n">
        <x:v>10786.02</x:v>
      </x:c>
      <x:c r="J549" s="22" t="n">
        <x:v>0.22739179672978033</x:v>
      </x:c>
      <x:c r="K549" s="22" t="n">
        <x:v>0.1226</x:v>
      </x:c>
      <x:c r="L549" t="n">
        <x:v>30</x:v>
      </x:c>
      <x:c r="M549" t="str">
        <x:v>成交</x:v>
      </x:c>
      <x:c r="N549" s="20" t="n">
        <x:v>45746</x:v>
      </x:c>
      <x:c r="O549"/>
    </x:row>
    <x:row r="550" ht="20" customHeight="1">
      <x:c r="A550" t="str">
        <x:v>Q00549</x:v>
      </x:c>
      <x:c r="B550" s="20" t="n">
        <x:v>45746</x:v>
      </x:c>
      <x:c r="C550" t="str">
        <x:v>AUT-006</x:v>
      </x:c>
      <x:c r="D550" t="str">
        <x:v>S03</x:v>
      </x:c>
      <x:c r="E550" t="str">
        <x:v>AUTO-KN-B</x:v>
      </x:c>
      <x:c r="F550" t="str">
        <x:v>汽車精密零組件</x:v>
      </x:c>
      <x:c r="G550" t="n">
        <x:v>13000</x:v>
      </x:c>
      <x:c r="H550" t="n">
        <x:v>3765.99</x:v>
      </x:c>
      <x:c r="I550" t="n">
        <x:v>2544.8</x:v>
      </x:c>
      <x:c r="J550" s="22" t="n">
        <x:v>0.32426798796597966</x:v>
      </x:c>
      <x:c r="K550" s="22" t="n">
        <x:v>0.0481</x:v>
      </x:c>
      <x:c r="L550" t="n">
        <x:v>20</x:v>
      </x:c>
      <x:c r="M550" t="str">
        <x:v>成交</x:v>
      </x:c>
      <x:c r="N550" s="20" t="n">
        <x:v>45749</x:v>
      </x:c>
      <x:c r="O550"/>
    </x:row>
    <x:row r="551" ht="20" customHeight="1">
      <x:c r="A551" t="str">
        <x:v>Q00550</x:v>
      </x:c>
      <x:c r="B551" s="20" t="n">
        <x:v>45733</x:v>
      </x:c>
      <x:c r="C551" t="str">
        <x:v>IAT-007</x:v>
      </x:c>
      <x:c r="D551" t="str">
        <x:v>S04</x:v>
      </x:c>
      <x:c r="E551" t="str">
        <x:v>SEMI-WH-A</x:v>
      </x:c>
      <x:c r="F551" t="str">
        <x:v>半導體設備零組件</x:v>
      </x:c>
      <x:c r="G551" t="n">
        <x:v>160</x:v>
      </x:c>
      <x:c r="H551" t="n">
        <x:v>117008.81</x:v>
      </x:c>
      <x:c r="I551" t="n">
        <x:v>90635.95</x:v>
      </x:c>
      <x:c r="J551" s="22" t="n">
        <x:v>0.22539208799747643</x:v>
      </x:c>
      <x:c r="K551" s="22" t="n">
        <x:v>0.015</x:v>
      </x:c>
      <x:c r="L551" t="n">
        <x:v>54</x:v>
      </x:c>
      <x:c r="M551" t="str">
        <x:v>成交</x:v>
      </x:c>
      <x:c r="N551" s="20" t="n">
        <x:v>45743</x:v>
      </x:c>
      <x:c r="O551"/>
    </x:row>
    <x:row r="552" ht="20" customHeight="1">
      <x:c r="A552" t="str">
        <x:v>Q00551</x:v>
      </x:c>
      <x:c r="B552" s="20" t="n">
        <x:v>45738</x:v>
      </x:c>
      <x:c r="C552" t="str">
        <x:v>AFT-002</x:v>
      </x:c>
      <x:c r="D552" t="str">
        <x:v>S04</x:v>
      </x:c>
      <x:c r="E552" t="str">
        <x:v>AUTO-FL-A</x:v>
      </x:c>
      <x:c r="F552" t="str">
        <x:v>汽車精密零組件</x:v>
      </x:c>
      <x:c r="G552" t="n">
        <x:v>7000</x:v>
      </x:c>
      <x:c r="H552" t="n">
        <x:v>1319.98</x:v>
      </x:c>
      <x:c r="I552" t="n">
        <x:v>953.8</x:v>
      </x:c>
      <x:c r="J552" s="22" t="n">
        <x:v>0.27741329414082033</x:v>
      </x:c>
      <x:c r="K552" s="22" t="n">
        <x:v>0.0446</x:v>
      </x:c>
      <x:c r="L552" t="n">
        <x:v>18</x:v>
      </x:c>
      <x:c r="M552" t="str">
        <x:v>成交</x:v>
      </x:c>
      <x:c r="N552" s="20" t="n">
        <x:v>45741</x:v>
      </x:c>
      <x:c r="O552"/>
    </x:row>
    <x:row r="553" ht="20" customHeight="1">
      <x:c r="A553" t="str">
        <x:v>Q00552</x:v>
      </x:c>
      <x:c r="B553" s="20" t="n">
        <x:v>45728</x:v>
      </x:c>
      <x:c r="C553" t="str">
        <x:v>AUT-003</x:v>
      </x:c>
      <x:c r="D553" t="str">
        <x:v>S03</x:v>
      </x:c>
      <x:c r="E553" t="str">
        <x:v>MECH-STG-A</x:v>
      </x:c>
      <x:c r="F553" t="str">
        <x:v>機電／自動化模組</x:v>
      </x:c>
      <x:c r="G553" t="n">
        <x:v>50</x:v>
      </x:c>
      <x:c r="H553" t="n">
        <x:v>139011.51</x:v>
      </x:c>
      <x:c r="I553" t="n">
        <x:v>100995.88</x:v>
      </x:c>
      <x:c r="J553" s="22" t="n">
        <x:v>0.2734710960265089</x:v>
      </x:c>
      <x:c r="K553" s="22" t="n">
        <x:v>0.0445</x:v>
      </x:c>
      <x:c r="L553" t="n">
        <x:v>44</x:v>
      </x:c>
      <x:c r="M553" t="str">
        <x:v>成交</x:v>
      </x:c>
      <x:c r="N553" s="20" t="n">
        <x:v>45731</x:v>
      </x:c>
      <x:c r="O553"/>
    </x:row>
    <x:row r="554" ht="20" customHeight="1">
      <x:c r="A554" t="str">
        <x:v>Q00553</x:v>
      </x:c>
      <x:c r="B554" s="20" t="n">
        <x:v>45741</x:v>
      </x:c>
      <x:c r="C554" t="str">
        <x:v>IAT-007</x:v>
      </x:c>
      <x:c r="D554" t="str">
        <x:v>S04</x:v>
      </x:c>
      <x:c r="E554" t="str">
        <x:v>AUTO-BS-B</x:v>
      </x:c>
      <x:c r="F554" t="str">
        <x:v>汽車精密零組件</x:v>
      </x:c>
      <x:c r="G554" t="n">
        <x:v>13000</x:v>
      </x:c>
      <x:c r="H554" t="n">
        <x:v>938.89</x:v>
      </x:c>
      <x:c r="I554" t="n">
        <x:v>645.47</x:v>
      </x:c>
      <x:c r="J554" s="22" t="n">
        <x:v>0.31251797335151077</x:v>
      </x:c>
      <x:c r="K554" s="22" t="n">
        <x:v>0.0341</x:v>
      </x:c>
      <x:c r="L554" t="n">
        <x:v>14</x:v>
      </x:c>
      <x:c r="M554" t="str">
        <x:v>成交</x:v>
      </x:c>
      <x:c r="N554" s="20" t="n">
        <x:v>45752</x:v>
      </x:c>
      <x:c r="O554"/>
    </x:row>
    <x:row r="555" ht="20" customHeight="1">
      <x:c r="A555" t="str">
        <x:v>Q00554</x:v>
      </x:c>
      <x:c r="B555" s="20" t="n">
        <x:v>45740</x:v>
      </x:c>
      <x:c r="C555" t="str">
        <x:v>AUT-013</x:v>
      </x:c>
      <x:c r="D555" t="str">
        <x:v>S01</x:v>
      </x:c>
      <x:c r="E555" t="str">
        <x:v>AUTO-FL-B</x:v>
      </x:c>
      <x:c r="F555" t="str">
        <x:v>汽車精密零組件</x:v>
      </x:c>
      <x:c r="G555" t="n">
        <x:v>3000</x:v>
      </x:c>
      <x:c r="H555" t="n">
        <x:v>1508.55</x:v>
      </x:c>
      <x:c r="I555" t="n">
        <x:v>1207.98</x:v>
      </x:c>
      <x:c r="J555" s="22" t="n">
        <x:v>0.19924430744754892</x:v>
      </x:c>
      <x:c r="K555" s="22" t="n">
        <x:v>0.0819</x:v>
      </x:c>
      <x:c r="L555" t="n">
        <x:v>14</x:v>
      </x:c>
      <x:c r="M555" t="str">
        <x:v>成交</x:v>
      </x:c>
      <x:c r="N555" s="20" t="n">
        <x:v>45748</x:v>
      </x:c>
      <x:c r="O555"/>
    </x:row>
    <x:row r="556" ht="20" customHeight="1">
      <x:c r="A556" t="str">
        <x:v>Q00555</x:v>
      </x:c>
      <x:c r="B556" s="20" t="n">
        <x:v>45745</x:v>
      </x:c>
      <x:c r="C556" t="str">
        <x:v>IAT-005</x:v>
      </x:c>
      <x:c r="D556" t="str">
        <x:v>S02</x:v>
      </x:c>
      <x:c r="E556" t="str">
        <x:v>PM-SUS-B</x:v>
      </x:c>
      <x:c r="F556" t="str">
        <x:v>精密金屬加工件</x:v>
      </x:c>
      <x:c r="G556" t="n">
        <x:v>1600</x:v>
      </x:c>
      <x:c r="H556" t="n">
        <x:v>15359.16</x:v>
      </x:c>
      <x:c r="I556" t="n">
        <x:v>11328.75</x:v>
      </x:c>
      <x:c r="J556" s="22" t="n">
        <x:v>0.26241083496753725</x:v>
      </x:c>
      <x:c r="K556" s="22" t="n">
        <x:v>0.0273</x:v>
      </x:c>
      <x:c r="L556" t="n">
        <x:v>23</x:v>
      </x:c>
      <x:c r="M556" t="str">
        <x:v>成交</x:v>
      </x:c>
      <x:c r="N556" s="20" t="n">
        <x:v>45752</x:v>
      </x:c>
      <x:c r="O556"/>
    </x:row>
    <x:row r="557" ht="20" customHeight="1">
      <x:c r="A557" t="str">
        <x:v>Q00556</x:v>
      </x:c>
      <x:c r="B557" s="20" t="n">
        <x:v>45726</x:v>
      </x:c>
      <x:c r="C557" t="str">
        <x:v>SEM-005</x:v>
      </x:c>
      <x:c r="D557" t="str">
        <x:v>S06</x:v>
      </x:c>
      <x:c r="E557" t="str">
        <x:v>PM-SUS-A</x:v>
      </x:c>
      <x:c r="F557" t="str">
        <x:v>精密金屬加工件</x:v>
      </x:c>
      <x:c r="G557" t="n">
        <x:v>500</x:v>
      </x:c>
      <x:c r="H557" t="n">
        <x:v>10843.56</x:v>
      </x:c>
      <x:c r="I557" t="n">
        <x:v>7743.75</x:v>
      </x:c>
      <x:c r="J557" s="22" t="n">
        <x:v>0.2858664497637307</x:v>
      </x:c>
      <x:c r="K557" s="22" t="n">
        <x:v>0.0259</x:v>
      </x:c>
      <x:c r="L557" t="n">
        <x:v>17</x:v>
      </x:c>
      <x:c r="M557" t="str">
        <x:v>成交</x:v>
      </x:c>
      <x:c r="N557" s="20" t="n">
        <x:v>45733</x:v>
      </x:c>
      <x:c r="O557"/>
    </x:row>
    <x:row r="558" ht="20" customHeight="1">
      <x:c r="A558" t="str">
        <x:v>Q00557</x:v>
      </x:c>
      <x:c r="B558" s="20" t="n">
        <x:v>45741</x:v>
      </x:c>
      <x:c r="C558" t="str">
        <x:v>AUT-007</x:v>
      </x:c>
      <x:c r="D558" t="str">
        <x:v>S04</x:v>
      </x:c>
      <x:c r="E558" t="str">
        <x:v>AUTO-KN-A</x:v>
      </x:c>
      <x:c r="F558" t="str">
        <x:v>汽車精密零組件</x:v>
      </x:c>
      <x:c r="G558" t="n">
        <x:v>13000</x:v>
      </x:c>
      <x:c r="H558" t="n">
        <x:v>3099.51</x:v>
      </x:c>
      <x:c r="I558" t="n">
        <x:v>2262.34</x:v>
      </x:c>
      <x:c r="J558" s="22" t="n">
        <x:v>0.2700975315453088</x:v>
      </x:c>
      <x:c r="K558" s="22" t="n">
        <x:v>0.0728</x:v>
      </x:c>
      <x:c r="L558" t="n">
        <x:v>18</x:v>
      </x:c>
      <x:c r="M558" t="str">
        <x:v>成交</x:v>
      </x:c>
      <x:c r="N558" s="20" t="n">
        <x:v>45748</x:v>
      </x:c>
      <x:c r="O558"/>
    </x:row>
    <x:row r="559" ht="20" customHeight="1">
      <x:c r="A559" t="str">
        <x:v>Q00558</x:v>
      </x:c>
      <x:c r="B559" s="20" t="n">
        <x:v>45719</x:v>
      </x:c>
      <x:c r="C559" t="str">
        <x:v>AUT-005</x:v>
      </x:c>
      <x:c r="D559" t="str">
        <x:v>S04</x:v>
      </x:c>
      <x:c r="E559" t="str">
        <x:v>PM-BRG-B</x:v>
      </x:c>
      <x:c r="F559" t="str">
        <x:v>精密金屬加工件</x:v>
      </x:c>
      <x:c r="G559" t="n">
        <x:v>1600</x:v>
      </x:c>
      <x:c r="H559" t="n">
        <x:v>8280.84</x:v>
      </x:c>
      <x:c r="I559" t="n">
        <x:v>5393.72</x:v>
      </x:c>
      <x:c r="J559" s="22" t="n">
        <x:v>0.3486506199854121</x:v>
      </x:c>
      <x:c r="K559" s="22" t="n">
        <x:v>0.01</x:v>
      </x:c>
      <x:c r="L559" t="n">
        <x:v>21</x:v>
      </x:c>
      <x:c r="M559" t="str">
        <x:v>成交</x:v>
      </x:c>
      <x:c r="N559" s="20" t="n">
        <x:v>45726</x:v>
      </x:c>
      <x:c r="O559"/>
    </x:row>
    <x:row r="560" ht="20" customHeight="1">
      <x:c r="A560" t="str">
        <x:v>Q00559</x:v>
      </x:c>
      <x:c r="B560" s="20" t="n">
        <x:v>45718</x:v>
      </x:c>
      <x:c r="C560" t="str">
        <x:v>AUT-008</x:v>
      </x:c>
      <x:c r="D560" t="str">
        <x:v>S01</x:v>
      </x:c>
      <x:c r="E560" t="str">
        <x:v>PM-VAC-A</x:v>
      </x:c>
      <x:c r="F560" t="str">
        <x:v>精密金屬加工件</x:v>
      </x:c>
      <x:c r="G560" t="n">
        <x:v>500</x:v>
      </x:c>
      <x:c r="H560" t="n">
        <x:v>15003.59</x:v>
      </x:c>
      <x:c r="I560" t="n">
        <x:v>11127.79</x:v>
      </x:c>
      <x:c r="J560" s="22" t="n">
        <x:v>0.2583248409214061</x:v>
      </x:c>
      <x:c r="K560" s="22" t="n">
        <x:v>0.0972</x:v>
      </x:c>
      <x:c r="L560" t="n">
        <x:v>30</x:v>
      </x:c>
      <x:c r="M560" t="str">
        <x:v>未成交</x:v>
      </x:c>
      <x:c r="N560" s="20" t="n">
        <x:v>45726</x:v>
      </x:c>
      <x:c r="O560" t="str">
        <x:v>價格</x:v>
      </x:c>
    </x:row>
    <x:row r="561" ht="20" customHeight="1">
      <x:c r="A561" t="str">
        <x:v>Q00560</x:v>
      </x:c>
      <x:c r="B561" s="20" t="n">
        <x:v>45719</x:v>
      </x:c>
      <x:c r="C561" t="str">
        <x:v>IAT-007</x:v>
      </x:c>
      <x:c r="D561" t="str">
        <x:v>S04</x:v>
      </x:c>
      <x:c r="E561" t="str">
        <x:v>AUTO-FL-B</x:v>
      </x:c>
      <x:c r="F561" t="str">
        <x:v>汽車精密零組件</x:v>
      </x:c>
      <x:c r="G561" t="n">
        <x:v>5000</x:v>
      </x:c>
      <x:c r="H561" t="n">
        <x:v>1530.75</x:v>
      </x:c>
      <x:c r="I561" t="n">
        <x:v>1157.32</x:v>
      </x:c>
      <x:c r="J561" s="22" t="n">
        <x:v>0.24395231095868042</x:v>
      </x:c>
      <x:c r="K561" s="22" t="n">
        <x:v>0.0613</x:v>
      </x:c>
      <x:c r="L561" t="n">
        <x:v>17</x:v>
      </x:c>
      <x:c r="M561" t="str">
        <x:v>未成交</x:v>
      </x:c>
      <x:c r="N561" s="20" t="n">
        <x:v>45724</x:v>
      </x:c>
      <x:c r="O561" t="str">
        <x:v>價格</x:v>
      </x:c>
    </x:row>
    <x:row r="562" ht="20" customHeight="1">
      <x:c r="A562" t="str">
        <x:v>Q00561</x:v>
      </x:c>
      <x:c r="B562" s="20" t="n">
        <x:v>45738</x:v>
      </x:c>
      <x:c r="C562" t="str">
        <x:v>EMS-008</x:v>
      </x:c>
      <x:c r="D562" t="str">
        <x:v>S02</x:v>
      </x:c>
      <x:c r="E562" t="str">
        <x:v>MECH-CON-B</x:v>
      </x:c>
      <x:c r="F562" t="str">
        <x:v>機電／自動化模組</x:v>
      </x:c>
      <x:c r="G562" t="n">
        <x:v>30</x:v>
      </x:c>
      <x:c r="H562" t="n">
        <x:v>148085.64</x:v>
      </x:c>
      <x:c r="I562" t="n">
        <x:v>119131.28</x:v>
      </x:c>
      <x:c r="J562" s="22" t="n">
        <x:v>0.19552442762174652</x:v>
      </x:c>
      <x:c r="K562" s="22" t="n">
        <x:v>0.1189</x:v>
      </x:c>
      <x:c r="L562" t="n">
        <x:v>49</x:v>
      </x:c>
      <x:c r="M562" t="str">
        <x:v>成交</x:v>
      </x:c>
      <x:c r="N562" s="20" t="n">
        <x:v>45746</x:v>
      </x:c>
      <x:c r="O562"/>
    </x:row>
    <x:row r="563" ht="20" customHeight="1">
      <x:c r="A563" t="str">
        <x:v>Q00562</x:v>
      </x:c>
      <x:c r="B563" s="20" t="n">
        <x:v>45719</x:v>
      </x:c>
      <x:c r="C563" t="str">
        <x:v>AUT-009</x:v>
      </x:c>
      <x:c r="D563" t="str">
        <x:v>S04</x:v>
      </x:c>
      <x:c r="E563" t="str">
        <x:v>AUTO-MH-A</x:v>
      </x:c>
      <x:c r="F563" t="str">
        <x:v>汽車精密零組件</x:v>
      </x:c>
      <x:c r="G563" t="n">
        <x:v>10000</x:v>
      </x:c>
      <x:c r="H563" t="n">
        <x:v>2554.92</x:v>
      </x:c>
      <x:c r="I563" t="n">
        <x:v>2027.95</x:v>
      </x:c>
      <x:c r="J563" s="22" t="n">
        <x:v>0.20625694737995712</x:v>
      </x:c>
      <x:c r="K563" s="22" t="n">
        <x:v>0.034</x:v>
      </x:c>
      <x:c r="L563" t="n">
        <x:v>16</x:v>
      </x:c>
      <x:c r="M563" t="str">
        <x:v>成交</x:v>
      </x:c>
      <x:c r="N563" s="20" t="n">
        <x:v>45730</x:v>
      </x:c>
      <x:c r="O563"/>
    </x:row>
    <x:row r="564" ht="20" customHeight="1">
      <x:c r="A564" t="str">
        <x:v>Q00563</x:v>
      </x:c>
      <x:c r="B564" s="20" t="n">
        <x:v>45746</x:v>
      </x:c>
      <x:c r="C564" t="str">
        <x:v>AUT-004</x:v>
      </x:c>
      <x:c r="D564" t="str">
        <x:v>S03</x:v>
      </x:c>
      <x:c r="E564" t="str">
        <x:v>MECH-STG-A</x:v>
      </x:c>
      <x:c r="F564" t="str">
        <x:v>機電／自動化模組</x:v>
      </x:c>
      <x:c r="G564" t="n">
        <x:v>10</x:v>
      </x:c>
      <x:c r="H564" t="n">
        <x:v>144389.07</x:v>
      </x:c>
      <x:c r="I564" t="n">
        <x:v>105065.98</x:v>
      </x:c>
      <x:c r="J564" s="22" t="n">
        <x:v>0.27234118205761704</x:v>
      </x:c>
      <x:c r="K564" s="22" t="n">
        <x:v>0.0233</x:v>
      </x:c>
      <x:c r="L564" t="n">
        <x:v>45</x:v>
      </x:c>
      <x:c r="M564" t="str">
        <x:v>未成交</x:v>
      </x:c>
      <x:c r="N564" s="20" t="n">
        <x:v>45749</x:v>
      </x:c>
      <x:c r="O564" t="str">
        <x:v>價格</x:v>
      </x:c>
    </x:row>
    <x:row r="565" ht="20" customHeight="1">
      <x:c r="A565" t="str">
        <x:v>Q00564</x:v>
      </x:c>
      <x:c r="B565" s="20" t="n">
        <x:v>45721</x:v>
      </x:c>
      <x:c r="C565" t="str">
        <x:v>AUT-006</x:v>
      </x:c>
      <x:c r="D565" t="str">
        <x:v>S03</x:v>
      </x:c>
      <x:c r="E565" t="str">
        <x:v>AUTO-BRK-A</x:v>
      </x:c>
      <x:c r="F565" t="str">
        <x:v>汽車精密零組件</x:v>
      </x:c>
      <x:c r="G565" t="n">
        <x:v>5000</x:v>
      </x:c>
      <x:c r="H565" t="n">
        <x:v>1589.02</x:v>
      </x:c>
      <x:c r="I565" t="n">
        <x:v>1416.18</x:v>
      </x:c>
      <x:c r="J565" s="22" t="n">
        <x:v>0.108771444034688</x:v>
      </x:c>
      <x:c r="K565" s="22" t="n">
        <x:v>0.1452</x:v>
      </x:c>
      <x:c r="L565" t="n">
        <x:v>16</x:v>
      </x:c>
      <x:c r="M565" t="str">
        <x:v>成交</x:v>
      </x:c>
      <x:c r="N565" s="20" t="n">
        <x:v>45733</x:v>
      </x:c>
      <x:c r="O565"/>
    </x:row>
    <x:row r="566" ht="20" customHeight="1">
      <x:c r="A566" t="str">
        <x:v>Q00565</x:v>
      </x:c>
      <x:c r="B566" s="20" t="n">
        <x:v>45730</x:v>
      </x:c>
      <x:c r="C566" t="str">
        <x:v>IAT-004</x:v>
      </x:c>
      <x:c r="D566" t="str">
        <x:v>S05</x:v>
      </x:c>
      <x:c r="E566" t="str">
        <x:v>MECH-STG-A</x:v>
      </x:c>
      <x:c r="F566" t="str">
        <x:v>機電／自動化模組</x:v>
      </x:c>
      <x:c r="G566" t="n">
        <x:v>20</x:v>
      </x:c>
      <x:c r="H566" t="n">
        <x:v>132291.9</x:v>
      </x:c>
      <x:c r="I566" t="n">
        <x:v>104646.66</x:v>
      </x:c>
      <x:c r="J566" s="22" t="n">
        <x:v>0.2089715243336893</x:v>
      </x:c>
      <x:c r="K566" s="22" t="n">
        <x:v>0.0888</x:v>
      </x:c>
      <x:c r="L566" t="n">
        <x:v>43</x:v>
      </x:c>
      <x:c r="M566" t="str">
        <x:v>未成交</x:v>
      </x:c>
      <x:c r="N566" s="20" t="n">
        <x:v>45733</x:v>
      </x:c>
      <x:c r="O566" t="str">
        <x:v>規格</x:v>
      </x:c>
    </x:row>
    <x:row r="567" ht="20" customHeight="1">
      <x:c r="A567" t="str">
        <x:v>Q00566</x:v>
      </x:c>
      <x:c r="B567" s="20" t="n">
        <x:v>45728</x:v>
      </x:c>
      <x:c r="C567" t="str">
        <x:v>EMS-005</x:v>
      </x:c>
      <x:c r="D567" t="str">
        <x:v>S01</x:v>
      </x:c>
      <x:c r="E567" t="str">
        <x:v>AUTO-LG-B</x:v>
      </x:c>
      <x:c r="F567" t="str">
        <x:v>汽車精密零組件</x:v>
      </x:c>
      <x:c r="G567" t="n">
        <x:v>7000</x:v>
      </x:c>
      <x:c r="H567" t="n">
        <x:v>1157.29</x:v>
      </x:c>
      <x:c r="I567" t="n">
        <x:v>913.83</x:v>
      </x:c>
      <x:c r="J567" s="22" t="n">
        <x:v>0.21037078001192436</x:v>
      </x:c>
      <x:c r="K567" s="22" t="n">
        <x:v>0.1028</x:v>
      </x:c>
      <x:c r="L567" t="n">
        <x:v>18</x:v>
      </x:c>
      <x:c r="M567" t="str">
        <x:v>未成交</x:v>
      </x:c>
      <x:c r="N567" s="20" t="n">
        <x:v>45735</x:v>
      </x:c>
      <x:c r="O567" t="str">
        <x:v>專案取消</x:v>
      </x:c>
    </x:row>
    <x:row r="568" ht="20" customHeight="1">
      <x:c r="A568" t="str">
        <x:v>Q00567</x:v>
      </x:c>
      <x:c r="B568" s="20" t="n">
        <x:v>45722</x:v>
      </x:c>
      <x:c r="C568" t="str">
        <x:v>AFT-002</x:v>
      </x:c>
      <x:c r="D568" t="str">
        <x:v>S04</x:v>
      </x:c>
      <x:c r="E568" t="str">
        <x:v>AUTO-BS-A</x:v>
      </x:c>
      <x:c r="F568" t="str">
        <x:v>汽車精密零組件</x:v>
      </x:c>
      <x:c r="G568" t="n">
        <x:v>7000</x:v>
      </x:c>
      <x:c r="H568" t="n">
        <x:v>739.75</x:v>
      </x:c>
      <x:c r="I568" t="n">
        <x:v>561.77</x:v>
      </x:c>
      <x:c r="J568" s="22" t="n">
        <x:v>0.24059479553903348</x:v>
      </x:c>
      <x:c r="K568" s="22" t="n">
        <x:v>0.1131</x:v>
      </x:c>
      <x:c r="L568" t="n">
        <x:v>11</x:v>
      </x:c>
      <x:c r="M568" t="str">
        <x:v>成交</x:v>
      </x:c>
      <x:c r="N568" s="20" t="n">
        <x:v>45731</x:v>
      </x:c>
      <x:c r="O568"/>
    </x:row>
    <x:row r="569" ht="20" customHeight="1">
      <x:c r="A569" t="str">
        <x:v>Q00568</x:v>
      </x:c>
      <x:c r="B569" s="20" t="n">
        <x:v>45754</x:v>
      </x:c>
      <x:c r="C569" t="str">
        <x:v>AFT-007</x:v>
      </x:c>
      <x:c r="D569" t="str">
        <x:v>S04</x:v>
      </x:c>
      <x:c r="E569" t="str">
        <x:v>PM-BRG-B</x:v>
      </x:c>
      <x:c r="F569" t="str">
        <x:v>精密金屬加工件</x:v>
      </x:c>
      <x:c r="G569" t="n">
        <x:v>300</x:v>
      </x:c>
      <x:c r="H569" t="n">
        <x:v>7865.71</x:v>
      </x:c>
      <x:c r="I569" t="n">
        <x:v>5464.32</x:v>
      </x:c>
      <x:c r="J569" s="22" t="n">
        <x:v>0.3052985680885769</x:v>
      </x:c>
      <x:c r="K569" s="22" t="n">
        <x:v>0.0643</x:v>
      </x:c>
      <x:c r="L569" t="n">
        <x:v>21</x:v>
      </x:c>
      <x:c r="M569" t="str">
        <x:v>未成交</x:v>
      </x:c>
      <x:c r="N569" s="20" t="n">
        <x:v>45761</x:v>
      </x:c>
      <x:c r="O569" t="str">
        <x:v>交期</x:v>
      </x:c>
    </x:row>
    <x:row r="570" ht="20" customHeight="1">
      <x:c r="A570" t="str">
        <x:v>Q00569</x:v>
      </x:c>
      <x:c r="B570" s="20" t="n">
        <x:v>45754</x:v>
      </x:c>
      <x:c r="C570" t="str">
        <x:v>AFT-006</x:v>
      </x:c>
      <x:c r="D570" t="str">
        <x:v>S01</x:v>
      </x:c>
      <x:c r="E570" t="str">
        <x:v>AUTO-LG-A</x:v>
      </x:c>
      <x:c r="F570" t="str">
        <x:v>汽車精密零組件</x:v>
      </x:c>
      <x:c r="G570" t="n">
        <x:v>13000</x:v>
      </x:c>
      <x:c r="H570" t="n">
        <x:v>1163.02</x:v>
      </x:c>
      <x:c r="I570" t="n">
        <x:v>866.92</x:v>
      </x:c>
      <x:c r="J570" s="22" t="n">
        <x:v>0.2545957937094805</x:v>
      </x:c>
      <x:c r="K570" s="22" t="n">
        <x:v>0.0204</x:v>
      </x:c>
      <x:c r="L570" t="n">
        <x:v>15</x:v>
      </x:c>
      <x:c r="M570" t="str">
        <x:v>成交</x:v>
      </x:c>
      <x:c r="N570" s="20" t="n">
        <x:v>45757</x:v>
      </x:c>
      <x:c r="O570"/>
    </x:row>
    <x:row r="571" ht="20" customHeight="1">
      <x:c r="A571" t="str">
        <x:v>Q00570</x:v>
      </x:c>
      <x:c r="B571" s="20" t="n">
        <x:v>45766</x:v>
      </x:c>
      <x:c r="C571" t="str">
        <x:v>EMS-004</x:v>
      </x:c>
      <x:c r="D571" t="str">
        <x:v>S03</x:v>
      </x:c>
      <x:c r="E571" t="str">
        <x:v>AUTO-LG-A</x:v>
      </x:c>
      <x:c r="F571" t="str">
        <x:v>汽車精密零組件</x:v>
      </x:c>
      <x:c r="G571" t="n">
        <x:v>13000</x:v>
      </x:c>
      <x:c r="H571" t="n">
        <x:v>1164.88</x:v>
      </x:c>
      <x:c r="I571" t="n">
        <x:v>861.06</x:v>
      </x:c>
      <x:c r="J571" s="22" t="n">
        <x:v>0.260816564796374</x:v>
      </x:c>
      <x:c r="K571" s="22" t="n">
        <x:v>0.0314</x:v>
      </x:c>
      <x:c r="L571" t="n">
        <x:v>17</x:v>
      </x:c>
      <x:c r="M571" t="str">
        <x:v>成交</x:v>
      </x:c>
      <x:c r="N571" s="20" t="n">
        <x:v>45773</x:v>
      </x:c>
      <x:c r="O571"/>
    </x:row>
    <x:row r="572" ht="20" customHeight="1">
      <x:c r="A572" t="str">
        <x:v>Q00571</x:v>
      </x:c>
      <x:c r="B572" s="20" t="n">
        <x:v>45756</x:v>
      </x:c>
      <x:c r="C572" t="str">
        <x:v>IAT-001</x:v>
      </x:c>
      <x:c r="D572" t="str">
        <x:v>S05</x:v>
      </x:c>
      <x:c r="E572" t="str">
        <x:v>AUTO-BS-B</x:v>
      </x:c>
      <x:c r="F572" t="str">
        <x:v>汽車精密零組件</x:v>
      </x:c>
      <x:c r="G572" t="n">
        <x:v>3000</x:v>
      </x:c>
      <x:c r="H572" t="n">
        <x:v>908.23</x:v>
      </x:c>
      <x:c r="I572" t="n">
        <x:v>675.56</x:v>
      </x:c>
      <x:c r="J572" s="22" t="n">
        <x:v>0.25617960208317286</x:v>
      </x:c>
      <x:c r="K572" s="22" t="n">
        <x:v>0.0633</x:v>
      </x:c>
      <x:c r="L572" t="n">
        <x:v>12</x:v>
      </x:c>
      <x:c r="M572" t="str">
        <x:v>未成交</x:v>
      </x:c>
      <x:c r="N572" s="20" t="n">
        <x:v>45759</x:v>
      </x:c>
      <x:c r="O572" t="str">
        <x:v>競品</x:v>
      </x:c>
    </x:row>
    <x:row r="573" ht="20" customHeight="1">
      <x:c r="A573" t="str">
        <x:v>Q00572</x:v>
      </x:c>
      <x:c r="B573" s="20" t="n">
        <x:v>45767</x:v>
      </x:c>
      <x:c r="C573" t="str">
        <x:v>EMS-005</x:v>
      </x:c>
      <x:c r="D573" t="str">
        <x:v>S01</x:v>
      </x:c>
      <x:c r="E573" t="str">
        <x:v>MECH-CON-A</x:v>
      </x:c>
      <x:c r="F573" t="str">
        <x:v>機電／自動化模組</x:v>
      </x:c>
      <x:c r="G573" t="n">
        <x:v>40</x:v>
      </x:c>
      <x:c r="H573" t="n">
        <x:v>110357.22</x:v>
      </x:c>
      <x:c r="I573" t="n">
        <x:v>85174.08</x:v>
      </x:c>
      <x:c r="J573" s="22" t="n">
        <x:v>0.2281965783480229</x:v>
      </x:c>
      <x:c r="K573" s="22" t="n">
        <x:v>0.0783</x:v>
      </x:c>
      <x:c r="L573" t="n">
        <x:v>39</x:v>
      </x:c>
      <x:c r="M573" t="str">
        <x:v>未成交</x:v>
      </x:c>
      <x:c r="N573" s="20" t="n">
        <x:v>45779</x:v>
      </x:c>
      <x:c r="O573" t="str">
        <x:v>競品</x:v>
      </x:c>
    </x:row>
    <x:row r="574" ht="20" customHeight="1">
      <x:c r="A574" t="str">
        <x:v>Q00573</x:v>
      </x:c>
      <x:c r="B574" s="20" t="n">
        <x:v>45772</x:v>
      </x:c>
      <x:c r="C574" t="str">
        <x:v>IAT-008</x:v>
      </x:c>
      <x:c r="D574" t="str">
        <x:v>S01</x:v>
      </x:c>
      <x:c r="E574" t="str">
        <x:v>AUTO-KN-A</x:v>
      </x:c>
      <x:c r="F574" t="str">
        <x:v>汽車精密零組件</x:v>
      </x:c>
      <x:c r="G574" t="n">
        <x:v>5000</x:v>
      </x:c>
      <x:c r="H574" t="n">
        <x:v>3068.04</x:v>
      </x:c>
      <x:c r="I574" t="n">
        <x:v>2225.73</x:v>
      </x:c>
      <x:c r="J574" s="22" t="n">
        <x:v>0.27454335667070834</x:v>
      </x:c>
      <x:c r="K574" s="22" t="n">
        <x:v>0.0785</x:v>
      </x:c>
      <x:c r="L574" t="n">
        <x:v>18</x:v>
      </x:c>
      <x:c r="M574" t="str">
        <x:v>成交</x:v>
      </x:c>
      <x:c r="N574" s="20" t="n">
        <x:v>45780</x:v>
      </x:c>
      <x:c r="O574"/>
    </x:row>
    <x:row r="575" ht="20" customHeight="1">
      <x:c r="A575" t="str">
        <x:v>Q00574</x:v>
      </x:c>
      <x:c r="B575" s="20" t="n">
        <x:v>45776</x:v>
      </x:c>
      <x:c r="C575" t="str">
        <x:v>IAT-007</x:v>
      </x:c>
      <x:c r="D575" t="str">
        <x:v>S04</x:v>
      </x:c>
      <x:c r="E575" t="str">
        <x:v>SEMI-CHB-B</x:v>
      </x:c>
      <x:c r="F575" t="str">
        <x:v>半導體設備零組件</x:v>
      </x:c>
      <x:c r="G575" t="n">
        <x:v>120</x:v>
      </x:c>
      <x:c r="H575" t="n">
        <x:v>140543.88</x:v>
      </x:c>
      <x:c r="I575" t="n">
        <x:v>112056.11</x:v>
      </x:c>
      <x:c r="J575" s="22" t="n">
        <x:v>0.20269662400098817</x:v>
      </x:c>
      <x:c r="K575" s="22" t="n">
        <x:v>0.0422</x:v>
      </x:c>
      <x:c r="L575" t="n">
        <x:v>57</x:v>
      </x:c>
      <x:c r="M575" t="str">
        <x:v>未成交</x:v>
      </x:c>
      <x:c r="N575" s="20" t="n">
        <x:v>45780</x:v>
      </x:c>
      <x:c r="O575" t="str">
        <x:v>競品</x:v>
      </x:c>
    </x:row>
    <x:row r="576" ht="20" customHeight="1">
      <x:c r="A576" t="str">
        <x:v>Q00575</x:v>
      </x:c>
      <x:c r="B576" s="20" t="n">
        <x:v>45760</x:v>
      </x:c>
      <x:c r="C576" t="str">
        <x:v>AUT-002</x:v>
      </x:c>
      <x:c r="D576" t="str">
        <x:v>S04</x:v>
      </x:c>
      <x:c r="E576" t="str">
        <x:v>AUTO-MH-B</x:v>
      </x:c>
      <x:c r="F576" t="str">
        <x:v>汽車精密零組件</x:v>
      </x:c>
      <x:c r="G576" t="n">
        <x:v>13000</x:v>
      </x:c>
      <x:c r="H576" t="n">
        <x:v>2870.24</x:v>
      </x:c>
      <x:c r="I576" t="n">
        <x:v>2310.59</x:v>
      </x:c>
      <x:c r="J576" s="22" t="n">
        <x:v>0.1949836947432966</x:v>
      </x:c>
      <x:c r="K576" s="22" t="n">
        <x:v>0.0946</x:v>
      </x:c>
      <x:c r="L576" t="n">
        <x:v>18</x:v>
      </x:c>
      <x:c r="M576" t="str">
        <x:v>未成交</x:v>
      </x:c>
      <x:c r="N576" s="20" t="n">
        <x:v>45772</x:v>
      </x:c>
      <x:c r="O576" t="str">
        <x:v>競品</x:v>
      </x:c>
    </x:row>
    <x:row r="577" ht="20" customHeight="1">
      <x:c r="A577" t="str">
        <x:v>Q00576</x:v>
      </x:c>
      <x:c r="B577" s="20" t="n">
        <x:v>45772</x:v>
      </x:c>
      <x:c r="C577" t="str">
        <x:v>AUT-003</x:v>
      </x:c>
      <x:c r="D577" t="str">
        <x:v>S03</x:v>
      </x:c>
      <x:c r="E577" t="str">
        <x:v>AUTO-BS-B</x:v>
      </x:c>
      <x:c r="F577" t="str">
        <x:v>汽車精密零組件</x:v>
      </x:c>
      <x:c r="G577" t="n">
        <x:v>7000</x:v>
      </x:c>
      <x:c r="H577" t="n">
        <x:v>950.88</x:v>
      </x:c>
      <x:c r="I577" t="n">
        <x:v>652.05</x:v>
      </x:c>
      <x:c r="J577" s="22" t="n">
        <x:v>0.3142667844522969</x:v>
      </x:c>
      <x:c r="K577" s="22" t="n">
        <x:v>0.0225</x:v>
      </x:c>
      <x:c r="L577" t="n">
        <x:v>13</x:v>
      </x:c>
      <x:c r="M577" t="str">
        <x:v>成交</x:v>
      </x:c>
      <x:c r="N577" s="20" t="n">
        <x:v>45781</x:v>
      </x:c>
      <x:c r="O577"/>
    </x:row>
    <x:row r="578" ht="20" customHeight="1">
      <x:c r="A578" t="str">
        <x:v>Q00577</x:v>
      </x:c>
      <x:c r="B578" s="20" t="n">
        <x:v>45760</x:v>
      </x:c>
      <x:c r="C578" t="str">
        <x:v>SEM-004</x:v>
      </x:c>
      <x:c r="D578" t="str">
        <x:v>S02</x:v>
      </x:c>
      <x:c r="E578" t="str">
        <x:v>MECH-CON-A</x:v>
      </x:c>
      <x:c r="F578" t="str">
        <x:v>機電／自動化模組</x:v>
      </x:c>
      <x:c r="G578" t="n">
        <x:v>10</x:v>
      </x:c>
      <x:c r="H578" t="n">
        <x:v>102392.37</x:v>
      </x:c>
      <x:c r="I578" t="n">
        <x:v>80782.25</x:v>
      </x:c>
      <x:c r="J578" s="22" t="n">
        <x:v>0.21105205397628746</x:v>
      </x:c>
      <x:c r="K578" s="22" t="n">
        <x:v>0.1348</x:v>
      </x:c>
      <x:c r="L578" t="n">
        <x:v>28</x:v>
      </x:c>
      <x:c r="M578" t="str">
        <x:v>未成交</x:v>
      </x:c>
      <x:c r="N578" s="20" t="n">
        <x:v>45767</x:v>
      </x:c>
      <x:c r="O578" t="str">
        <x:v>競品</x:v>
      </x:c>
    </x:row>
    <x:row r="579" ht="20" customHeight="1">
      <x:c r="A579" t="str">
        <x:v>Q00578</x:v>
      </x:c>
      <x:c r="B579" s="20" t="n">
        <x:v>45749</x:v>
      </x:c>
      <x:c r="C579" t="str">
        <x:v>IAT-009</x:v>
      </x:c>
      <x:c r="D579" t="str">
        <x:v>S04</x:v>
      </x:c>
      <x:c r="E579" t="str">
        <x:v>MECH-STG-A</x:v>
      </x:c>
      <x:c r="F579" t="str">
        <x:v>機電／自動化模組</x:v>
      </x:c>
      <x:c r="G579" t="n">
        <x:v>20</x:v>
      </x:c>
      <x:c r="H579" t="n">
        <x:v>133506.95</x:v>
      </x:c>
      <x:c r="I579" t="n">
        <x:v>103420.22</x:v>
      </x:c>
      <x:c r="J579" s="22" t="n">
        <x:v>0.22535703197473994</x:v>
      </x:c>
      <x:c r="K579" s="22" t="n">
        <x:v>0.073</x:v>
      </x:c>
      <x:c r="L579" t="n">
        <x:v>40</x:v>
      </x:c>
      <x:c r="M579" t="str">
        <x:v>未成交</x:v>
      </x:c>
      <x:c r="N579" s="20" t="n">
        <x:v>45760</x:v>
      </x:c>
      <x:c r="O579" t="str">
        <x:v>專案取消</x:v>
      </x:c>
    </x:row>
    <x:row r="580" ht="20" customHeight="1">
      <x:c r="A580" t="str">
        <x:v>Q00579</x:v>
      </x:c>
      <x:c r="B580" s="20" t="n">
        <x:v>45766</x:v>
      </x:c>
      <x:c r="C580" t="str">
        <x:v>IAT-005</x:v>
      </x:c>
      <x:c r="D580" t="str">
        <x:v>S02</x:v>
      </x:c>
      <x:c r="E580" t="str">
        <x:v>AUTO-FL-A</x:v>
      </x:c>
      <x:c r="F580" t="str">
        <x:v>汽車精密零組件</x:v>
      </x:c>
      <x:c r="G580" t="n">
        <x:v>13000</x:v>
      </x:c>
      <x:c r="H580" t="n">
        <x:v>1315.09</x:v>
      </x:c>
      <x:c r="I580" t="n">
        <x:v>944.49</x:v>
      </x:c>
      <x:c r="J580" s="22" t="n">
        <x:v>0.2818058079675155</x:v>
      </x:c>
      <x:c r="K580" s="22" t="n">
        <x:v>0.045</x:v>
      </x:c>
      <x:c r="L580" t="n">
        <x:v>12</x:v>
      </x:c>
      <x:c r="M580" t="str">
        <x:v>未成交</x:v>
      </x:c>
      <x:c r="N580" s="20" t="n">
        <x:v>45774</x:v>
      </x:c>
      <x:c r="O580" t="str">
        <x:v>競品</x:v>
      </x:c>
    </x:row>
    <x:row r="581" ht="20" customHeight="1">
      <x:c r="A581" t="str">
        <x:v>Q00580</x:v>
      </x:c>
      <x:c r="B581" s="20" t="n">
        <x:v>45774</x:v>
      </x:c>
      <x:c r="C581" t="str">
        <x:v>EMS-005</x:v>
      </x:c>
      <x:c r="D581" t="str">
        <x:v>S01</x:v>
      </x:c>
      <x:c r="E581" t="str">
        <x:v>AUTO-LG-B</x:v>
      </x:c>
      <x:c r="F581" t="str">
        <x:v>汽車精密零組件</x:v>
      </x:c>
      <x:c r="G581" t="n">
        <x:v>7000</x:v>
      </x:c>
      <x:c r="H581" t="n">
        <x:v>1226.42</x:v>
      </x:c>
      <x:c r="I581" t="n">
        <x:v>961.18</x:v>
      </x:c>
      <x:c r="J581" s="22" t="n">
        <x:v>0.21627175029761428</x:v>
      </x:c>
      <x:c r="K581" s="22" t="n">
        <x:v>0.0627</x:v>
      </x:c>
      <x:c r="L581" t="n">
        <x:v>14</x:v>
      </x:c>
      <x:c r="M581" t="str">
        <x:v>成交</x:v>
      </x:c>
      <x:c r="N581" s="20" t="n">
        <x:v>45781</x:v>
      </x:c>
      <x:c r="O581"/>
    </x:row>
    <x:row r="582" ht="20" customHeight="1">
      <x:c r="A582" t="str">
        <x:v>Q00581</x:v>
      </x:c>
      <x:c r="B582" s="20" t="n">
        <x:v>45769</x:v>
      </x:c>
      <x:c r="C582" t="str">
        <x:v>EMS-008</x:v>
      </x:c>
      <x:c r="D582" t="str">
        <x:v>S02</x:v>
      </x:c>
      <x:c r="E582" t="str">
        <x:v>PM-BRG-B</x:v>
      </x:c>
      <x:c r="F582" t="str">
        <x:v>精密金屬加工件</x:v>
      </x:c>
      <x:c r="G582" t="n">
        <x:v>1600</x:v>
      </x:c>
      <x:c r="H582" t="n">
        <x:v>8206.5</x:v>
      </x:c>
      <x:c r="I582" t="n">
        <x:v>5600.32</x:v>
      </x:c>
      <x:c r="J582" s="22" t="n">
        <x:v>0.3175750929141534</x:v>
      </x:c>
      <x:c r="K582" s="22" t="n">
        <x:v>0.0174</x:v>
      </x:c>
      <x:c r="L582" t="n">
        <x:v>24</x:v>
      </x:c>
      <x:c r="M582" t="str">
        <x:v>成交</x:v>
      </x:c>
      <x:c r="N582" s="20" t="n">
        <x:v>45777</x:v>
      </x:c>
      <x:c r="O582"/>
    </x:row>
    <x:row r="583" ht="20" customHeight="1">
      <x:c r="A583" t="str">
        <x:v>Q00582</x:v>
      </x:c>
      <x:c r="B583" s="20" t="n">
        <x:v>45762</x:v>
      </x:c>
      <x:c r="C583" t="str">
        <x:v>IAT-008</x:v>
      </x:c>
      <x:c r="D583" t="str">
        <x:v>S01</x:v>
      </x:c>
      <x:c r="E583" t="str">
        <x:v>PM-BRG-A</x:v>
      </x:c>
      <x:c r="F583" t="str">
        <x:v>精密金屬加工件</x:v>
      </x:c>
      <x:c r="G583" t="n">
        <x:v>800</x:v>
      </x:c>
      <x:c r="H583" t="n">
        <x:v>6200.89</x:v>
      </x:c>
      <x:c r="I583" t="n">
        <x:v>4490.87</x:v>
      </x:c>
      <x:c r="J583" s="22" t="n">
        <x:v>0.2757700910675726</x:v>
      </x:c>
      <x:c r="K583" s="22" t="n">
        <x:v>0.15</x:v>
      </x:c>
      <x:c r="L583" t="n">
        <x:v>16</x:v>
      </x:c>
      <x:c r="M583" t="str">
        <x:v>未成交</x:v>
      </x:c>
      <x:c r="N583" s="20" t="n">
        <x:v>45770</x:v>
      </x:c>
      <x:c r="O583" t="str">
        <x:v>規格</x:v>
      </x:c>
    </x:row>
    <x:row r="584" ht="20" customHeight="1">
      <x:c r="A584" t="str">
        <x:v>Q00583</x:v>
      </x:c>
      <x:c r="B584" s="20" t="n">
        <x:v>45761</x:v>
      </x:c>
      <x:c r="C584" t="str">
        <x:v>EMS-008</x:v>
      </x:c>
      <x:c r="D584" t="str">
        <x:v>S02</x:v>
      </x:c>
      <x:c r="E584" t="str">
        <x:v>AUTO-KN-A</x:v>
      </x:c>
      <x:c r="F584" t="str">
        <x:v>汽車精密零組件</x:v>
      </x:c>
      <x:c r="G584" t="n">
        <x:v>3000</x:v>
      </x:c>
      <x:c r="H584" t="n">
        <x:v>3288.43</x:v>
      </x:c>
      <x:c r="I584" t="n">
        <x:v>2168.15</x:v>
      </x:c>
      <x:c r="J584" s="22" t="n">
        <x:v>0.34067320879568663</x:v>
      </x:c>
      <x:c r="K584" s="22" t="n">
        <x:v>0.0212</x:v>
      </x:c>
      <x:c r="L584" t="n">
        <x:v>24</x:v>
      </x:c>
      <x:c r="M584" t="str">
        <x:v>未成交</x:v>
      </x:c>
      <x:c r="N584" s="20" t="n">
        <x:v>45765</x:v>
      </x:c>
      <x:c r="O584" t="str">
        <x:v>競品</x:v>
      </x:c>
    </x:row>
    <x:row r="585" ht="20" customHeight="1">
      <x:c r="A585" t="str">
        <x:v>Q00584</x:v>
      </x:c>
      <x:c r="B585" s="20" t="n">
        <x:v>45758</x:v>
      </x:c>
      <x:c r="C585" t="str">
        <x:v>EMS-004</x:v>
      </x:c>
      <x:c r="D585" t="str">
        <x:v>S03</x:v>
      </x:c>
      <x:c r="E585" t="str">
        <x:v>AUTO-LG-B</x:v>
      </x:c>
      <x:c r="F585" t="str">
        <x:v>汽車精密零組件</x:v>
      </x:c>
      <x:c r="G585" t="n">
        <x:v>10000</x:v>
      </x:c>
      <x:c r="H585" t="n">
        <x:v>1227.1</x:v>
      </x:c>
      <x:c r="I585" t="n">
        <x:v>951.07</x:v>
      </x:c>
      <x:c r="J585" s="22" t="n">
        <x:v>0.22494499225816958</x:v>
      </x:c>
      <x:c r="K585" s="22" t="n">
        <x:v>0.0619</x:v>
      </x:c>
      <x:c r="L585" t="n">
        <x:v>16</x:v>
      </x:c>
      <x:c r="M585" t="str">
        <x:v>成交</x:v>
      </x:c>
      <x:c r="N585" s="20" t="n">
        <x:v>45766</x:v>
      </x:c>
      <x:c r="O585"/>
    </x:row>
    <x:row r="586" ht="20" customHeight="1">
      <x:c r="A586" t="str">
        <x:v>Q00585</x:v>
      </x:c>
      <x:c r="B586" s="20" t="n">
        <x:v>45770</x:v>
      </x:c>
      <x:c r="C586" t="str">
        <x:v>EMS-005</x:v>
      </x:c>
      <x:c r="D586" t="str">
        <x:v>S01</x:v>
      </x:c>
      <x:c r="E586" t="str">
        <x:v>SEMI-WH-A</x:v>
      </x:c>
      <x:c r="F586" t="str">
        <x:v>半導體設備零組件</x:v>
      </x:c>
      <x:c r="G586" t="n">
        <x:v>160</x:v>
      </x:c>
      <x:c r="H586" t="n">
        <x:v>120019.4</x:v>
      </x:c>
      <x:c r="I586" t="n">
        <x:v>89254.86</x:v>
      </x:c>
      <x:c r="J586" s="22" t="n">
        <x:v>0.2563297266941844</x:v>
      </x:c>
      <x:c r="K586" s="22" t="n">
        <x:v>0.01</x:v>
      </x:c>
      <x:c r="L586" t="n">
        <x:v>45</x:v>
      </x:c>
      <x:c r="M586" t="str">
        <x:v>成交</x:v>
      </x:c>
      <x:c r="N586" s="20" t="n">
        <x:v>45781</x:v>
      </x:c>
      <x:c r="O586"/>
    </x:row>
    <x:row r="587" ht="20" customHeight="1">
      <x:c r="A587" t="str">
        <x:v>Q00586</x:v>
      </x:c>
      <x:c r="B587" s="20" t="n">
        <x:v>45764</x:v>
      </x:c>
      <x:c r="C587" t="str">
        <x:v>AFT-003</x:v>
      </x:c>
      <x:c r="D587" t="str">
        <x:v>S01</x:v>
      </x:c>
      <x:c r="E587" t="str">
        <x:v>AUTO-BS-A</x:v>
      </x:c>
      <x:c r="F587" t="str">
        <x:v>汽車精密零組件</x:v>
      </x:c>
      <x:c r="G587" t="n">
        <x:v>10000</x:v>
      </x:c>
      <x:c r="H587" t="n">
        <x:v>783.97</x:v>
      </x:c>
      <x:c r="I587" t="n">
        <x:v>568.86</x:v>
      </x:c>
      <x:c r="J587" s="22" t="n">
        <x:v>0.27438549944513185</x:v>
      </x:c>
      <x:c r="K587" s="22" t="n">
        <x:v>0.0486</x:v>
      </x:c>
      <x:c r="L587" t="n">
        <x:v>14</x:v>
      </x:c>
      <x:c r="M587" t="str">
        <x:v>成交</x:v>
      </x:c>
      <x:c r="N587" s="20" t="n">
        <x:v>45775</x:v>
      </x:c>
      <x:c r="O587"/>
    </x:row>
    <x:row r="588" ht="20" customHeight="1">
      <x:c r="A588" t="str">
        <x:v>Q00587</x:v>
      </x:c>
      <x:c r="B588" s="20" t="n">
        <x:v>45750</x:v>
      </x:c>
      <x:c r="C588" t="str">
        <x:v>IAT-006</x:v>
      </x:c>
      <x:c r="D588" t="str">
        <x:v>S01</x:v>
      </x:c>
      <x:c r="E588" t="str">
        <x:v>AUTO-KN-B</x:v>
      </x:c>
      <x:c r="F588" t="str">
        <x:v>汽車精密零組件</x:v>
      </x:c>
      <x:c r="G588" t="n">
        <x:v>3000</x:v>
      </x:c>
      <x:c r="H588" t="n">
        <x:v>3770.23</x:v>
      </x:c>
      <x:c r="I588" t="n">
        <x:v>2557.55</x:v>
      </x:c>
      <x:c r="J588" s="22" t="n">
        <x:v>0.32164615951811953</x:v>
      </x:c>
      <x:c r="K588" s="22" t="n">
        <x:v>0.061</x:v>
      </x:c>
      <x:c r="L588" t="n">
        <x:v>20</x:v>
      </x:c>
      <x:c r="M588" t="str">
        <x:v>成交</x:v>
      </x:c>
      <x:c r="N588" s="20" t="n">
        <x:v>45761</x:v>
      </x:c>
      <x:c r="O588"/>
    </x:row>
    <x:row r="589" ht="20" customHeight="1">
      <x:c r="A589" t="str">
        <x:v>Q00588</x:v>
      </x:c>
      <x:c r="B589" s="20" t="n">
        <x:v>45776</x:v>
      </x:c>
      <x:c r="C589" t="str">
        <x:v>EMS-006</x:v>
      </x:c>
      <x:c r="D589" t="str">
        <x:v>S03</x:v>
      </x:c>
      <x:c r="E589" t="str">
        <x:v>AUTO-BS-B</x:v>
      </x:c>
      <x:c r="F589" t="str">
        <x:v>汽車精密零組件</x:v>
      </x:c>
      <x:c r="G589" t="n">
        <x:v>7000</x:v>
      </x:c>
      <x:c r="H589" t="n">
        <x:v>922.86</x:v>
      </x:c>
      <x:c r="I589" t="n">
        <x:v>675.16</x:v>
      </x:c>
      <x:c r="J589" s="22" t="n">
        <x:v>0.2684047417809852</x:v>
      </x:c>
      <x:c r="K589" s="22" t="n">
        <x:v>0.0275</x:v>
      </x:c>
      <x:c r="L589" t="n">
        <x:v>18</x:v>
      </x:c>
      <x:c r="M589" t="str">
        <x:v>成交</x:v>
      </x:c>
      <x:c r="N589" s="20" t="n">
        <x:v>45787</x:v>
      </x:c>
      <x:c r="O589"/>
    </x:row>
    <x:row r="590" ht="20" customHeight="1">
      <x:c r="A590" t="str">
        <x:v>Q00589</x:v>
      </x:c>
      <x:c r="B590" s="20" t="n">
        <x:v>45757</x:v>
      </x:c>
      <x:c r="C590" t="str">
        <x:v>EMS-001</x:v>
      </x:c>
      <x:c r="D590" t="str">
        <x:v>S02</x:v>
      </x:c>
      <x:c r="E590" t="str">
        <x:v>AUTO-BS-B</x:v>
      </x:c>
      <x:c r="F590" t="str">
        <x:v>汽車精密零組件</x:v>
      </x:c>
      <x:c r="G590" t="n">
        <x:v>5000</x:v>
      </x:c>
      <x:c r="H590" t="n">
        <x:v>912.45</x:v>
      </x:c>
      <x:c r="I590" t="n">
        <x:v>667.7</x:v>
      </x:c>
      <x:c r="J590" s="22" t="n">
        <x:v>0.26823387582881253</x:v>
      </x:c>
      <x:c r="K590" s="22" t="n">
        <x:v>0.0604</x:v>
      </x:c>
      <x:c r="L590" t="n">
        <x:v>13</x:v>
      </x:c>
      <x:c r="M590" t="str">
        <x:v>成交</x:v>
      </x:c>
      <x:c r="N590" s="20" t="n">
        <x:v>45760</x:v>
      </x:c>
      <x:c r="O590"/>
    </x:row>
    <x:row r="591" ht="20" customHeight="1">
      <x:c r="A591" t="str">
        <x:v>Q00590</x:v>
      </x:c>
      <x:c r="B591" s="20" t="n">
        <x:v>45767</x:v>
      </x:c>
      <x:c r="C591" t="str">
        <x:v>IAT-010</x:v>
      </x:c>
      <x:c r="D591" t="str">
        <x:v>S04</x:v>
      </x:c>
      <x:c r="E591" t="str">
        <x:v>MECH-CON-A</x:v>
      </x:c>
      <x:c r="F591" t="str">
        <x:v>機電／自動化模組</x:v>
      </x:c>
      <x:c r="G591" t="n">
        <x:v>50</x:v>
      </x:c>
      <x:c r="H591" t="n">
        <x:v>112230.4</x:v>
      </x:c>
      <x:c r="I591" t="n">
        <x:v>85914.24</x:v>
      </x:c>
      <x:c r="J591" s="22" t="n">
        <x:v>0.2344833485401459</x:v>
      </x:c>
      <x:c r="K591" s="22" t="n">
        <x:v>0.0578</x:v>
      </x:c>
      <x:c r="L591" t="n">
        <x:v>37</x:v>
      </x:c>
      <x:c r="M591" t="str">
        <x:v>未成交</x:v>
      </x:c>
      <x:c r="N591" s="20" t="n">
        <x:v>45774</x:v>
      </x:c>
      <x:c r="O591" t="str">
        <x:v>專案取消</x:v>
      </x:c>
    </x:row>
    <x:row r="592" ht="20" customHeight="1">
      <x:c r="A592" t="str">
        <x:v>Q00591</x:v>
      </x:c>
      <x:c r="B592" s="20" t="n">
        <x:v>45753</x:v>
      </x:c>
      <x:c r="C592" t="str">
        <x:v>IAT-005</x:v>
      </x:c>
      <x:c r="D592" t="str">
        <x:v>S02</x:v>
      </x:c>
      <x:c r="E592" t="str">
        <x:v>AUTO-LG-A</x:v>
      </x:c>
      <x:c r="F592" t="str">
        <x:v>汽車精密零組件</x:v>
      </x:c>
      <x:c r="G592" t="n">
        <x:v>5000</x:v>
      </x:c>
      <x:c r="H592" t="n">
        <x:v>1109.83</x:v>
      </x:c>
      <x:c r="I592" t="n">
        <x:v>855.42</x:v>
      </x:c>
      <x:c r="J592" s="22" t="n">
        <x:v>0.2292333060018201</x:v>
      </x:c>
      <x:c r="K592" s="22" t="n">
        <x:v>0.0641</x:v>
      </x:c>
      <x:c r="L592" t="n">
        <x:v>18</x:v>
      </x:c>
      <x:c r="M592" t="str">
        <x:v>成交</x:v>
      </x:c>
      <x:c r="N592" s="20" t="n">
        <x:v>45757</x:v>
      </x:c>
      <x:c r="O592"/>
    </x:row>
    <x:row r="593" ht="20" customHeight="1">
      <x:c r="A593" t="str">
        <x:v>Q00592</x:v>
      </x:c>
      <x:c r="B593" s="20" t="n">
        <x:v>45763</x:v>
      </x:c>
      <x:c r="C593" t="str">
        <x:v>AUT-001</x:v>
      </x:c>
      <x:c r="D593" t="str">
        <x:v>S01</x:v>
      </x:c>
      <x:c r="E593" t="str">
        <x:v>PM-SUS-A</x:v>
      </x:c>
      <x:c r="F593" t="str">
        <x:v>精密金屬加工件</x:v>
      </x:c>
      <x:c r="G593" t="n">
        <x:v>800</x:v>
      </x:c>
      <x:c r="H593" t="n">
        <x:v>10600.76</x:v>
      </x:c>
      <x:c r="I593" t="n">
        <x:v>7416.53</x:v>
      </x:c>
      <x:c r="J593" s="22" t="n">
        <x:v>0.3003775201023323</x:v>
      </x:c>
      <x:c r="K593" s="22" t="n">
        <x:v>0.0439</x:v>
      </x:c>
      <x:c r="L593" t="n">
        <x:v>19</x:v>
      </x:c>
      <x:c r="M593" t="str">
        <x:v>成交</x:v>
      </x:c>
      <x:c r="N593" s="20" t="n">
        <x:v>45767</x:v>
      </x:c>
      <x:c r="O593"/>
    </x:row>
    <x:row r="594" ht="20" customHeight="1">
      <x:c r="A594" t="str">
        <x:v>Q00593</x:v>
      </x:c>
      <x:c r="B594" s="20" t="n">
        <x:v>45762</x:v>
      </x:c>
      <x:c r="C594" t="str">
        <x:v>AUT-002</x:v>
      </x:c>
      <x:c r="D594" t="str">
        <x:v>S04</x:v>
      </x:c>
      <x:c r="E594" t="str">
        <x:v>AUTO-BRK-A</x:v>
      </x:c>
      <x:c r="F594" t="str">
        <x:v>汽車精密零組件</x:v>
      </x:c>
      <x:c r="G594" t="n">
        <x:v>5000</x:v>
      </x:c>
      <x:c r="H594" t="n">
        <x:v>1770.14</x:v>
      </x:c>
      <x:c r="I594" t="n">
        <x:v>1379.26</x:v>
      </x:c>
      <x:c r="J594" s="22" t="n">
        <x:v>0.22081869230682324</x:v>
      </x:c>
      <x:c r="K594" s="22" t="n">
        <x:v>0.0604</x:v>
      </x:c>
      <x:c r="L594" t="n">
        <x:v>15</x:v>
      </x:c>
      <x:c r="M594" t="str">
        <x:v>未成交</x:v>
      </x:c>
      <x:c r="N594" s="20" t="n">
        <x:v>45768</x:v>
      </x:c>
      <x:c r="O594" t="str">
        <x:v>專案取消</x:v>
      </x:c>
    </x:row>
    <x:row r="595" ht="20" customHeight="1">
      <x:c r="A595" t="str">
        <x:v>Q00594</x:v>
      </x:c>
      <x:c r="B595" s="20" t="n">
        <x:v>45752</x:v>
      </x:c>
      <x:c r="C595" t="str">
        <x:v>EMS-008</x:v>
      </x:c>
      <x:c r="D595" t="str">
        <x:v>S02</x:v>
      </x:c>
      <x:c r="E595" t="str">
        <x:v>SEMI-CHB-B</x:v>
      </x:c>
      <x:c r="F595" t="str">
        <x:v>半導體設備零組件</x:v>
      </x:c>
      <x:c r="G595" t="n">
        <x:v>40</x:v>
      </x:c>
      <x:c r="H595" t="n">
        <x:v>135927.7</x:v>
      </x:c>
      <x:c r="I595" t="n">
        <x:v>111407.27</x:v>
      </x:c>
      <x:c r="J595" s="22" t="n">
        <x:v>0.1803931796094542</x:v>
      </x:c>
      <x:c r="K595" s="22" t="n">
        <x:v>0.0771</x:v>
      </x:c>
      <x:c r="L595" t="n">
        <x:v>61</x:v>
      </x:c>
      <x:c r="M595" t="str">
        <x:v>成交</x:v>
      </x:c>
      <x:c r="N595" s="20" t="n">
        <x:v>45760</x:v>
      </x:c>
      <x:c r="O595"/>
    </x:row>
    <x:row r="596" ht="20" customHeight="1">
      <x:c r="A596" t="str">
        <x:v>Q00595</x:v>
      </x:c>
      <x:c r="B596" s="20" t="n">
        <x:v>45792</x:v>
      </x:c>
      <x:c r="C596" t="str">
        <x:v>IAT-001</x:v>
      </x:c>
      <x:c r="D596" t="str">
        <x:v>S05</x:v>
      </x:c>
      <x:c r="E596" t="str">
        <x:v>MECH-CON-A</x:v>
      </x:c>
      <x:c r="F596" t="str">
        <x:v>機電／自動化模組</x:v>
      </x:c>
      <x:c r="G596" t="n">
        <x:v>20</x:v>
      </x:c>
      <x:c r="H596" t="n">
        <x:v>110938.5</x:v>
      </x:c>
      <x:c r="I596" t="n">
        <x:v>82541.24</x:v>
      </x:c>
      <x:c r="J596" s="22" t="n">
        <x:v>0.2559729940462508</x:v>
      </x:c>
      <x:c r="K596" s="22" t="n">
        <x:v>0.0514</x:v>
      </x:c>
      <x:c r="L596" t="n">
        <x:v>25</x:v>
      </x:c>
      <x:c r="M596" t="str">
        <x:v>成交</x:v>
      </x:c>
      <x:c r="N596" s="20" t="n">
        <x:v>45797</x:v>
      </x:c>
      <x:c r="O596"/>
    </x:row>
    <x:row r="597" ht="20" customHeight="1">
      <x:c r="A597" t="str">
        <x:v>Q00596</x:v>
      </x:c>
      <x:c r="B597" s="20" t="n">
        <x:v>45807</x:v>
      </x:c>
      <x:c r="C597" t="str">
        <x:v>EMS-007</x:v>
      </x:c>
      <x:c r="D597" t="str">
        <x:v>S04</x:v>
      </x:c>
      <x:c r="E597" t="str">
        <x:v>AUTO-MH-A</x:v>
      </x:c>
      <x:c r="F597" t="str">
        <x:v>汽車精密零組件</x:v>
      </x:c>
      <x:c r="G597" t="n">
        <x:v>10000</x:v>
      </x:c>
      <x:c r="H597" t="n">
        <x:v>2563.78</x:v>
      </x:c>
      <x:c r="I597" t="n">
        <x:v>2017.22</x:v>
      </x:c>
      <x:c r="J597" s="22" t="n">
        <x:v>0.21318521870051257</x:v>
      </x:c>
      <x:c r="K597" s="22" t="n">
        <x:v>0.0552</x:v>
      </x:c>
      <x:c r="L597" t="n">
        <x:v>20</x:v>
      </x:c>
      <x:c r="M597" t="str">
        <x:v>未成交</x:v>
      </x:c>
      <x:c r="N597" s="20" t="n">
        <x:v>45812</x:v>
      </x:c>
      <x:c r="O597" t="str">
        <x:v>專案取消</x:v>
      </x:c>
    </x:row>
    <x:row r="598" ht="20" customHeight="1">
      <x:c r="A598" t="str">
        <x:v>Q00597</x:v>
      </x:c>
      <x:c r="B598" s="20" t="n">
        <x:v>45794</x:v>
      </x:c>
      <x:c r="C598" t="str">
        <x:v>AUT-003</x:v>
      </x:c>
      <x:c r="D598" t="str">
        <x:v>S03</x:v>
      </x:c>
      <x:c r="E598" t="str">
        <x:v>AUTO-MH-A</x:v>
      </x:c>
      <x:c r="F598" t="str">
        <x:v>汽車精密零組件</x:v>
      </x:c>
      <x:c r="G598" t="n">
        <x:v>3000</x:v>
      </x:c>
      <x:c r="H598" t="n">
        <x:v>2340.52</x:v>
      </x:c>
      <x:c r="I598" t="n">
        <x:v>1942.8</x:v>
      </x:c>
      <x:c r="J598" s="22" t="n">
        <x:v>0.16992805017688378</x:v>
      </x:c>
      <x:c r="K598" s="22" t="n">
        <x:v>0.1411</x:v>
      </x:c>
      <x:c r="L598" t="n">
        <x:v>23</x:v>
      </x:c>
      <x:c r="M598" t="str">
        <x:v>未成交</x:v>
      </x:c>
      <x:c r="N598" s="20" t="n">
        <x:v>45806</x:v>
      </x:c>
      <x:c r="O598" t="str">
        <x:v>專案取消</x:v>
      </x:c>
    </x:row>
    <x:row r="599" ht="20" customHeight="1">
      <x:c r="A599" t="str">
        <x:v>Q00598</x:v>
      </x:c>
      <x:c r="B599" s="20" t="n">
        <x:v>45782</x:v>
      </x:c>
      <x:c r="C599" t="str">
        <x:v>IAT-004</x:v>
      </x:c>
      <x:c r="D599" t="str">
        <x:v>S05</x:v>
      </x:c>
      <x:c r="E599" t="str">
        <x:v>SEMI-WH-B</x:v>
      </x:c>
      <x:c r="F599" t="str">
        <x:v>半導體設備零組件</x:v>
      </x:c>
      <x:c r="G599" t="n">
        <x:v>120</x:v>
      </x:c>
      <x:c r="H599" t="n">
        <x:v>167154.66</x:v>
      </x:c>
      <x:c r="I599" t="n">
        <x:v>128971.17</x:v>
      </x:c>
      <x:c r="J599" s="22" t="n">
        <x:v>0.22843209994863442</x:v>
      </x:c>
      <x:c r="K599" s="22" t="n">
        <x:v>0.0561</x:v>
      </x:c>
      <x:c r="L599" t="n">
        <x:v>54</x:v>
      </x:c>
      <x:c r="M599" t="str">
        <x:v>成交</x:v>
      </x:c>
      <x:c r="N599" s="20" t="n">
        <x:v>45792</x:v>
      </x:c>
      <x:c r="O599"/>
    </x:row>
    <x:row r="600" ht="20" customHeight="1">
      <x:c r="A600" t="str">
        <x:v>Q00599</x:v>
      </x:c>
      <x:c r="B600" s="20" t="n">
        <x:v>45794</x:v>
      </x:c>
      <x:c r="C600" t="str">
        <x:v>EMS-006</x:v>
      </x:c>
      <x:c r="D600" t="str">
        <x:v>S03</x:v>
      </x:c>
      <x:c r="E600" t="str">
        <x:v>AUTO-FL-A</x:v>
      </x:c>
      <x:c r="F600" t="str">
        <x:v>汽車精密零組件</x:v>
      </x:c>
      <x:c r="G600" t="n">
        <x:v>13000</x:v>
      </x:c>
      <x:c r="H600" t="n">
        <x:v>1258.38</x:v>
      </x:c>
      <x:c r="I600" t="n">
        <x:v>998.61</x:v>
      </x:c>
      <x:c r="J600" s="22" t="n">
        <x:v>0.206432079340104</x:v>
      </x:c>
      <x:c r="K600" s="22" t="n">
        <x:v>0.0802</x:v>
      </x:c>
      <x:c r="L600" t="n">
        <x:v>14</x:v>
      </x:c>
      <x:c r="M600" t="str">
        <x:v>成交</x:v>
      </x:c>
      <x:c r="N600" s="20" t="n">
        <x:v>45804</x:v>
      </x:c>
      <x:c r="O600"/>
    </x:row>
    <x:row r="601" ht="20" customHeight="1">
      <x:c r="A601" t="str">
        <x:v>Q00600</x:v>
      </x:c>
      <x:c r="B601" s="20" t="n">
        <x:v>45780</x:v>
      </x:c>
      <x:c r="C601" t="str">
        <x:v>AUT-013</x:v>
      </x:c>
      <x:c r="D601" t="str">
        <x:v>S01</x:v>
      </x:c>
      <x:c r="E601" t="str">
        <x:v>PM-BRG-B</x:v>
      </x:c>
      <x:c r="F601" t="str">
        <x:v>精密金屬加工件</x:v>
      </x:c>
      <x:c r="G601" t="n">
        <x:v>1600</x:v>
      </x:c>
      <x:c r="H601" t="n">
        <x:v>7865.63</x:v>
      </x:c>
      <x:c r="I601" t="n">
        <x:v>5594.39</x:v>
      </x:c>
      <x:c r="J601" s="22" t="n">
        <x:v>0.28875500118871594</x:v>
      </x:c>
      <x:c r="K601" s="22" t="n">
        <x:v>0.0666</x:v>
      </x:c>
      <x:c r="L601" t="n">
        <x:v>17</x:v>
      </x:c>
      <x:c r="M601" t="str">
        <x:v>成交</x:v>
      </x:c>
      <x:c r="N601" s="20" t="n">
        <x:v>45785</x:v>
      </x:c>
      <x:c r="O601"/>
    </x:row>
    <x:row r="602" ht="20" customHeight="1">
      <x:c r="A602" t="str">
        <x:v>Q00601</x:v>
      </x:c>
      <x:c r="B602" s="20" t="n">
        <x:v>45781</x:v>
      </x:c>
      <x:c r="C602" t="str">
        <x:v>AFT-005</x:v>
      </x:c>
      <x:c r="D602" t="str">
        <x:v>S05</x:v>
      </x:c>
      <x:c r="E602" t="str">
        <x:v>AUTO-FL-A</x:v>
      </x:c>
      <x:c r="F602" t="str">
        <x:v>汽車精密零組件</x:v>
      </x:c>
      <x:c r="G602" t="n">
        <x:v>5000</x:v>
      </x:c>
      <x:c r="H602" t="n">
        <x:v>1307</x:v>
      </x:c>
      <x:c r="I602" t="n">
        <x:v>1008.79</x:v>
      </x:c>
      <x:c r="J602" s="22" t="n">
        <x:v>0.22816373374139254</x:v>
      </x:c>
      <x:c r="K602" s="22" t="n">
        <x:v>0.0585</x:v>
      </x:c>
      <x:c r="L602" t="n">
        <x:v>11</x:v>
      </x:c>
      <x:c r="M602" t="str">
        <x:v>成交</x:v>
      </x:c>
      <x:c r="N602" s="20" t="n">
        <x:v>45788</x:v>
      </x:c>
      <x:c r="O602"/>
    </x:row>
    <x:row r="603" ht="20" customHeight="1">
      <x:c r="A603" t="str">
        <x:v>Q00602</x:v>
      </x:c>
      <x:c r="B603" s="20" t="n">
        <x:v>45793</x:v>
      </x:c>
      <x:c r="C603" t="str">
        <x:v>AFT-007</x:v>
      </x:c>
      <x:c r="D603" t="str">
        <x:v>S04</x:v>
      </x:c>
      <x:c r="E603" t="str">
        <x:v>AUTO-MH-A</x:v>
      </x:c>
      <x:c r="F603" t="str">
        <x:v>汽車精密零組件</x:v>
      </x:c>
      <x:c r="G603" t="n">
        <x:v>7000</x:v>
      </x:c>
      <x:c r="H603" t="n">
        <x:v>2629.77</x:v>
      </x:c>
      <x:c r="I603" t="n">
        <x:v>1916.58</x:v>
      </x:c>
      <x:c r="J603" s="22" t="n">
        <x:v>0.2711986219327166</x:v>
      </x:c>
      <x:c r="K603" s="22" t="n">
        <x:v>0.0269</x:v>
      </x:c>
      <x:c r="L603" t="n">
        <x:v>19</x:v>
      </x:c>
      <x:c r="M603" t="str">
        <x:v>成交</x:v>
      </x:c>
      <x:c r="N603" s="20" t="n">
        <x:v>45805</x:v>
      </x:c>
      <x:c r="O603"/>
    </x:row>
    <x:row r="604" ht="20" customHeight="1">
      <x:c r="A604" t="str">
        <x:v>Q00603</x:v>
      </x:c>
      <x:c r="B604" s="20" t="n">
        <x:v>45796</x:v>
      </x:c>
      <x:c r="C604" t="str">
        <x:v>EMS-006</x:v>
      </x:c>
      <x:c r="D604" t="str">
        <x:v>S03</x:v>
      </x:c>
      <x:c r="E604" t="str">
        <x:v>SEMI-CHB-B</x:v>
      </x:c>
      <x:c r="F604" t="str">
        <x:v>半導體設備零組件</x:v>
      </x:c>
      <x:c r="G604" t="n">
        <x:v>120</x:v>
      </x:c>
      <x:c r="H604" t="n">
        <x:v>132115.44</x:v>
      </x:c>
      <x:c r="I604" t="n">
        <x:v>112673.46</x:v>
      </x:c>
      <x:c r="J604" s="22" t="n">
        <x:v>0.14715903001193498</x:v>
      </x:c>
      <x:c r="K604" s="22" t="n">
        <x:v>0.0992</x:v>
      </x:c>
      <x:c r="L604" t="n">
        <x:v>46</x:v>
      </x:c>
      <x:c r="M604" t="str">
        <x:v>未成交</x:v>
      </x:c>
      <x:c r="N604" s="20" t="n">
        <x:v>45801</x:v>
      </x:c>
      <x:c r="O604" t="str">
        <x:v>規格</x:v>
      </x:c>
    </x:row>
    <x:row r="605" ht="20" customHeight="1">
      <x:c r="A605" t="str">
        <x:v>Q00604</x:v>
      </x:c>
      <x:c r="B605" s="20" t="n">
        <x:v>45780</x:v>
      </x:c>
      <x:c r="C605" t="str">
        <x:v>IAT-006</x:v>
      </x:c>
      <x:c r="D605" t="str">
        <x:v>S01</x:v>
      </x:c>
      <x:c r="E605" t="str">
        <x:v>AUTO-MH-A</x:v>
      </x:c>
      <x:c r="F605" t="str">
        <x:v>汽車精密零組件</x:v>
      </x:c>
      <x:c r="G605" t="n">
        <x:v>10000</x:v>
      </x:c>
      <x:c r="H605" t="n">
        <x:v>2556.47</x:v>
      </x:c>
      <x:c r="I605" t="n">
        <x:v>1914.23</x:v>
      </x:c>
      <x:c r="J605" s="22" t="n">
        <x:v>0.2512214107734493</x:v>
      </x:c>
      <x:c r="K605" s="22" t="n">
        <x:v>0.0532</x:v>
      </x:c>
      <x:c r="L605" t="n">
        <x:v>22</x:v>
      </x:c>
      <x:c r="M605" t="str">
        <x:v>成交</x:v>
      </x:c>
      <x:c r="N605" s="20" t="n">
        <x:v>45790</x:v>
      </x:c>
      <x:c r="O605"/>
    </x:row>
    <x:row r="606" ht="20" customHeight="1">
      <x:c r="A606" t="str">
        <x:v>Q00605</x:v>
      </x:c>
      <x:c r="B606" s="20" t="n">
        <x:v>45783</x:v>
      </x:c>
      <x:c r="C606" t="str">
        <x:v>AFT-002</x:v>
      </x:c>
      <x:c r="D606" t="str">
        <x:v>S04</x:v>
      </x:c>
      <x:c r="E606" t="str">
        <x:v>AUTO-KN-A</x:v>
      </x:c>
      <x:c r="F606" t="str">
        <x:v>汽車精密零組件</x:v>
      </x:c>
      <x:c r="G606" t="n">
        <x:v>7000</x:v>
      </x:c>
      <x:c r="H606" t="n">
        <x:v>2950.89</x:v>
      </x:c>
      <x:c r="I606" t="n">
        <x:v>2272.02</x:v>
      </x:c>
      <x:c r="J606" s="22" t="n">
        <x:v>0.2300560169982615</x:v>
      </x:c>
      <x:c r="K606" s="22" t="n">
        <x:v>0.1164</x:v>
      </x:c>
      <x:c r="L606" t="n">
        <x:v>17</x:v>
      </x:c>
      <x:c r="M606" t="str">
        <x:v>成交</x:v>
      </x:c>
      <x:c r="N606" s="20" t="n">
        <x:v>45788</x:v>
      </x:c>
      <x:c r="O606"/>
    </x:row>
    <x:row r="607" ht="20" customHeight="1">
      <x:c r="A607" t="str">
        <x:v>Q00606</x:v>
      </x:c>
      <x:c r="B607" s="20" t="n">
        <x:v>45797</x:v>
      </x:c>
      <x:c r="C607" t="str">
        <x:v>EMS-001</x:v>
      </x:c>
      <x:c r="D607" t="str">
        <x:v>S02</x:v>
      </x:c>
      <x:c r="E607" t="str">
        <x:v>SEMI-CHB-A</x:v>
      </x:c>
      <x:c r="F607" t="str">
        <x:v>半導體設備零組件</x:v>
      </x:c>
      <x:c r="G607" t="n">
        <x:v>160</x:v>
      </x:c>
      <x:c r="H607" t="n">
        <x:v>96385.29</x:v>
      </x:c>
      <x:c r="I607" t="n">
        <x:v>68828.46</x:v>
      </x:c>
      <x:c r="J607" s="22" t="n">
        <x:v>0.2859028592433554</x:v>
      </x:c>
      <x:c r="K607" s="22" t="n">
        <x:v>0.0352</x:v>
      </x:c>
      <x:c r="L607" t="n">
        <x:v>36</x:v>
      </x:c>
      <x:c r="M607" t="str">
        <x:v>未成交</x:v>
      </x:c>
      <x:c r="N607" s="20" t="n">
        <x:v>45806</x:v>
      </x:c>
      <x:c r="O607" t="str">
        <x:v>價格</x:v>
      </x:c>
    </x:row>
    <x:row r="608" ht="20" customHeight="1">
      <x:c r="A608" t="str">
        <x:v>Q00607</x:v>
      </x:c>
      <x:c r="B608" s="20" t="n">
        <x:v>45795</x:v>
      </x:c>
      <x:c r="C608" t="str">
        <x:v>AUT-011</x:v>
      </x:c>
      <x:c r="D608" t="str">
        <x:v>S02</x:v>
      </x:c>
      <x:c r="E608" t="str">
        <x:v>AUTO-FL-A</x:v>
      </x:c>
      <x:c r="F608" t="str">
        <x:v>汽車精密零組件</x:v>
      </x:c>
      <x:c r="G608" t="n">
        <x:v>5000</x:v>
      </x:c>
      <x:c r="H608" t="n">
        <x:v>1300.83</x:v>
      </x:c>
      <x:c r="I608" t="n">
        <x:v>969.62</x:v>
      </x:c>
      <x:c r="J608" s="22" t="n">
        <x:v>0.25461436159990153</x:v>
      </x:c>
      <x:c r="K608" s="22" t="n">
        <x:v>0.0559</x:v>
      </x:c>
      <x:c r="L608" t="n">
        <x:v>15</x:v>
      </x:c>
      <x:c r="M608" t="str">
        <x:v>成交</x:v>
      </x:c>
      <x:c r="N608" s="20" t="n">
        <x:v>45807</x:v>
      </x:c>
      <x:c r="O608"/>
    </x:row>
    <x:row r="609" ht="20" customHeight="1">
      <x:c r="A609" t="str">
        <x:v>Q00608</x:v>
      </x:c>
      <x:c r="B609" s="20" t="n">
        <x:v>45804</x:v>
      </x:c>
      <x:c r="C609" t="str">
        <x:v>AUT-008</x:v>
      </x:c>
      <x:c r="D609" t="str">
        <x:v>S01</x:v>
      </x:c>
      <x:c r="E609" t="str">
        <x:v>AUTO-MH-A</x:v>
      </x:c>
      <x:c r="F609" t="str">
        <x:v>汽車精密零組件</x:v>
      </x:c>
      <x:c r="G609" t="n">
        <x:v>5000</x:v>
      </x:c>
      <x:c r="H609" t="n">
        <x:v>2363.81</x:v>
      </x:c>
      <x:c r="I609" t="n">
        <x:v>1952.59</x:v>
      </x:c>
      <x:c r="J609" s="22" t="n">
        <x:v>0.17396491257757604</x:v>
      </x:c>
      <x:c r="K609" s="22" t="n">
        <x:v>0.1177</x:v>
      </x:c>
      <x:c r="L609" t="n">
        <x:v>23</x:v>
      </x:c>
      <x:c r="M609" t="str">
        <x:v>未成交</x:v>
      </x:c>
      <x:c r="N609" s="20" t="n">
        <x:v>45810</x:v>
      </x:c>
      <x:c r="O609" t="str">
        <x:v>規格</x:v>
      </x:c>
    </x:row>
    <x:row r="610" ht="20" customHeight="1">
      <x:c r="A610" t="str">
        <x:v>Q00609</x:v>
      </x:c>
      <x:c r="B610" s="20" t="n">
        <x:v>45800</x:v>
      </x:c>
      <x:c r="C610" t="str">
        <x:v>SEM-001</x:v>
      </x:c>
      <x:c r="D610" t="str">
        <x:v>S01</x:v>
      </x:c>
      <x:c r="E610" t="str">
        <x:v>PM-BRG-A</x:v>
      </x:c>
      <x:c r="F610" t="str">
        <x:v>精密金屬加工件</x:v>
      </x:c>
      <x:c r="G610" t="n">
        <x:v>1600</x:v>
      </x:c>
      <x:c r="H610" t="n">
        <x:v>6922.58</x:v>
      </x:c>
      <x:c r="I610" t="n">
        <x:v>4596.41</x:v>
      </x:c>
      <x:c r="J610" s="22" t="n">
        <x:v>0.33602645256537306</x:v>
      </x:c>
      <x:c r="K610" s="22" t="n">
        <x:v>0.0368</x:v>
      </x:c>
      <x:c r="L610" t="n">
        <x:v>15</x:v>
      </x:c>
      <x:c r="M610" t="str">
        <x:v>成交</x:v>
      </x:c>
      <x:c r="N610" s="20" t="n">
        <x:v>45810</x:v>
      </x:c>
      <x:c r="O610"/>
    </x:row>
    <x:row r="611" ht="20" customHeight="1">
      <x:c r="A611" t="str">
        <x:v>Q00610</x:v>
      </x:c>
      <x:c r="B611" s="20" t="n">
        <x:v>45805</x:v>
      </x:c>
      <x:c r="C611" t="str">
        <x:v>AUT-002</x:v>
      </x:c>
      <x:c r="D611" t="str">
        <x:v>S04</x:v>
      </x:c>
      <x:c r="E611" t="str">
        <x:v>PM-VAC-A</x:v>
      </x:c>
      <x:c r="F611" t="str">
        <x:v>精密金屬加工件</x:v>
      </x:c>
      <x:c r="G611" t="n">
        <x:v>1200</x:v>
      </x:c>
      <x:c r="H611" t="n">
        <x:v>14728.36</x:v>
      </x:c>
      <x:c r="I611" t="n">
        <x:v>11138.55</x:v>
      </x:c>
      <x:c r="J611" s="22" t="n">
        <x:v>0.24373453663544353</x:v>
      </x:c>
      <x:c r="K611" s="22" t="n">
        <x:v>0.1148</x:v>
      </x:c>
      <x:c r="L611" t="n">
        <x:v>34</x:v>
      </x:c>
      <x:c r="M611" t="str">
        <x:v>未成交</x:v>
      </x:c>
      <x:c r="N611" s="20" t="n">
        <x:v>45812</x:v>
      </x:c>
      <x:c r="O611" t="str">
        <x:v>競品</x:v>
      </x:c>
    </x:row>
    <x:row r="612" ht="20" customHeight="1">
      <x:c r="A612" t="str">
        <x:v>Q00611</x:v>
      </x:c>
      <x:c r="B612" s="20" t="n">
        <x:v>45790</x:v>
      </x:c>
      <x:c r="C612" t="str">
        <x:v>AUT-005</x:v>
      </x:c>
      <x:c r="D612" t="str">
        <x:v>S04</x:v>
      </x:c>
      <x:c r="E612" t="str">
        <x:v>PM-VAC-A</x:v>
      </x:c>
      <x:c r="F612" t="str">
        <x:v>精密金屬加工件</x:v>
      </x:c>
      <x:c r="G612" t="n">
        <x:v>500</x:v>
      </x:c>
      <x:c r="H612" t="n">
        <x:v>16537.2</x:v>
      </x:c>
      <x:c r="I612" t="n">
        <x:v>11018.73</x:v>
      </x:c>
      <x:c r="J612" s="22" t="n">
        <x:v>0.3337003845874756</x:v>
      </x:c>
      <x:c r="K612" s="22" t="n">
        <x:v>0.0165</x:v>
      </x:c>
      <x:c r="L612" t="n">
        <x:v>28</x:v>
      </x:c>
      <x:c r="M612" t="str">
        <x:v>成交</x:v>
      </x:c>
      <x:c r="N612" s="20" t="n">
        <x:v>45798</x:v>
      </x:c>
      <x:c r="O612"/>
    </x:row>
    <x:row r="613" ht="20" customHeight="1">
      <x:c r="A613" t="str">
        <x:v>Q00612</x:v>
      </x:c>
      <x:c r="B613" s="20" t="n">
        <x:v>45786</x:v>
      </x:c>
      <x:c r="C613" t="str">
        <x:v>EMS-003</x:v>
      </x:c>
      <x:c r="D613" t="str">
        <x:v>S05</x:v>
      </x:c>
      <x:c r="E613" t="str">
        <x:v>PM-SUS-B</x:v>
      </x:c>
      <x:c r="F613" t="str">
        <x:v>精密金屬加工件</x:v>
      </x:c>
      <x:c r="G613" t="n">
        <x:v>1200</x:v>
      </x:c>
      <x:c r="H613" t="n">
        <x:v>13478.2</x:v>
      </x:c>
      <x:c r="I613" t="n">
        <x:v>11308.15</x:v>
      </x:c>
      <x:c r="J613" s="22" t="n">
        <x:v>0.16100443679423077</x:v>
      </x:c>
      <x:c r="K613" s="22" t="n">
        <x:v>0.1362</x:v>
      </x:c>
      <x:c r="L613" t="n">
        <x:v>23</x:v>
      </x:c>
      <x:c r="M613" t="str">
        <x:v>成交</x:v>
      </x:c>
      <x:c r="N613" s="20" t="n">
        <x:v>45790</x:v>
      </x:c>
      <x:c r="O613"/>
    </x:row>
    <x:row r="614" ht="20" customHeight="1">
      <x:c r="A614" t="str">
        <x:v>Q00613</x:v>
      </x:c>
      <x:c r="B614" s="20" t="n">
        <x:v>45802</x:v>
      </x:c>
      <x:c r="C614" t="str">
        <x:v>SEM-002</x:v>
      </x:c>
      <x:c r="D614" t="str">
        <x:v>S02</x:v>
      </x:c>
      <x:c r="E614" t="str">
        <x:v>PM-ALB-A</x:v>
      </x:c>
      <x:c r="F614" t="str">
        <x:v>精密金屬加工件</x:v>
      </x:c>
      <x:c r="G614" t="n">
        <x:v>1600</x:v>
      </x:c>
      <x:c r="H614" t="n">
        <x:v>10352.46</x:v>
      </x:c>
      <x:c r="I614" t="n">
        <x:v>8352.48</x:v>
      </x:c>
      <x:c r="J614" s="22" t="n">
        <x:v>0.19318886525521467</x:v>
      </x:c>
      <x:c r="K614" s="22" t="n">
        <x:v>0.119</x:v>
      </x:c>
      <x:c r="L614" t="n">
        <x:v>18</x:v>
      </x:c>
      <x:c r="M614" t="str">
        <x:v>成交</x:v>
      </x:c>
      <x:c r="N614" s="20" t="n">
        <x:v>45812</x:v>
      </x:c>
      <x:c r="O614"/>
    </x:row>
    <x:row r="615" ht="20" customHeight="1">
      <x:c r="A615" t="str">
        <x:v>Q00614</x:v>
      </x:c>
      <x:c r="B615" s="20" t="n">
        <x:v>45791</x:v>
      </x:c>
      <x:c r="C615" t="str">
        <x:v>EMS-005</x:v>
      </x:c>
      <x:c r="D615" t="str">
        <x:v>S01</x:v>
      </x:c>
      <x:c r="E615" t="str">
        <x:v>AUTO-MH-B</x:v>
      </x:c>
      <x:c r="F615" t="str">
        <x:v>汽車精密零組件</x:v>
      </x:c>
      <x:c r="G615" t="n">
        <x:v>7000</x:v>
      </x:c>
      <x:c r="H615" t="n">
        <x:v>2969.27</x:v>
      </x:c>
      <x:c r="I615" t="n">
        <x:v>2379.48</x:v>
      </x:c>
      <x:c r="J615" s="22" t="n">
        <x:v>0.19863131342047033</x:v>
      </x:c>
      <x:c r="K615" s="22" t="n">
        <x:v>0.0638</x:v>
      </x:c>
      <x:c r="L615" t="n">
        <x:v>24</x:v>
      </x:c>
      <x:c r="M615" t="str">
        <x:v>成交</x:v>
      </x:c>
      <x:c r="N615" s="20" t="n">
        <x:v>45800</x:v>
      </x:c>
      <x:c r="O615"/>
    </x:row>
    <x:row r="616" ht="20" customHeight="1">
      <x:c r="A616" t="str">
        <x:v>Q00615</x:v>
      </x:c>
      <x:c r="B616" s="20" t="n">
        <x:v>45788</x:v>
      </x:c>
      <x:c r="C616" t="str">
        <x:v>IAT-006</x:v>
      </x:c>
      <x:c r="D616" t="str">
        <x:v>S01</x:v>
      </x:c>
      <x:c r="E616" t="str">
        <x:v>SEMI-WH-B</x:v>
      </x:c>
      <x:c r="F616" t="str">
        <x:v>半導體設備零組件</x:v>
      </x:c>
      <x:c r="G616" t="n">
        <x:v>120</x:v>
      </x:c>
      <x:c r="H616" t="n">
        <x:v>157242.91</x:v>
      </x:c>
      <x:c r="I616" t="n">
        <x:v>132747.6</x:v>
      </x:c>
      <x:c r="J616" s="22" t="n">
        <x:v>0.1557800602901587</x:v>
      </x:c>
      <x:c r="K616" s="22" t="n">
        <x:v>0.1204</x:v>
      </x:c>
      <x:c r="L616" t="n">
        <x:v>52</x:v>
      </x:c>
      <x:c r="M616" t="str">
        <x:v>未成交</x:v>
      </x:c>
      <x:c r="N616" s="20" t="n">
        <x:v>45791</x:v>
      </x:c>
      <x:c r="O616" t="str">
        <x:v>專案取消</x:v>
      </x:c>
    </x:row>
    <x:row r="617" ht="20" customHeight="1">
      <x:c r="A617" t="str">
        <x:v>Q00616</x:v>
      </x:c>
      <x:c r="B617" s="20" t="n">
        <x:v>45791</x:v>
      </x:c>
      <x:c r="C617" t="str">
        <x:v>EMS-008</x:v>
      </x:c>
      <x:c r="D617" t="str">
        <x:v>S02</x:v>
      </x:c>
      <x:c r="E617" t="str">
        <x:v>PM-SUS-A</x:v>
      </x:c>
      <x:c r="F617" t="str">
        <x:v>精密金屬加工件</x:v>
      </x:c>
      <x:c r="G617" t="n">
        <x:v>300</x:v>
      </x:c>
      <x:c r="H617" t="n">
        <x:v>10270.25</x:v>
      </x:c>
      <x:c r="I617" t="n">
        <x:v>7757.4</x:v>
      </x:c>
      <x:c r="J617" s="22" t="n">
        <x:v>0.244672719748789</x:v>
      </x:c>
      <x:c r="K617" s="22" t="n">
        <x:v>0.0972</x:v>
      </x:c>
      <x:c r="L617" t="n">
        <x:v>24</x:v>
      </x:c>
      <x:c r="M617" t="str">
        <x:v>未成交</x:v>
      </x:c>
      <x:c r="N617" s="20" t="n">
        <x:v>45799</x:v>
      </x:c>
      <x:c r="O617" t="str">
        <x:v>專案取消</x:v>
      </x:c>
    </x:row>
    <x:row r="618" ht="20" customHeight="1">
      <x:c r="A618" t="str">
        <x:v>Q00617</x:v>
      </x:c>
      <x:c r="B618" s="20" t="n">
        <x:v>45790</x:v>
      </x:c>
      <x:c r="C618" t="str">
        <x:v>IAT-001</x:v>
      </x:c>
      <x:c r="D618" t="str">
        <x:v>S05</x:v>
      </x:c>
      <x:c r="E618" t="str">
        <x:v>MECH-STG-A</x:v>
      </x:c>
      <x:c r="F618" t="str">
        <x:v>機電／自動化模組</x:v>
      </x:c>
      <x:c r="G618" t="n">
        <x:v>10</x:v>
      </x:c>
      <x:c r="H618" t="n">
        <x:v>141794.41</x:v>
      </x:c>
      <x:c r="I618" t="n">
        <x:v>103708.83</x:v>
      </x:c>
      <x:c r="J618" s="22" t="n">
        <x:v>0.26859718940965305</x:v>
      </x:c>
      <x:c r="K618" s="22" t="n">
        <x:v>0.0377</x:v>
      </x:c>
      <x:c r="L618" t="n">
        <x:v>44</x:v>
      </x:c>
      <x:c r="M618" t="str">
        <x:v>未成交</x:v>
      </x:c>
      <x:c r="N618" s="20" t="n">
        <x:v>45801</x:v>
      </x:c>
      <x:c r="O618" t="str">
        <x:v>規格</x:v>
      </x:c>
    </x:row>
    <x:row r="619" ht="20" customHeight="1">
      <x:c r="A619" t="str">
        <x:v>Q00618</x:v>
      </x:c>
      <x:c r="B619" s="20" t="n">
        <x:v>45781</x:v>
      </x:c>
      <x:c r="C619" t="str">
        <x:v>EMS-008</x:v>
      </x:c>
      <x:c r="D619" t="str">
        <x:v>S02</x:v>
      </x:c>
      <x:c r="E619" t="str">
        <x:v>PM-VAC-B</x:v>
      </x:c>
      <x:c r="F619" t="str">
        <x:v>精密金屬加工件</x:v>
      </x:c>
      <x:c r="G619" t="n">
        <x:v>1600</x:v>
      </x:c>
      <x:c r="H619" t="n">
        <x:v>23057.15</x:v>
      </x:c>
      <x:c r="I619" t="n">
        <x:v>15671.78</x:v>
      </x:c>
      <x:c r="J619" s="22" t="n">
        <x:v>0.3203071498428904</x:v>
      </x:c>
      <x:c r="K619" s="22" t="n">
        <x:v>0.0366</x:v>
      </x:c>
      <x:c r="L619" t="n">
        <x:v>29</x:v>
      </x:c>
      <x:c r="M619" t="str">
        <x:v>成交</x:v>
      </x:c>
      <x:c r="N619" s="20" t="n">
        <x:v>45788</x:v>
      </x:c>
      <x:c r="O619"/>
    </x:row>
    <x:row r="620" ht="20" customHeight="1">
      <x:c r="A620" t="str">
        <x:v>Q00619</x:v>
      </x:c>
      <x:c r="B620" s="20" t="n">
        <x:v>45781</x:v>
      </x:c>
      <x:c r="C620" t="str">
        <x:v>AUT-009</x:v>
      </x:c>
      <x:c r="D620" t="str">
        <x:v>S04</x:v>
      </x:c>
      <x:c r="E620" t="str">
        <x:v>AUTO-KN-A</x:v>
      </x:c>
      <x:c r="F620" t="str">
        <x:v>汽車精密零組件</x:v>
      </x:c>
      <x:c r="G620" t="n">
        <x:v>10000</x:v>
      </x:c>
      <x:c r="H620" t="n">
        <x:v>3140.07</x:v>
      </x:c>
      <x:c r="I620" t="n">
        <x:v>2246.4</x:v>
      </x:c>
      <x:c r="J620" s="22" t="n">
        <x:v>0.2846019356256389</x:v>
      </x:c>
      <x:c r="K620" s="22" t="n">
        <x:v>0.0676</x:v>
      </x:c>
      <x:c r="L620" t="n">
        <x:v>22</x:v>
      </x:c>
      <x:c r="M620" t="str">
        <x:v>成交</x:v>
      </x:c>
      <x:c r="N620" s="20" t="n">
        <x:v>45788</x:v>
      </x:c>
      <x:c r="O620"/>
    </x:row>
    <x:row r="621" ht="20" customHeight="1">
      <x:c r="A621" t="str">
        <x:v>Q00620</x:v>
      </x:c>
      <x:c r="B621" s="20" t="n">
        <x:v>45796</x:v>
      </x:c>
      <x:c r="C621" t="str">
        <x:v>SEM-005</x:v>
      </x:c>
      <x:c r="D621" t="str">
        <x:v>S06</x:v>
      </x:c>
      <x:c r="E621" t="str">
        <x:v>MECH-CON-A</x:v>
      </x:c>
      <x:c r="F621" t="str">
        <x:v>機電／自動化模組</x:v>
      </x:c>
      <x:c r="G621" t="n">
        <x:v>30</x:v>
      </x:c>
      <x:c r="H621" t="n">
        <x:v>110572.05</x:v>
      </x:c>
      <x:c r="I621" t="n">
        <x:v>85370.59</x:v>
      </x:c>
      <x:c r="J621" s="22" t="n">
        <x:v>0.2279188999389991</x:v>
      </x:c>
      <x:c r="K621" s="22" t="n">
        <x:v>0.0499</x:v>
      </x:c>
      <x:c r="L621" t="n">
        <x:v>29</x:v>
      </x:c>
      <x:c r="M621" t="str">
        <x:v>成交</x:v>
      </x:c>
      <x:c r="N621" s="20" t="n">
        <x:v>45803</x:v>
      </x:c>
      <x:c r="O621"/>
    </x:row>
    <x:row r="622" ht="20" customHeight="1">
      <x:c r="A622" t="str">
        <x:v>Q00621</x:v>
      </x:c>
      <x:c r="B622" s="20" t="n">
        <x:v>45787</x:v>
      </x:c>
      <x:c r="C622" t="str">
        <x:v>AUT-001</x:v>
      </x:c>
      <x:c r="D622" t="str">
        <x:v>S01</x:v>
      </x:c>
      <x:c r="E622" t="str">
        <x:v>MECH-STG-B</x:v>
      </x:c>
      <x:c r="F622" t="str">
        <x:v>機電／自動化模組</x:v>
      </x:c>
      <x:c r="G622" t="n">
        <x:v>10</x:v>
      </x:c>
      <x:c r="H622" t="n">
        <x:v>195403.32</x:v>
      </x:c>
      <x:c r="I622" t="n">
        <x:v>156933.97</x:v>
      </x:c>
      <x:c r="J622" s="22" t="n">
        <x:v>0.19687152705491393</x:v>
      </x:c>
      <x:c r="K622" s="22" t="n">
        <x:v>0.0632</x:v>
      </x:c>
      <x:c r="L622" t="n">
        <x:v>57</x:v>
      </x:c>
      <x:c r="M622" t="str">
        <x:v>未成交</x:v>
      </x:c>
      <x:c r="N622" s="20" t="n">
        <x:v>45795</x:v>
      </x:c>
      <x:c r="O622" t="str">
        <x:v>交期</x:v>
      </x:c>
    </x:row>
    <x:row r="623" ht="20" customHeight="1">
      <x:c r="A623" t="str">
        <x:v>Q00622</x:v>
      </x:c>
      <x:c r="B623" s="20" t="n">
        <x:v>45789</x:v>
      </x:c>
      <x:c r="C623" t="str">
        <x:v>EMS-002</x:v>
      </x:c>
      <x:c r="D623" t="str">
        <x:v>S05</x:v>
      </x:c>
      <x:c r="E623" t="str">
        <x:v>AUTO-KN-A</x:v>
      </x:c>
      <x:c r="F623" t="str">
        <x:v>汽車精密零組件</x:v>
      </x:c>
      <x:c r="G623" t="n">
        <x:v>3000</x:v>
      </x:c>
      <x:c r="H623" t="n">
        <x:v>3149.28</x:v>
      </x:c>
      <x:c r="I623" t="n">
        <x:v>2178.85</x:v>
      </x:c>
      <x:c r="J623" s="22" t="n">
        <x:v>0.3081434486612814</x:v>
      </x:c>
      <x:c r="K623" s="22" t="n">
        <x:v>0.0843</x:v>
      </x:c>
      <x:c r="L623" t="n">
        <x:v>26</x:v>
      </x:c>
      <x:c r="M623" t="str">
        <x:v>成交</x:v>
      </x:c>
      <x:c r="N623" s="20" t="n">
        <x:v>45793</x:v>
      </x:c>
      <x:c r="O623"/>
    </x:row>
    <x:row r="624" ht="20" customHeight="1">
      <x:c r="A624" t="str">
        <x:v>Q00623</x:v>
      </x:c>
      <x:c r="B624" s="20" t="n">
        <x:v>45794</x:v>
      </x:c>
      <x:c r="C624" t="str">
        <x:v>IAT-002</x:v>
      </x:c>
      <x:c r="D624" t="str">
        <x:v>S01</x:v>
      </x:c>
      <x:c r="E624" t="str">
        <x:v>MECH-STG-B</x:v>
      </x:c>
      <x:c r="F624" t="str">
        <x:v>機電／自動化模組</x:v>
      </x:c>
      <x:c r="G624" t="n">
        <x:v>40</x:v>
      </x:c>
      <x:c r="H624" t="n">
        <x:v>196988</x:v>
      </x:c>
      <x:c r="I624" t="n">
        <x:v>154975.78</x:v>
      </x:c>
      <x:c r="J624" s="22" t="n">
        <x:v>0.21327299124819787</x:v>
      </x:c>
      <x:c r="K624" s="22" t="n">
        <x:v>0.0488</x:v>
      </x:c>
      <x:c r="L624" t="n">
        <x:v>43</x:v>
      </x:c>
      <x:c r="M624" t="str">
        <x:v>未成交</x:v>
      </x:c>
      <x:c r="N624" s="20" t="n">
        <x:v>45801</x:v>
      </x:c>
      <x:c r="O624" t="str">
        <x:v>專案取消</x:v>
      </x:c>
    </x:row>
    <x:row r="625" ht="20" customHeight="1">
      <x:c r="A625" t="str">
        <x:v>Q00624</x:v>
      </x:c>
      <x:c r="B625" s="20" t="n">
        <x:v>45800</x:v>
      </x:c>
      <x:c r="C625" t="str">
        <x:v>EMS-003</x:v>
      </x:c>
      <x:c r="D625" t="str">
        <x:v>S05</x:v>
      </x:c>
      <x:c r="E625" t="str">
        <x:v>PM-VAC-A</x:v>
      </x:c>
      <x:c r="F625" t="str">
        <x:v>精密金屬加工件</x:v>
      </x:c>
      <x:c r="G625" t="n">
        <x:v>300</x:v>
      </x:c>
      <x:c r="H625" t="n">
        <x:v>15018.4</x:v>
      </x:c>
      <x:c r="I625" t="n">
        <x:v>11228.56</x:v>
      </x:c>
      <x:c r="J625" s="22" t="n">
        <x:v>0.2523464550151814</x:v>
      </x:c>
      <x:c r="K625" s="22" t="n">
        <x:v>0.0997</x:v>
      </x:c>
      <x:c r="L625" t="n">
        <x:v>21</x:v>
      </x:c>
      <x:c r="M625" t="str">
        <x:v>未成交</x:v>
      </x:c>
      <x:c r="N625" s="20" t="n">
        <x:v>45810</x:v>
      </x:c>
      <x:c r="O625" t="str">
        <x:v>價格</x:v>
      </x:c>
    </x:row>
    <x:row r="626" ht="20" customHeight="1">
      <x:c r="A626" t="str">
        <x:v>Q00625</x:v>
      </x:c>
      <x:c r="B626" s="20" t="n">
        <x:v>45792</x:v>
      </x:c>
      <x:c r="C626" t="str">
        <x:v>AUT-002</x:v>
      </x:c>
      <x:c r="D626" t="str">
        <x:v>S04</x:v>
      </x:c>
      <x:c r="E626" t="str">
        <x:v>PM-SUS-B</x:v>
      </x:c>
      <x:c r="F626" t="str">
        <x:v>精密金屬加工件</x:v>
      </x:c>
      <x:c r="G626" t="n">
        <x:v>800</x:v>
      </x:c>
      <x:c r="H626" t="n">
        <x:v>15567.38</x:v>
      </x:c>
      <x:c r="I626" t="n">
        <x:v>10808.01</x:v>
      </x:c>
      <x:c r="J626" s="22" t="n">
        <x:v>0.30572710372586775</x:v>
      </x:c>
      <x:c r="K626" s="22" t="n">
        <x:v>0.0243</x:v>
      </x:c>
      <x:c r="L626" t="n">
        <x:v>22</x:v>
      </x:c>
      <x:c r="M626" t="str">
        <x:v>成交</x:v>
      </x:c>
      <x:c r="N626" s="20" t="n">
        <x:v>45798</x:v>
      </x:c>
      <x:c r="O626"/>
    </x:row>
    <x:row r="627" ht="20" customHeight="1">
      <x:c r="A627" t="str">
        <x:v>Q00626</x:v>
      </x:c>
      <x:c r="B627" s="20" t="n">
        <x:v>45790</x:v>
      </x:c>
      <x:c r="C627" t="str">
        <x:v>EMS-001</x:v>
      </x:c>
      <x:c r="D627" t="str">
        <x:v>S02</x:v>
      </x:c>
      <x:c r="E627" t="str">
        <x:v>MECH-CON-A</x:v>
      </x:c>
      <x:c r="F627" t="str">
        <x:v>機電／自動化模組</x:v>
      </x:c>
      <x:c r="G627" t="n">
        <x:v>50</x:v>
      </x:c>
      <x:c r="H627" t="n">
        <x:v>115728.62</x:v>
      </x:c>
      <x:c r="I627" t="n">
        <x:v>84423.62</x:v>
      </x:c>
      <x:c r="J627" s="22" t="n">
        <x:v>0.27050352799506294</x:v>
      </x:c>
      <x:c r="K627" s="22" t="n">
        <x:v>0.0184</x:v>
      </x:c>
      <x:c r="L627" t="n">
        <x:v>30</x:v>
      </x:c>
      <x:c r="M627" t="str">
        <x:v>成交</x:v>
      </x:c>
      <x:c r="N627" s="20" t="n">
        <x:v>45798</x:v>
      </x:c>
      <x:c r="O627"/>
    </x:row>
    <x:row r="628" ht="20" customHeight="1">
      <x:c r="A628" t="str">
        <x:v>Q00627</x:v>
      </x:c>
      <x:c r="B628" s="20" t="n">
        <x:v>45787</x:v>
      </x:c>
      <x:c r="C628" t="str">
        <x:v>AUT-012</x:v>
      </x:c>
      <x:c r="D628" t="str">
        <x:v>S06</x:v>
      </x:c>
      <x:c r="E628" t="str">
        <x:v>PM-SUS-B</x:v>
      </x:c>
      <x:c r="F628" t="str">
        <x:v>精密金屬加工件</x:v>
      </x:c>
      <x:c r="G628" t="n">
        <x:v>800</x:v>
      </x:c>
      <x:c r="H628" t="n">
        <x:v>15254.12</x:v>
      </x:c>
      <x:c r="I628" t="n">
        <x:v>11147.22</x:v>
      </x:c>
      <x:c r="J628" s="22" t="n">
        <x:v>0.2692321812074378</x:v>
      </x:c>
      <x:c r="K628" s="22" t="n">
        <x:v>0.048</x:v>
      </x:c>
      <x:c r="L628" t="n">
        <x:v>31</x:v>
      </x:c>
      <x:c r="M628" t="str">
        <x:v>成交</x:v>
      </x:c>
      <x:c r="N628" s="20" t="n">
        <x:v>45793</x:v>
      </x:c>
      <x:c r="O628"/>
    </x:row>
    <x:row r="629" ht="20" customHeight="1">
      <x:c r="A629" t="str">
        <x:v>Q00628</x:v>
      </x:c>
      <x:c r="B629" s="20" t="n">
        <x:v>45818</x:v>
      </x:c>
      <x:c r="C629" t="str">
        <x:v>EMS-003</x:v>
      </x:c>
      <x:c r="D629" t="str">
        <x:v>S05</x:v>
      </x:c>
      <x:c r="E629" t="str">
        <x:v>AUTO-LG-A</x:v>
      </x:c>
      <x:c r="F629" t="str">
        <x:v>汽車精密零組件</x:v>
      </x:c>
      <x:c r="G629" t="n">
        <x:v>13000</x:v>
      </x:c>
      <x:c r="H629" t="n">
        <x:v>1025.56</x:v>
      </x:c>
      <x:c r="I629" t="n">
        <x:v>866.12</x:v>
      </x:c>
      <x:c r="J629" s="22" t="n">
        <x:v>0.155466281836265</x:v>
      </x:c>
      <x:c r="K629" s="22" t="n">
        <x:v>0.1192</x:v>
      </x:c>
      <x:c r="L629" t="n">
        <x:v>16</x:v>
      </x:c>
      <x:c r="M629" t="str">
        <x:v>未成交</x:v>
      </x:c>
      <x:c r="N629" s="20" t="n">
        <x:v>45822</x:v>
      </x:c>
      <x:c r="O629" t="str">
        <x:v>競品</x:v>
      </x:c>
    </x:row>
    <x:row r="630" ht="20" customHeight="1">
      <x:c r="A630" t="str">
        <x:v>Q00629</x:v>
      </x:c>
      <x:c r="B630" s="20" t="n">
        <x:v>45813</x:v>
      </x:c>
      <x:c r="C630" t="str">
        <x:v>AUT-013</x:v>
      </x:c>
      <x:c r="D630" t="str">
        <x:v>S01</x:v>
      </x:c>
      <x:c r="E630" t="str">
        <x:v>MECH-STG-B</x:v>
      </x:c>
      <x:c r="F630" t="str">
        <x:v>機電／自動化模組</x:v>
      </x:c>
      <x:c r="G630" t="n">
        <x:v>30</x:v>
      </x:c>
      <x:c r="H630" t="n">
        <x:v>195039.39</x:v>
      </x:c>
      <x:c r="I630" t="n">
        <x:v>151624.79</x:v>
      </x:c>
      <x:c r="J630" s="22" t="n">
        <x:v>0.22259401036887985</x:v>
      </x:c>
      <x:c r="K630" s="22" t="n">
        <x:v>0.0541</x:v>
      </x:c>
      <x:c r="L630" t="n">
        <x:v>53</x:v>
      </x:c>
      <x:c r="M630" t="str">
        <x:v>成交</x:v>
      </x:c>
      <x:c r="N630" s="20" t="n">
        <x:v>45822</x:v>
      </x:c>
      <x:c r="O630"/>
    </x:row>
    <x:row r="631" ht="20" customHeight="1">
      <x:c r="A631" t="str">
        <x:v>Q00630</x:v>
      </x:c>
      <x:c r="B631" s="20" t="n">
        <x:v>45823</x:v>
      </x:c>
      <x:c r="C631" t="str">
        <x:v>AFT-005</x:v>
      </x:c>
      <x:c r="D631" t="str">
        <x:v>S05</x:v>
      </x:c>
      <x:c r="E631" t="str">
        <x:v>AUTO-BRK-A</x:v>
      </x:c>
      <x:c r="F631" t="str">
        <x:v>汽車精密零組件</x:v>
      </x:c>
      <x:c r="G631" t="n">
        <x:v>7000</x:v>
      </x:c>
      <x:c r="H631" t="n">
        <x:v>1736.17</x:v>
      </x:c>
      <x:c r="I631" t="n">
        <x:v>1355.08</x:v>
      </x:c>
      <x:c r="J631" s="22" t="n">
        <x:v>0.21950039454661704</x:v>
      </x:c>
      <x:c r="K631" s="22" t="n">
        <x:v>0.0603</x:v>
      </x:c>
      <x:c r="L631" t="n">
        <x:v>13</x:v>
      </x:c>
      <x:c r="M631" t="str">
        <x:v>成交</x:v>
      </x:c>
      <x:c r="N631" s="20" t="n">
        <x:v>45827</x:v>
      </x:c>
      <x:c r="O631"/>
    </x:row>
    <x:row r="632" ht="20" customHeight="1">
      <x:c r="A632" t="str">
        <x:v>Q00631</x:v>
      </x:c>
      <x:c r="B632" s="20" t="n">
        <x:v>45835</x:v>
      </x:c>
      <x:c r="C632" t="str">
        <x:v>EMS-004</x:v>
      </x:c>
      <x:c r="D632" t="str">
        <x:v>S03</x:v>
      </x:c>
      <x:c r="E632" t="str">
        <x:v>PM-VAC-A</x:v>
      </x:c>
      <x:c r="F632" t="str">
        <x:v>精密金屬加工件</x:v>
      </x:c>
      <x:c r="G632" t="n">
        <x:v>800</x:v>
      </x:c>
      <x:c r="H632" t="n">
        <x:v>16041.53</x:v>
      </x:c>
      <x:c r="I632" t="n">
        <x:v>11206.41</x:v>
      </x:c>
      <x:c r="J632" s="22" t="n">
        <x:v>0.30141264580124216</x:v>
      </x:c>
      <x:c r="K632" s="22" t="n">
        <x:v>0.0429</x:v>
      </x:c>
      <x:c r="L632" t="n">
        <x:v>28</x:v>
      </x:c>
      <x:c r="M632" t="str">
        <x:v>未成交</x:v>
      </x:c>
      <x:c r="N632" s="20" t="n">
        <x:v>45841</x:v>
      </x:c>
      <x:c r="O632" t="str">
        <x:v>規格</x:v>
      </x:c>
    </x:row>
    <x:row r="633" ht="20" customHeight="1">
      <x:c r="A633" t="str">
        <x:v>Q00632</x:v>
      </x:c>
      <x:c r="B633" s="20" t="n">
        <x:v>45809</x:v>
      </x:c>
      <x:c r="C633" t="str">
        <x:v>SEM-001</x:v>
      </x:c>
      <x:c r="D633" t="str">
        <x:v>S01</x:v>
      </x:c>
      <x:c r="E633" t="str">
        <x:v>PM-ALB-A</x:v>
      </x:c>
      <x:c r="F633" t="str">
        <x:v>精密金屬加工件</x:v>
      </x:c>
      <x:c r="G633" t="n">
        <x:v>500</x:v>
      </x:c>
      <x:c r="H633" t="n">
        <x:v>10929.64</x:v>
      </x:c>
      <x:c r="I633" t="n">
        <x:v>8156.95</x:v>
      </x:c>
      <x:c r="J633" s="22" t="n">
        <x:v>0.25368539128461687</x:v>
      </x:c>
      <x:c r="K633" s="22" t="n">
        <x:v>0.0908</x:v>
      </x:c>
      <x:c r="L633" t="n">
        <x:v>27</x:v>
      </x:c>
      <x:c r="M633" t="str">
        <x:v>成交</x:v>
      </x:c>
      <x:c r="N633" s="20" t="n">
        <x:v>45820</x:v>
      </x:c>
      <x:c r="O633"/>
    </x:row>
    <x:row r="634" ht="20" customHeight="1">
      <x:c r="A634" t="str">
        <x:v>Q00633</x:v>
      </x:c>
      <x:c r="B634" s="20" t="n">
        <x:v>45812</x:v>
      </x:c>
      <x:c r="C634" t="str">
        <x:v>AFT-006</x:v>
      </x:c>
      <x:c r="D634" t="str">
        <x:v>S01</x:v>
      </x:c>
      <x:c r="E634" t="str">
        <x:v>AUTO-BRK-A</x:v>
      </x:c>
      <x:c r="F634" t="str">
        <x:v>汽車精密零組件</x:v>
      </x:c>
      <x:c r="G634" t="n">
        <x:v>5000</x:v>
      </x:c>
      <x:c r="H634" t="n">
        <x:v>1660.29</x:v>
      </x:c>
      <x:c r="I634" t="n">
        <x:v>1429.04</x:v>
      </x:c>
      <x:c r="J634" s="22" t="n">
        <x:v>0.13928289636147903</x:v>
      </x:c>
      <x:c r="K634" s="22" t="n">
        <x:v>0.1026</x:v>
      </x:c>
      <x:c r="L634" t="n">
        <x:v>17</x:v>
      </x:c>
      <x:c r="M634" t="str">
        <x:v>成交</x:v>
      </x:c>
      <x:c r="N634" s="20" t="n">
        <x:v>45816</x:v>
      </x:c>
      <x:c r="O634"/>
    </x:row>
    <x:row r="635" ht="20" customHeight="1">
      <x:c r="A635" t="str">
        <x:v>Q00634</x:v>
      </x:c>
      <x:c r="B635" s="20" t="n">
        <x:v>45830</x:v>
      </x:c>
      <x:c r="C635" t="str">
        <x:v>AUT-014</x:v>
      </x:c>
      <x:c r="D635" t="str">
        <x:v>S06</x:v>
      </x:c>
      <x:c r="E635" t="str">
        <x:v>MECH-CON-B</x:v>
      </x:c>
      <x:c r="F635" t="str">
        <x:v>機電／自動化模組</x:v>
      </x:c>
      <x:c r="G635" t="n">
        <x:v>40</x:v>
      </x:c>
      <x:c r="H635" t="n">
        <x:v>163587.43</x:v>
      </x:c>
      <x:c r="I635" t="n">
        <x:v>118236.38</x:v>
      </x:c>
      <x:c r="J635" s="22" t="n">
        <x:v>0.2772282075707161</x:v>
      </x:c>
      <x:c r="K635" s="22" t="n">
        <x:v>0.0192</x:v>
      </x:c>
      <x:c r="L635" t="n">
        <x:v>50</x:v>
      </x:c>
      <x:c r="M635" t="str">
        <x:v>成交</x:v>
      </x:c>
      <x:c r="N635" s="20" t="n">
        <x:v>45835</x:v>
      </x:c>
      <x:c r="O635"/>
    </x:row>
    <x:row r="636" ht="20" customHeight="1">
      <x:c r="A636" t="str">
        <x:v>Q00635</x:v>
      </x:c>
      <x:c r="B636" s="20" t="n">
        <x:v>45831</x:v>
      </x:c>
      <x:c r="C636" t="str">
        <x:v>AFT-003</x:v>
      </x:c>
      <x:c r="D636" t="str">
        <x:v>S01</x:v>
      </x:c>
      <x:c r="E636" t="str">
        <x:v>PM-BRG-A</x:v>
      </x:c>
      <x:c r="F636" t="str">
        <x:v>精密金屬加工件</x:v>
      </x:c>
      <x:c r="G636" t="n">
        <x:v>800</x:v>
      </x:c>
      <x:c r="H636" t="n">
        <x:v>6279.33</x:v>
      </x:c>
      <x:c r="I636" t="n">
        <x:v>4368.11</x:v>
      </x:c>
      <x:c r="J636" s="22" t="n">
        <x:v>0.30436686716576455</x:v>
      </x:c>
      <x:c r="K636" s="22" t="n">
        <x:v>0.1228</x:v>
      </x:c>
      <x:c r="L636" t="n">
        <x:v>15</x:v>
      </x:c>
      <x:c r="M636" t="str">
        <x:v>未成交</x:v>
      </x:c>
      <x:c r="N636" s="20" t="n">
        <x:v>45834</x:v>
      </x:c>
      <x:c r="O636" t="str">
        <x:v>專案取消</x:v>
      </x:c>
    </x:row>
    <x:row r="637" ht="20" customHeight="1">
      <x:c r="A637" t="str">
        <x:v>Q00636</x:v>
      </x:c>
      <x:c r="B637" s="20" t="n">
        <x:v>45836</x:v>
      </x:c>
      <x:c r="C637" t="str">
        <x:v>IAT-009</x:v>
      </x:c>
      <x:c r="D637" t="str">
        <x:v>S04</x:v>
      </x:c>
      <x:c r="E637" t="str">
        <x:v>AUTO-FL-A</x:v>
      </x:c>
      <x:c r="F637" t="str">
        <x:v>汽車精密零組件</x:v>
      </x:c>
      <x:c r="G637" t="n">
        <x:v>10000</x:v>
      </x:c>
      <x:c r="H637" t="n">
        <x:v>1299.45</x:v>
      </x:c>
      <x:c r="I637" t="n">
        <x:v>952.1</x:v>
      </x:c>
      <x:c r="J637" s="22" t="n">
        <x:v>0.2673053984378006</x:v>
      </x:c>
      <x:c r="K637" s="22" t="n">
        <x:v>0.0645</x:v>
      </x:c>
      <x:c r="L637" t="n">
        <x:v>18</x:v>
      </x:c>
      <x:c r="M637" t="str">
        <x:v>成交</x:v>
      </x:c>
      <x:c r="N637" s="20" t="n">
        <x:v>45845</x:v>
      </x:c>
      <x:c r="O637"/>
    </x:row>
    <x:row r="638" ht="20" customHeight="1">
      <x:c r="A638" t="str">
        <x:v>Q00637</x:v>
      </x:c>
      <x:c r="B638" s="20" t="n">
        <x:v>45834</x:v>
      </x:c>
      <x:c r="C638" t="str">
        <x:v>EMS-004</x:v>
      </x:c>
      <x:c r="D638" t="str">
        <x:v>S03</x:v>
      </x:c>
      <x:c r="E638" t="str">
        <x:v>MECH-STG-B</x:v>
      </x:c>
      <x:c r="F638" t="str">
        <x:v>機電／自動化模組</x:v>
      </x:c>
      <x:c r="G638" t="n">
        <x:v>30</x:v>
      </x:c>
      <x:c r="H638" t="n">
        <x:v>185828.93</x:v>
      </x:c>
      <x:c r="I638" t="n">
        <x:v>152680.15</x:v>
      </x:c>
      <x:c r="J638" s="22" t="n">
        <x:v>0.1783833120063706</x:v>
      </x:c>
      <x:c r="K638" s="22" t="n">
        <x:v>0.1102</x:v>
      </x:c>
      <x:c r="L638" t="n">
        <x:v>57</x:v>
      </x:c>
      <x:c r="M638" t="str">
        <x:v>成交</x:v>
      </x:c>
      <x:c r="N638" s="20" t="n">
        <x:v>45840</x:v>
      </x:c>
      <x:c r="O638"/>
    </x:row>
    <x:row r="639" ht="20" customHeight="1">
      <x:c r="A639" t="str">
        <x:v>Q00638</x:v>
      </x:c>
      <x:c r="B639" s="20" t="n">
        <x:v>45838</x:v>
      </x:c>
      <x:c r="C639" t="str">
        <x:v>IAT-007</x:v>
      </x:c>
      <x:c r="D639" t="str">
        <x:v>S04</x:v>
      </x:c>
      <x:c r="E639" t="str">
        <x:v>PM-BRG-A</x:v>
      </x:c>
      <x:c r="F639" t="str">
        <x:v>精密金屬加工件</x:v>
      </x:c>
      <x:c r="G639" t="n">
        <x:v>1200</x:v>
      </x:c>
      <x:c r="H639" t="n">
        <x:v>6947</x:v>
      </x:c>
      <x:c r="I639" t="n">
        <x:v>4418.71</x:v>
      </x:c>
      <x:c r="J639" s="22" t="n">
        <x:v>0.3639398301425075</x:v>
      </x:c>
      <x:c r="K639" s="22" t="n">
        <x:v>0.0527</x:v>
      </x:c>
      <x:c r="L639" t="n">
        <x:v>20</x:v>
      </x:c>
      <x:c r="M639" t="str">
        <x:v>成交</x:v>
      </x:c>
      <x:c r="N639" s="20" t="n">
        <x:v>45850</x:v>
      </x:c>
      <x:c r="O639"/>
    </x:row>
    <x:row r="640" ht="20" customHeight="1">
      <x:c r="A640" t="str">
        <x:v>Q00639</x:v>
      </x:c>
      <x:c r="B640" s="20" t="n">
        <x:v>45828</x:v>
      </x:c>
      <x:c r="C640" t="str">
        <x:v>IAT-010</x:v>
      </x:c>
      <x:c r="D640" t="str">
        <x:v>S04</x:v>
      </x:c>
      <x:c r="E640" t="str">
        <x:v>PM-BRG-B</x:v>
      </x:c>
      <x:c r="F640" t="str">
        <x:v>精密金屬加工件</x:v>
      </x:c>
      <x:c r="G640" t="n">
        <x:v>500</x:v>
      </x:c>
      <x:c r="H640" t="n">
        <x:v>8231.89</x:v>
      </x:c>
      <x:c r="I640" t="n">
        <x:v>5458.9</x:v>
      </x:c>
      <x:c r="J640" s="22" t="n">
        <x:v>0.336859457548631</x:v>
      </x:c>
      <x:c r="K640" s="22" t="n">
        <x:v>0.014</x:v>
      </x:c>
      <x:c r="L640" t="n">
        <x:v>21</x:v>
      </x:c>
      <x:c r="M640" t="str">
        <x:v>未成交</x:v>
      </x:c>
      <x:c r="N640" s="20" t="n">
        <x:v>45836</x:v>
      </x:c>
      <x:c r="O640" t="str">
        <x:v>交期</x:v>
      </x:c>
    </x:row>
    <x:row r="641" ht="20" customHeight="1">
      <x:c r="A641" t="str">
        <x:v>Q00640</x:v>
      </x:c>
      <x:c r="B641" s="20" t="n">
        <x:v>45829</x:v>
      </x:c>
      <x:c r="C641" t="str">
        <x:v>IAT-004</x:v>
      </x:c>
      <x:c r="D641" t="str">
        <x:v>S05</x:v>
      </x:c>
      <x:c r="E641" t="str">
        <x:v>PM-SUS-A</x:v>
      </x:c>
      <x:c r="F641" t="str">
        <x:v>精密金屬加工件</x:v>
      </x:c>
      <x:c r="G641" t="n">
        <x:v>800</x:v>
      </x:c>
      <x:c r="H641" t="n">
        <x:v>10505.52</x:v>
      </x:c>
      <x:c r="I641" t="n">
        <x:v>7684.42</x:v>
      </x:c>
      <x:c r="J641" s="22" t="n">
        <x:v>0.2685350177811284</x:v>
      </x:c>
      <x:c r="K641" s="22" t="n">
        <x:v>0.0531</x:v>
      </x:c>
      <x:c r="L641" t="n">
        <x:v>18</x:v>
      </x:c>
      <x:c r="M641" t="str">
        <x:v>成交</x:v>
      </x:c>
      <x:c r="N641" s="20" t="n">
        <x:v>45836</x:v>
      </x:c>
      <x:c r="O641"/>
    </x:row>
    <x:row r="642" ht="20" customHeight="1">
      <x:c r="A642" t="str">
        <x:v>Q00641</x:v>
      </x:c>
      <x:c r="B642" s="20" t="n">
        <x:v>45821</x:v>
      </x:c>
      <x:c r="C642" t="str">
        <x:v>IAT-008</x:v>
      </x:c>
      <x:c r="D642" t="str">
        <x:v>S01</x:v>
      </x:c>
      <x:c r="E642" t="str">
        <x:v>SEMI-WH-A</x:v>
      </x:c>
      <x:c r="F642" t="str">
        <x:v>半導體設備零組件</x:v>
      </x:c>
      <x:c r="G642" t="n">
        <x:v>160</x:v>
      </x:c>
      <x:c r="H642" t="n">
        <x:v>116984.87</x:v>
      </x:c>
      <x:c r="I642" t="n">
        <x:v>91446.75</x:v>
      </x:c>
      <x:c r="J642" s="22" t="n">
        <x:v>0.21830276000648627</x:v>
      </x:c>
      <x:c r="K642" s="22" t="n">
        <x:v>0.028</x:v>
      </x:c>
      <x:c r="L642" t="n">
        <x:v>37</x:v>
      </x:c>
      <x:c r="M642" t="str">
        <x:v>成交</x:v>
      </x:c>
      <x:c r="N642" s="20" t="n">
        <x:v>45830</x:v>
      </x:c>
      <x:c r="O642"/>
    </x:row>
    <x:row r="643" ht="20" customHeight="1">
      <x:c r="A643" t="str">
        <x:v>Q00642</x:v>
      </x:c>
      <x:c r="B643" s="20" t="n">
        <x:v>45819</x:v>
      </x:c>
      <x:c r="C643" t="str">
        <x:v>IAT-006</x:v>
      </x:c>
      <x:c r="D643" t="str">
        <x:v>S01</x:v>
      </x:c>
      <x:c r="E643" t="str">
        <x:v>PM-ALB-B</x:v>
      </x:c>
      <x:c r="F643" t="str">
        <x:v>精密金屬加工件</x:v>
      </x:c>
      <x:c r="G643" t="n">
        <x:v>500</x:v>
      </x:c>
      <x:c r="H643" t="n">
        <x:v>16325.58</x:v>
      </x:c>
      <x:c r="I643" t="n">
        <x:v>11422.43</x:v>
      </x:c>
      <x:c r="J643" s="22" t="n">
        <x:v>0.30033542453009326</x:v>
      </x:c>
      <x:c r="K643" s="22" t="n">
        <x:v>0.0368</x:v>
      </x:c>
      <x:c r="L643" t="n">
        <x:v>31</x:v>
      </x:c>
      <x:c r="M643" t="str">
        <x:v>成交</x:v>
      </x:c>
      <x:c r="N643" s="20" t="n">
        <x:v>45825</x:v>
      </x:c>
      <x:c r="O643"/>
    </x:row>
    <x:row r="644" ht="20" customHeight="1">
      <x:c r="A644" t="str">
        <x:v>Q00643</x:v>
      </x:c>
      <x:c r="B644" s="20" t="n">
        <x:v>45814</x:v>
      </x:c>
      <x:c r="C644" t="str">
        <x:v>EMS-007</x:v>
      </x:c>
      <x:c r="D644" t="str">
        <x:v>S04</x:v>
      </x:c>
      <x:c r="E644" t="str">
        <x:v>AUTO-KN-A</x:v>
      </x:c>
      <x:c r="F644" t="str">
        <x:v>汽車精密零組件</x:v>
      </x:c>
      <x:c r="G644" t="n">
        <x:v>10000</x:v>
      </x:c>
      <x:c r="H644" t="n">
        <x:v>3125.52</x:v>
      </x:c>
      <x:c r="I644" t="n">
        <x:v>2218.65</x:v>
      </x:c>
      <x:c r="J644" s="22" t="n">
        <x:v>0.290150119020195</x:v>
      </x:c>
      <x:c r="K644" s="22" t="n">
        <x:v>0.067</x:v>
      </x:c>
      <x:c r="L644" t="n">
        <x:v>20</x:v>
      </x:c>
      <x:c r="M644" t="str">
        <x:v>成交</x:v>
      </x:c>
      <x:c r="N644" s="20" t="n">
        <x:v>45819</x:v>
      </x:c>
      <x:c r="O644"/>
    </x:row>
    <x:row r="645" ht="20" customHeight="1">
      <x:c r="A645" t="str">
        <x:v>Q00644</x:v>
      </x:c>
      <x:c r="B645" s="20" t="n">
        <x:v>45811</x:v>
      </x:c>
      <x:c r="C645" t="str">
        <x:v>EMS-008</x:v>
      </x:c>
      <x:c r="D645" t="str">
        <x:v>S02</x:v>
      </x:c>
      <x:c r="E645" t="str">
        <x:v>MECH-CON-A</x:v>
      </x:c>
      <x:c r="F645" t="str">
        <x:v>機電／自動化模組</x:v>
      </x:c>
      <x:c r="G645" t="n">
        <x:v>50</x:v>
      </x:c>
      <x:c r="H645" t="n">
        <x:v>112969.51</x:v>
      </x:c>
      <x:c r="I645" t="n">
        <x:v>83452.8</x:v>
      </x:c>
      <x:c r="J645" s="22" t="n">
        <x:v>0.2612803224516066</x:v>
      </x:c>
      <x:c r="K645" s="22" t="n">
        <x:v>0.0549</x:v>
      </x:c>
      <x:c r="L645" t="n">
        <x:v>26</x:v>
      </x:c>
      <x:c r="M645" t="str">
        <x:v>成交</x:v>
      </x:c>
      <x:c r="N645" s="20" t="n">
        <x:v>45820</x:v>
      </x:c>
      <x:c r="O645"/>
    </x:row>
    <x:row r="646" ht="20" customHeight="1">
      <x:c r="A646" t="str">
        <x:v>Q00645</x:v>
      </x:c>
      <x:c r="B646" s="20" t="n">
        <x:v>45823</x:v>
      </x:c>
      <x:c r="C646" t="str">
        <x:v>EMS-003</x:v>
      </x:c>
      <x:c r="D646" t="str">
        <x:v>S05</x:v>
      </x:c>
      <x:c r="E646" t="str">
        <x:v>AUTO-BRK-B</x:v>
      </x:c>
      <x:c r="F646" t="str">
        <x:v>汽車精密零組件</x:v>
      </x:c>
      <x:c r="G646" t="n">
        <x:v>10000</x:v>
      </x:c>
      <x:c r="H646" t="n">
        <x:v>2028.57</x:v>
      </x:c>
      <x:c r="I646" t="n">
        <x:v>1652.47</x:v>
      </x:c>
      <x:c r="J646" s="22" t="n">
        <x:v>0.1854015390151683</x:v>
      </x:c>
      <x:c r="K646" s="22" t="n">
        <x:v>0.1113</x:v>
      </x:c>
      <x:c r="L646" t="n">
        <x:v>20</x:v>
      </x:c>
      <x:c r="M646" t="str">
        <x:v>未成交</x:v>
      </x:c>
      <x:c r="N646" s="20" t="n">
        <x:v>45831</x:v>
      </x:c>
      <x:c r="O646" t="str">
        <x:v>競品</x:v>
      </x:c>
    </x:row>
    <x:row r="647" ht="20" customHeight="1">
      <x:c r="A647" t="str">
        <x:v>Q00646</x:v>
      </x:c>
      <x:c r="B647" s="20" t="n">
        <x:v>45836</x:v>
      </x:c>
      <x:c r="C647" t="str">
        <x:v>SEM-007</x:v>
      </x:c>
      <x:c r="D647" t="str">
        <x:v>S03</x:v>
      </x:c>
      <x:c r="E647" t="str">
        <x:v>PM-ALB-B</x:v>
      </x:c>
      <x:c r="F647" t="str">
        <x:v>精密金屬加工件</x:v>
      </x:c>
      <x:c r="G647" t="n">
        <x:v>800</x:v>
      </x:c>
      <x:c r="H647" t="n">
        <x:v>15083.87</x:v>
      </x:c>
      <x:c r="I647" t="n">
        <x:v>12038.98</x:v>
      </x:c>
      <x:c r="J647" s="22" t="n">
        <x:v>0.20186397787835622</x:v>
      </x:c>
      <x:c r="K647" s="22" t="n">
        <x:v>0.108</x:v>
      </x:c>
      <x:c r="L647" t="n">
        <x:v>24</x:v>
      </x:c>
      <x:c r="M647" t="str">
        <x:v>未成交</x:v>
      </x:c>
      <x:c r="N647" s="20" t="n">
        <x:v>45841</x:v>
      </x:c>
      <x:c r="O647" t="str">
        <x:v>專案取消</x:v>
      </x:c>
    </x:row>
    <x:row r="648" ht="20" customHeight="1">
      <x:c r="A648" t="str">
        <x:v>Q00647</x:v>
      </x:c>
      <x:c r="B648" s="20" t="n">
        <x:v>45818</x:v>
      </x:c>
      <x:c r="C648" t="str">
        <x:v>EMS-005</x:v>
      </x:c>
      <x:c r="D648" t="str">
        <x:v>S01</x:v>
      </x:c>
      <x:c r="E648" t="str">
        <x:v>SEMI-CHB-B</x:v>
      </x:c>
      <x:c r="F648" t="str">
        <x:v>半導體設備零組件</x:v>
      </x:c>
      <x:c r="G648" t="n">
        <x:v>80</x:v>
      </x:c>
      <x:c r="H648" t="n">
        <x:v>129198.9</x:v>
      </x:c>
      <x:c r="I648" t="n">
        <x:v>108858.71</x:v>
      </x:c>
      <x:c r="J648" s="22" t="n">
        <x:v>0.1574331515206398</x:v>
      </x:c>
      <x:c r="K648" s="22" t="n">
        <x:v>0.126</x:v>
      </x:c>
      <x:c r="L648" t="n">
        <x:v>40</x:v>
      </x:c>
      <x:c r="M648" t="str">
        <x:v>成交</x:v>
      </x:c>
      <x:c r="N648" s="20" t="n">
        <x:v>45822</x:v>
      </x:c>
      <x:c r="O648"/>
    </x:row>
    <x:row r="649" ht="20" customHeight="1">
      <x:c r="A649" t="str">
        <x:v>Q00648</x:v>
      </x:c>
      <x:c r="B649" s="20" t="n">
        <x:v>45819</x:v>
      </x:c>
      <x:c r="C649" t="str">
        <x:v>EMS-007</x:v>
      </x:c>
      <x:c r="D649" t="str">
        <x:v>S04</x:v>
      </x:c>
      <x:c r="E649" t="str">
        <x:v>PM-BRG-A</x:v>
      </x:c>
      <x:c r="F649" t="str">
        <x:v>精密金屬加工件</x:v>
      </x:c>
      <x:c r="G649" t="n">
        <x:v>1200</x:v>
      </x:c>
      <x:c r="H649" t="n">
        <x:v>6915.03</x:v>
      </x:c>
      <x:c r="I649" t="n">
        <x:v>4568.53</x:v>
      </x:c>
      <x:c r="J649" s="22" t="n">
        <x:v>0.33933330730307754</x:v>
      </x:c>
      <x:c r="K649" s="22" t="n">
        <x:v>0.0513</x:v>
      </x:c>
      <x:c r="L649" t="n">
        <x:v>21</x:v>
      </x:c>
      <x:c r="M649" t="str">
        <x:v>成交</x:v>
      </x:c>
      <x:c r="N649" s="20" t="n">
        <x:v>45828</x:v>
      </x:c>
      <x:c r="O649"/>
    </x:row>
    <x:row r="650" ht="20" customHeight="1">
      <x:c r="A650" t="str">
        <x:v>Q00649</x:v>
      </x:c>
      <x:c r="B650" s="20" t="n">
        <x:v>45824</x:v>
      </x:c>
      <x:c r="C650" t="str">
        <x:v>AFT-008</x:v>
      </x:c>
      <x:c r="D650" t="str">
        <x:v>S04</x:v>
      </x:c>
      <x:c r="E650" t="str">
        <x:v>PM-BRG-A</x:v>
      </x:c>
      <x:c r="F650" t="str">
        <x:v>精密金屬加工件</x:v>
      </x:c>
      <x:c r="G650" t="n">
        <x:v>800</x:v>
      </x:c>
      <x:c r="H650" t="n">
        <x:v>6459.77</x:v>
      </x:c>
      <x:c r="I650" t="n">
        <x:v>4519.5</x:v>
      </x:c>
      <x:c r="J650" s="22" t="n">
        <x:v>0.30036208719505497</x:v>
      </x:c>
      <x:c r="K650" s="22" t="n">
        <x:v>0.1037</x:v>
      </x:c>
      <x:c r="L650" t="n">
        <x:v>17</x:v>
      </x:c>
      <x:c r="M650" t="str">
        <x:v>成交</x:v>
      </x:c>
      <x:c r="N650" s="20" t="n">
        <x:v>45833</x:v>
      </x:c>
      <x:c r="O650"/>
    </x:row>
    <x:row r="651" ht="20" customHeight="1">
      <x:c r="A651" t="str">
        <x:v>Q00650</x:v>
      </x:c>
      <x:c r="B651" s="20" t="n">
        <x:v>45820</x:v>
      </x:c>
      <x:c r="C651" t="str">
        <x:v>IAT-002</x:v>
      </x:c>
      <x:c r="D651" t="str">
        <x:v>S01</x:v>
      </x:c>
      <x:c r="E651" t="str">
        <x:v>AUTO-MH-B</x:v>
      </x:c>
      <x:c r="F651" t="str">
        <x:v>汽車精密零組件</x:v>
      </x:c>
      <x:c r="G651" t="n">
        <x:v>5000</x:v>
      </x:c>
      <x:c r="H651" t="n">
        <x:v>2855.76</x:v>
      </x:c>
      <x:c r="I651" t="n">
        <x:v>2305.03</x:v>
      </x:c>
      <x:c r="J651" s="22" t="n">
        <x:v>0.19284883883799758</x:v>
      </x:c>
      <x:c r="K651" s="22" t="n">
        <x:v>0.087</x:v>
      </x:c>
      <x:c r="L651" t="n">
        <x:v>22</x:v>
      </x:c>
      <x:c r="M651" t="str">
        <x:v>未成交</x:v>
      </x:c>
      <x:c r="N651" s="20" t="n">
        <x:v>45824</x:v>
      </x:c>
      <x:c r="O651" t="str">
        <x:v>規格</x:v>
      </x:c>
    </x:row>
    <x:row r="652" ht="20" customHeight="1">
      <x:c r="A652" t="str">
        <x:v>Q00651</x:v>
      </x:c>
      <x:c r="B652" s="20" t="n">
        <x:v>45817</x:v>
      </x:c>
      <x:c r="C652" t="str">
        <x:v>AUT-005</x:v>
      </x:c>
      <x:c r="D652" t="str">
        <x:v>S04</x:v>
      </x:c>
      <x:c r="E652" t="str">
        <x:v>AUTO-BRK-A</x:v>
      </x:c>
      <x:c r="F652" t="str">
        <x:v>汽車精密零組件</x:v>
      </x:c>
      <x:c r="G652" t="n">
        <x:v>3000</x:v>
      </x:c>
      <x:c r="H652" t="n">
        <x:v>1647.69</x:v>
      </x:c>
      <x:c r="I652" t="n">
        <x:v>1366.27</x:v>
      </x:c>
      <x:c r="J652" s="22" t="n">
        <x:v>0.170796691125151</x:v>
      </x:c>
      <x:c r="K652" s="22" t="n">
        <x:v>0.1065</x:v>
      </x:c>
      <x:c r="L652" t="n">
        <x:v>13</x:v>
      </x:c>
      <x:c r="M652" t="str">
        <x:v>未成交</x:v>
      </x:c>
      <x:c r="N652" s="20" t="n">
        <x:v>45824</x:v>
      </x:c>
      <x:c r="O652" t="str">
        <x:v>交期</x:v>
      </x:c>
    </x:row>
    <x:row r="653" ht="20" customHeight="1">
      <x:c r="A653" t="str">
        <x:v>Q00652</x:v>
      </x:c>
      <x:c r="B653" s="20" t="n">
        <x:v>45827</x:v>
      </x:c>
      <x:c r="C653" t="str">
        <x:v>SEM-001</x:v>
      </x:c>
      <x:c r="D653" t="str">
        <x:v>S01</x:v>
      </x:c>
      <x:c r="E653" t="str">
        <x:v>SEMI-WH-B</x:v>
      </x:c>
      <x:c r="F653" t="str">
        <x:v>半導體設備零組件</x:v>
      </x:c>
      <x:c r="G653" t="n">
        <x:v>60</x:v>
      </x:c>
      <x:c r="H653" t="n">
        <x:v>168652.84</x:v>
      </x:c>
      <x:c r="I653" t="n">
        <x:v>130805.3</x:v>
      </x:c>
      <x:c r="J653" s="22" t="n">
        <x:v>0.22441092601820398</x:v>
      </x:c>
      <x:c r="K653" s="22" t="n">
        <x:v>0.059</x:v>
      </x:c>
      <x:c r="L653" t="n">
        <x:v>62</x:v>
      </x:c>
      <x:c r="M653" t="str">
        <x:v>成交</x:v>
      </x:c>
      <x:c r="N653" s="20" t="n">
        <x:v>45837</x:v>
      </x:c>
      <x:c r="O653"/>
    </x:row>
    <x:row r="654" ht="20" customHeight="1">
      <x:c r="A654" t="str">
        <x:v>Q00653</x:v>
      </x:c>
      <x:c r="B654" s="20" t="n">
        <x:v>45820</x:v>
      </x:c>
      <x:c r="C654" t="str">
        <x:v>SEM-003</x:v>
      </x:c>
      <x:c r="D654" t="str">
        <x:v>S02</x:v>
      </x:c>
      <x:c r="E654" t="str">
        <x:v>MECH-CON-B</x:v>
      </x:c>
      <x:c r="F654" t="str">
        <x:v>機電／自動化模組</x:v>
      </x:c>
      <x:c r="G654" t="n">
        <x:v>30</x:v>
      </x:c>
      <x:c r="H654" t="n">
        <x:v>160027.38</x:v>
      </x:c>
      <x:c r="I654" t="n">
        <x:v>119396.85</x:v>
      </x:c>
      <x:c r="J654" s="22" t="n">
        <x:v>0.2538973643135318</x:v>
      </x:c>
      <x:c r="K654" s="22" t="n">
        <x:v>0.0338</x:v>
      </x:c>
      <x:c r="L654" t="n">
        <x:v>50</x:v>
      </x:c>
      <x:c r="M654" t="str">
        <x:v>成交</x:v>
      </x:c>
      <x:c r="N654" s="20" t="n">
        <x:v>45829</x:v>
      </x:c>
      <x:c r="O654"/>
    </x:row>
    <x:row r="655" ht="20" customHeight="1">
      <x:c r="A655" t="str">
        <x:v>Q00654</x:v>
      </x:c>
      <x:c r="B655" s="20" t="n">
        <x:v>45861</x:v>
      </x:c>
      <x:c r="C655" t="str">
        <x:v>AUT-001</x:v>
      </x:c>
      <x:c r="D655" t="str">
        <x:v>S01</x:v>
      </x:c>
      <x:c r="E655" t="str">
        <x:v>MECH-CON-A</x:v>
      </x:c>
      <x:c r="F655" t="str">
        <x:v>機電／自動化模組</x:v>
      </x:c>
      <x:c r="G655" t="n">
        <x:v>40</x:v>
      </x:c>
      <x:c r="H655" t="n">
        <x:v>117159.82</x:v>
      </x:c>
      <x:c r="I655" t="n">
        <x:v>83880.51</x:v>
      </x:c>
      <x:c r="J655" s="22" t="n">
        <x:v>0.28405053882807274</x:v>
      </x:c>
      <x:c r="K655" s="22" t="n">
        <x:v>0.0172</x:v>
      </x:c>
      <x:c r="L655" t="n">
        <x:v>27</x:v>
      </x:c>
      <x:c r="M655" t="str">
        <x:v>成交</x:v>
      </x:c>
      <x:c r="N655" s="20" t="n">
        <x:v>45870</x:v>
      </x:c>
      <x:c r="O655"/>
    </x:row>
    <x:row r="656" ht="20" customHeight="1">
      <x:c r="A656" t="str">
        <x:v>Q00655</x:v>
      </x:c>
      <x:c r="B656" s="20" t="n">
        <x:v>45842</x:v>
      </x:c>
      <x:c r="C656" t="str">
        <x:v>EMS-002</x:v>
      </x:c>
      <x:c r="D656" t="str">
        <x:v>S05</x:v>
      </x:c>
      <x:c r="E656" t="str">
        <x:v>AUTO-FL-B</x:v>
      </x:c>
      <x:c r="F656" t="str">
        <x:v>汽車精密零組件</x:v>
      </x:c>
      <x:c r="G656" t="n">
        <x:v>3000</x:v>
      </x:c>
      <x:c r="H656" t="n">
        <x:v>1538.67</x:v>
      </x:c>
      <x:c r="I656" t="n">
        <x:v>1200.48</x:v>
      </x:c>
      <x:c r="J656" s="22" t="n">
        <x:v>0.21979371795121763</x:v>
      </x:c>
      <x:c r="K656" s="22" t="n">
        <x:v>0.0576</x:v>
      </x:c>
      <x:c r="L656" t="n">
        <x:v>17</x:v>
      </x:c>
      <x:c r="M656" t="str">
        <x:v>未成交</x:v>
      </x:c>
      <x:c r="N656" s="20" t="n">
        <x:v>45846</x:v>
      </x:c>
      <x:c r="O656" t="str">
        <x:v>交期</x:v>
      </x:c>
    </x:row>
    <x:row r="657" ht="20" customHeight="1">
      <x:c r="A657" t="str">
        <x:v>Q00656</x:v>
      </x:c>
      <x:c r="B657" s="20" t="n">
        <x:v>45850</x:v>
      </x:c>
      <x:c r="C657" t="str">
        <x:v>AUT-011</x:v>
      </x:c>
      <x:c r="D657" t="str">
        <x:v>S02</x:v>
      </x:c>
      <x:c r="E657" t="str">
        <x:v>PM-BRG-A</x:v>
      </x:c>
      <x:c r="F657" t="str">
        <x:v>精密金屬加工件</x:v>
      </x:c>
      <x:c r="G657" t="n">
        <x:v>300</x:v>
      </x:c>
      <x:c r="H657" t="n">
        <x:v>6806.53</x:v>
      </x:c>
      <x:c r="I657" t="n">
        <x:v>4378.34</x:v>
      </x:c>
      <x:c r="J657" s="22" t="n">
        <x:v>0.35674418536317326</x:v>
      </x:c>
      <x:c r="K657" s="22" t="n">
        <x:v>0.062</x:v>
      </x:c>
      <x:c r="L657" t="n">
        <x:v>16</x:v>
      </x:c>
      <x:c r="M657" t="str">
        <x:v>成交</x:v>
      </x:c>
      <x:c r="N657" s="20" t="n">
        <x:v>45855</x:v>
      </x:c>
      <x:c r="O657"/>
    </x:row>
    <x:row r="658" ht="20" customHeight="1">
      <x:c r="A658" t="str">
        <x:v>Q00657</x:v>
      </x:c>
      <x:c r="B658" s="20" t="n">
        <x:v>45842</x:v>
      </x:c>
      <x:c r="C658" t="str">
        <x:v>EMS-007</x:v>
      </x:c>
      <x:c r="D658" t="str">
        <x:v>S04</x:v>
      </x:c>
      <x:c r="E658" t="str">
        <x:v>AUTO-KN-B</x:v>
      </x:c>
      <x:c r="F658" t="str">
        <x:v>汽車精密零組件</x:v>
      </x:c>
      <x:c r="G658" t="n">
        <x:v>3000</x:v>
      </x:c>
      <x:c r="H658" t="n">
        <x:v>3675.18</x:v>
      </x:c>
      <x:c r="I658" t="n">
        <x:v>2663.76</x:v>
      </x:c>
      <x:c r="J658" s="22" t="n">
        <x:v>0.2752028472074836</x:v>
      </x:c>
      <x:c r="K658" s="22" t="n">
        <x:v>0.0787</x:v>
      </x:c>
      <x:c r="L658" t="n">
        <x:v>24</x:v>
      </x:c>
      <x:c r="M658" t="str">
        <x:v>成交</x:v>
      </x:c>
      <x:c r="N658" s="20" t="n">
        <x:v>45854</x:v>
      </x:c>
      <x:c r="O658"/>
    </x:row>
    <x:row r="659" ht="20" customHeight="1">
      <x:c r="A659" t="str">
        <x:v>Q00658</x:v>
      </x:c>
      <x:c r="B659" s="20" t="n">
        <x:v>45849</x:v>
      </x:c>
      <x:c r="C659" t="str">
        <x:v>IAT-002</x:v>
      </x:c>
      <x:c r="D659" t="str">
        <x:v>S01</x:v>
      </x:c>
      <x:c r="E659" t="str">
        <x:v>PM-VAC-B</x:v>
      </x:c>
      <x:c r="F659" t="str">
        <x:v>精密金屬加工件</x:v>
      </x:c>
      <x:c r="G659" t="n">
        <x:v>500</x:v>
      </x:c>
      <x:c r="H659" t="n">
        <x:v>23193.58</x:v>
      </x:c>
      <x:c r="I659" t="n">
        <x:v>16030.25</x:v>
      </x:c>
      <x:c r="J659" s="22" t="n">
        <x:v>0.30884969030223025</x:v>
      </x:c>
      <x:c r="K659" s="22" t="n">
        <x:v>0.026</x:v>
      </x:c>
      <x:c r="L659" t="n">
        <x:v>29</x:v>
      </x:c>
      <x:c r="M659" t="str">
        <x:v>成交</x:v>
      </x:c>
      <x:c r="N659" s="20" t="n">
        <x:v>45859</x:v>
      </x:c>
      <x:c r="O659"/>
    </x:row>
    <x:row r="660" ht="20" customHeight="1">
      <x:c r="A660" t="str">
        <x:v>Q00659</x:v>
      </x:c>
      <x:c r="B660" s="20" t="n">
        <x:v>45853</x:v>
      </x:c>
      <x:c r="C660" t="str">
        <x:v>AFT-004</x:v>
      </x:c>
      <x:c r="D660" t="str">
        <x:v>S02</x:v>
      </x:c>
      <x:c r="E660" t="str">
        <x:v>PM-BRG-B</x:v>
      </x:c>
      <x:c r="F660" t="str">
        <x:v>精密金屬加工件</x:v>
      </x:c>
      <x:c r="G660" t="n">
        <x:v>1600</x:v>
      </x:c>
      <x:c r="H660" t="n">
        <x:v>7675.99</x:v>
      </x:c>
      <x:c r="I660" t="n">
        <x:v>5246.91</x:v>
      </x:c>
      <x:c r="J660" s="22" t="n">
        <x:v>0.3164516889678074</x:v>
      </x:c>
      <x:c r="K660" s="22" t="n">
        <x:v>0.0995</x:v>
      </x:c>
      <x:c r="L660" t="n">
        <x:v>25</x:v>
      </x:c>
      <x:c r="M660" t="str">
        <x:v>成交</x:v>
      </x:c>
      <x:c r="N660" s="20" t="n">
        <x:v>45863</x:v>
      </x:c>
      <x:c r="O660"/>
    </x:row>
    <x:row r="661" ht="20" customHeight="1">
      <x:c r="A661" t="str">
        <x:v>Q00660</x:v>
      </x:c>
      <x:c r="B661" s="20" t="n">
        <x:v>45850</x:v>
      </x:c>
      <x:c r="C661" t="str">
        <x:v>AFT-005</x:v>
      </x:c>
      <x:c r="D661" t="str">
        <x:v>S05</x:v>
      </x:c>
      <x:c r="E661" t="str">
        <x:v>PM-SUS-A</x:v>
      </x:c>
      <x:c r="F661" t="str">
        <x:v>精密金屬加工件</x:v>
      </x:c>
      <x:c r="G661" t="n">
        <x:v>1200</x:v>
      </x:c>
      <x:c r="H661" t="n">
        <x:v>10442.85</x:v>
      </x:c>
      <x:c r="I661" t="n">
        <x:v>7430.98</x:v>
      </x:c>
      <x:c r="J661" s="22" t="n">
        <x:v>0.2884145611590706</x:v>
      </x:c>
      <x:c r="K661" s="22" t="n">
        <x:v>0.0634</x:v>
      </x:c>
      <x:c r="L661" t="n">
        <x:v>19</x:v>
      </x:c>
      <x:c r="M661" t="str">
        <x:v>未成交</x:v>
      </x:c>
      <x:c r="N661" s="20" t="n">
        <x:v>45861</x:v>
      </x:c>
      <x:c r="O661" t="str">
        <x:v>交期</x:v>
      </x:c>
    </x:row>
    <x:row r="662" ht="20" customHeight="1">
      <x:c r="A662" t="str">
        <x:v>Q00661</x:v>
      </x:c>
      <x:c r="B662" s="20" t="n">
        <x:v>45867</x:v>
      </x:c>
      <x:c r="C662" t="str">
        <x:v>IAT-009</x:v>
      </x:c>
      <x:c r="D662" t="str">
        <x:v>S04</x:v>
      </x:c>
      <x:c r="E662" t="str">
        <x:v>AUTO-BS-A</x:v>
      </x:c>
      <x:c r="F662" t="str">
        <x:v>汽車精密零組件</x:v>
      </x:c>
      <x:c r="G662" t="n">
        <x:v>13000</x:v>
      </x:c>
      <x:c r="H662" t="n">
        <x:v>756.36</x:v>
      </x:c>
      <x:c r="I662" t="n">
        <x:v>544.06</x:v>
      </x:c>
      <x:c r="J662" s="22" t="n">
        <x:v>0.28068644560791167</x:v>
      </x:c>
      <x:c r="K662" s="22" t="n">
        <x:v>0.0945</x:v>
      </x:c>
      <x:c r="L662" t="n">
        <x:v>13</x:v>
      </x:c>
      <x:c r="M662" t="str">
        <x:v>成交</x:v>
      </x:c>
      <x:c r="N662" s="20" t="n">
        <x:v>45871</x:v>
      </x:c>
      <x:c r="O662"/>
    </x:row>
    <x:row r="663" ht="20" customHeight="1">
      <x:c r="A663" t="str">
        <x:v>Q00662</x:v>
      </x:c>
      <x:c r="B663" s="20" t="n">
        <x:v>45841</x:v>
      </x:c>
      <x:c r="C663" t="str">
        <x:v>AUT-011</x:v>
      </x:c>
      <x:c r="D663" t="str">
        <x:v>S02</x:v>
      </x:c>
      <x:c r="E663" t="str">
        <x:v>AUTO-BRK-B</x:v>
      </x:c>
      <x:c r="F663" t="str">
        <x:v>汽車精密零組件</x:v>
      </x:c>
      <x:c r="G663" t="n">
        <x:v>10000</x:v>
      </x:c>
      <x:c r="H663" t="n">
        <x:v>1952.44</x:v>
      </x:c>
      <x:c r="I663" t="n">
        <x:v>1710.23</x:v>
      </x:c>
      <x:c r="J663" s="22" t="n">
        <x:v>0.12405502857962346</x:v>
      </x:c>
      <x:c r="K663" s="22" t="n">
        <x:v>0.1363</x:v>
      </x:c>
      <x:c r="L663" t="n">
        <x:v>18</x:v>
      </x:c>
      <x:c r="M663" t="str">
        <x:v>未成交</x:v>
      </x:c>
      <x:c r="N663" s="20" t="n">
        <x:v>45846</x:v>
      </x:c>
      <x:c r="O663" t="str">
        <x:v>競品</x:v>
      </x:c>
    </x:row>
    <x:row r="664" ht="20" customHeight="1">
      <x:c r="A664" t="str">
        <x:v>Q00663</x:v>
      </x:c>
      <x:c r="B664" s="20" t="n">
        <x:v>45847</x:v>
      </x:c>
      <x:c r="C664" t="str">
        <x:v>AFT-003</x:v>
      </x:c>
      <x:c r="D664" t="str">
        <x:v>S01</x:v>
      </x:c>
      <x:c r="E664" t="str">
        <x:v>AUTO-FL-A</x:v>
      </x:c>
      <x:c r="F664" t="str">
        <x:v>汽車精密零組件</x:v>
      </x:c>
      <x:c r="G664" t="n">
        <x:v>13000</x:v>
      </x:c>
      <x:c r="H664" t="n">
        <x:v>1332.92</x:v>
      </x:c>
      <x:c r="I664" t="n">
        <x:v>1004.06</x:v>
      </x:c>
      <x:c r="J664" s="22" t="n">
        <x:v>0.24672148365993465</x:v>
      </x:c>
      <x:c r="K664" s="22" t="n">
        <x:v>0.0205</x:v>
      </x:c>
      <x:c r="L664" t="n">
        <x:v>11</x:v>
      </x:c>
      <x:c r="M664" t="str">
        <x:v>成交</x:v>
      </x:c>
      <x:c r="N664" s="20" t="n">
        <x:v>45855</x:v>
      </x:c>
      <x:c r="O664"/>
    </x:row>
    <x:row r="665" ht="20" customHeight="1">
      <x:c r="A665" t="str">
        <x:v>Q00664</x:v>
      </x:c>
      <x:c r="B665" s="20" t="n">
        <x:v>45861</x:v>
      </x:c>
      <x:c r="C665" t="str">
        <x:v>SEM-010</x:v>
      </x:c>
      <x:c r="D665" t="str">
        <x:v>S01</x:v>
      </x:c>
      <x:c r="E665" t="str">
        <x:v>PM-VAC-B</x:v>
      </x:c>
      <x:c r="F665" t="str">
        <x:v>精密金屬加工件</x:v>
      </x:c>
      <x:c r="G665" t="n">
        <x:v>1600</x:v>
      </x:c>
      <x:c r="H665" t="n">
        <x:v>22641.79</x:v>
      </x:c>
      <x:c r="I665" t="n">
        <x:v>15821.87</x:v>
      </x:c>
      <x:c r="J665" s="22" t="n">
        <x:v>0.30120940084684117</x:v>
      </x:c>
      <x:c r="K665" s="22" t="n">
        <x:v>0.0286</x:v>
      </x:c>
      <x:c r="L665" t="n">
        <x:v>38</x:v>
      </x:c>
      <x:c r="M665" t="str">
        <x:v>成交</x:v>
      </x:c>
      <x:c r="N665" s="20" t="n">
        <x:v>45871</x:v>
      </x:c>
      <x:c r="O665"/>
    </x:row>
    <x:row r="666" ht="20" customHeight="1">
      <x:c r="A666" t="str">
        <x:v>Q00665</x:v>
      </x:c>
      <x:c r="B666" s="20" t="n">
        <x:v>45866</x:v>
      </x:c>
      <x:c r="C666" t="str">
        <x:v>IAT-009</x:v>
      </x:c>
      <x:c r="D666" t="str">
        <x:v>S04</x:v>
      </x:c>
      <x:c r="E666" t="str">
        <x:v>MECH-CON-A</x:v>
      </x:c>
      <x:c r="F666" t="str">
        <x:v>機電／自動化模組</x:v>
      </x:c>
      <x:c r="G666" t="n">
        <x:v>10</x:v>
      </x:c>
      <x:c r="H666" t="n">
        <x:v>104201.4</x:v>
      </x:c>
      <x:c r="I666" t="n">
        <x:v>84069.82</x:v>
      </x:c>
      <x:c r="J666" s="22" t="n">
        <x:v>0.19319874780953028</x:v>
      </x:c>
      <x:c r="K666" s="22" t="n">
        <x:v>0.1136</x:v>
      </x:c>
      <x:c r="L666" t="n">
        <x:v>29</x:v>
      </x:c>
      <x:c r="M666" t="str">
        <x:v>成交</x:v>
      </x:c>
      <x:c r="N666" s="20" t="n">
        <x:v>45869</x:v>
      </x:c>
      <x:c r="O666"/>
    </x:row>
    <x:row r="667" ht="20" customHeight="1">
      <x:c r="A667" t="str">
        <x:v>Q00666</x:v>
      </x:c>
      <x:c r="B667" s="20" t="n">
        <x:v>45840</x:v>
      </x:c>
      <x:c r="C667" t="str">
        <x:v>EMS-004</x:v>
      </x:c>
      <x:c r="D667" t="str">
        <x:v>S03</x:v>
      </x:c>
      <x:c r="E667" t="str">
        <x:v>SEMI-CHB-A</x:v>
      </x:c>
      <x:c r="F667" t="str">
        <x:v>半導體設備零組件</x:v>
      </x:c>
      <x:c r="G667" t="n">
        <x:v>120</x:v>
      </x:c>
      <x:c r="H667" t="n">
        <x:v>88501.62</x:v>
      </x:c>
      <x:c r="I667" t="n">
        <x:v>70467.73</x:v>
      </x:c>
      <x:c r="J667" s="22" t="n">
        <x:v>0.20376903835206633</x:v>
      </x:c>
      <x:c r="K667" s="22" t="n">
        <x:v>0.0913</x:v>
      </x:c>
      <x:c r="L667" t="n">
        <x:v>34</x:v>
      </x:c>
      <x:c r="M667" t="str">
        <x:v>未成交</x:v>
      </x:c>
      <x:c r="N667" s="20" t="n">
        <x:v>45848</x:v>
      </x:c>
      <x:c r="O667" t="str">
        <x:v>價格</x:v>
      </x:c>
    </x:row>
    <x:row r="668" ht="20" customHeight="1">
      <x:c r="A668" t="str">
        <x:v>Q00667</x:v>
      </x:c>
      <x:c r="B668" s="20" t="n">
        <x:v>45840</x:v>
      </x:c>
      <x:c r="C668" t="str">
        <x:v>EMS-008</x:v>
      </x:c>
      <x:c r="D668" t="str">
        <x:v>S02</x:v>
      </x:c>
      <x:c r="E668" t="str">
        <x:v>SEMI-WH-A</x:v>
      </x:c>
      <x:c r="F668" t="str">
        <x:v>半導體設備零組件</x:v>
      </x:c>
      <x:c r="G668" t="n">
        <x:v>40</x:v>
      </x:c>
      <x:c r="H668" t="n">
        <x:v>114842.8</x:v>
      </x:c>
      <x:c r="I668" t="n">
        <x:v>90930.61</x:v>
      </x:c>
      <x:c r="J668" s="22" t="n">
        <x:v>0.20821671014639143</x:v>
      </x:c>
      <x:c r="K668" s="22" t="n">
        <x:v>0.0451</x:v>
      </x:c>
      <x:c r="L668" t="n">
        <x:v>49</x:v>
      </x:c>
      <x:c r="M668" t="str">
        <x:v>成交</x:v>
      </x:c>
      <x:c r="N668" s="20" t="n">
        <x:v>45843</x:v>
      </x:c>
      <x:c r="O668"/>
    </x:row>
    <x:row r="669" ht="20" customHeight="1">
      <x:c r="A669" t="str">
        <x:v>Q00668</x:v>
      </x:c>
      <x:c r="B669" s="20" t="n">
        <x:v>45868</x:v>
      </x:c>
      <x:c r="C669" t="str">
        <x:v>SEM-002</x:v>
      </x:c>
      <x:c r="D669" t="str">
        <x:v>S02</x:v>
      </x:c>
      <x:c r="E669" t="str">
        <x:v>MECH-CON-B</x:v>
      </x:c>
      <x:c r="F669" t="str">
        <x:v>機電／自動化模組</x:v>
      </x:c>
      <x:c r="G669" t="n">
        <x:v>20</x:v>
      </x:c>
      <x:c r="H669" t="n">
        <x:v>147399.93</x:v>
      </x:c>
      <x:c r="I669" t="n">
        <x:v>116184.65</x:v>
      </x:c>
      <x:c r="J669" s="22" t="n">
        <x:v>0.2117726921579949</x:v>
      </x:c>
      <x:c r="K669" s="22" t="n">
        <x:v>0.1164</x:v>
      </x:c>
      <x:c r="L669" t="n">
        <x:v>33</x:v>
      </x:c>
      <x:c r="M669" t="str">
        <x:v>成交</x:v>
      </x:c>
      <x:c r="N669" s="20" t="n">
        <x:v>45874</x:v>
      </x:c>
      <x:c r="O669"/>
    </x:row>
    <x:row r="670" ht="20" customHeight="1">
      <x:c r="A670" t="str">
        <x:v>Q00669</x:v>
      </x:c>
      <x:c r="B670" s="20" t="n">
        <x:v>45847</x:v>
      </x:c>
      <x:c r="C670" t="str">
        <x:v>AUT-009</x:v>
      </x:c>
      <x:c r="D670" t="str">
        <x:v>S04</x:v>
      </x:c>
      <x:c r="E670" t="str">
        <x:v>MECH-CON-A</x:v>
      </x:c>
      <x:c r="F670" t="str">
        <x:v>機電／自動化模組</x:v>
      </x:c>
      <x:c r="G670" t="n">
        <x:v>10</x:v>
      </x:c>
      <x:c r="H670" t="n">
        <x:v>114704.02</x:v>
      </x:c>
      <x:c r="I670" t="n">
        <x:v>81186.03</x:v>
      </x:c>
      <x:c r="J670" s="22" t="n">
        <x:v>0.2922128622867795</x:v>
      </x:c>
      <x:c r="K670" s="22" t="n">
        <x:v>0.025</x:v>
      </x:c>
      <x:c r="L670" t="n">
        <x:v>27</x:v>
      </x:c>
      <x:c r="M670" t="str">
        <x:v>成交</x:v>
      </x:c>
      <x:c r="N670" s="20" t="n">
        <x:v>45855</x:v>
      </x:c>
      <x:c r="O670"/>
    </x:row>
    <x:row r="671" ht="20" customHeight="1">
      <x:c r="A671" t="str">
        <x:v>Q00670</x:v>
      </x:c>
      <x:c r="B671" s="20" t="n">
        <x:v>45840</x:v>
      </x:c>
      <x:c r="C671" t="str">
        <x:v>EMS-007</x:v>
      </x:c>
      <x:c r="D671" t="str">
        <x:v>S04</x:v>
      </x:c>
      <x:c r="E671" t="str">
        <x:v>MECH-STG-A</x:v>
      </x:c>
      <x:c r="F671" t="str">
        <x:v>機電／自動化模組</x:v>
      </x:c>
      <x:c r="G671" t="n">
        <x:v>10</x:v>
      </x:c>
      <x:c r="H671" t="n">
        <x:v>134944.06</x:v>
      </x:c>
      <x:c r="I671" t="n">
        <x:v>107608.71</x:v>
      </x:c>
      <x:c r="J671" s="22" t="n">
        <x:v>0.20256801225633786</x:v>
      </x:c>
      <x:c r="K671" s="22" t="n">
        <x:v>0.0576</x:v>
      </x:c>
      <x:c r="L671" t="n">
        <x:v>36</x:v>
      </x:c>
      <x:c r="M671" t="str">
        <x:v>成交</x:v>
      </x:c>
      <x:c r="N671" s="20" t="n">
        <x:v>45845</x:v>
      </x:c>
      <x:c r="O671"/>
    </x:row>
    <x:row r="672" ht="20" customHeight="1">
      <x:c r="A672" t="str">
        <x:v>Q00671</x:v>
      </x:c>
      <x:c r="B672" s="20" t="n">
        <x:v>45843</x:v>
      </x:c>
      <x:c r="C672" t="str">
        <x:v>SEM-008</x:v>
      </x:c>
      <x:c r="D672" t="str">
        <x:v>S04</x:v>
      </x:c>
      <x:c r="E672" t="str">
        <x:v>MECH-CON-A</x:v>
      </x:c>
      <x:c r="F672" t="str">
        <x:v>機電／自動化模組</x:v>
      </x:c>
      <x:c r="G672" t="n">
        <x:v>20</x:v>
      </x:c>
      <x:c r="H672" t="n">
        <x:v>110700.14</x:v>
      </x:c>
      <x:c r="I672" t="n">
        <x:v>82875.64</x:v>
      </x:c>
      <x:c r="J672" s="22" t="n">
        <x:v>0.2513501789609299</x:v>
      </x:c>
      <x:c r="K672" s="22" t="n">
        <x:v>0.0739</x:v>
      </x:c>
      <x:c r="L672" t="n">
        <x:v>34</x:v>
      </x:c>
      <x:c r="M672" t="str">
        <x:v>未成交</x:v>
      </x:c>
      <x:c r="N672" s="20" t="n">
        <x:v>45851</x:v>
      </x:c>
      <x:c r="O672" t="str">
        <x:v>規格</x:v>
      </x:c>
    </x:row>
    <x:row r="673" ht="20" customHeight="1">
      <x:c r="A673" t="str">
        <x:v>Q00672</x:v>
      </x:c>
      <x:c r="B673" s="20" t="n">
        <x:v>45858</x:v>
      </x:c>
      <x:c r="C673" t="str">
        <x:v>AUT-004</x:v>
      </x:c>
      <x:c r="D673" t="str">
        <x:v>S03</x:v>
      </x:c>
      <x:c r="E673" t="str">
        <x:v>AUTO-LG-B</x:v>
      </x:c>
      <x:c r="F673" t="str">
        <x:v>汽車精密零組件</x:v>
      </x:c>
      <x:c r="G673" t="n">
        <x:v>10000</x:v>
      </x:c>
      <x:c r="H673" t="n">
        <x:v>1241.61</x:v>
      </x:c>
      <x:c r="I673" t="n">
        <x:v>945.62</x:v>
      </x:c>
      <x:c r="J673" s="22" t="n">
        <x:v>0.23839208769259262</x:v>
      </x:c>
      <x:c r="K673" s="22" t="n">
        <x:v>0.0524</x:v>
      </x:c>
      <x:c r="L673" t="n">
        <x:v>14</x:v>
      </x:c>
      <x:c r="M673" t="str">
        <x:v>成交</x:v>
      </x:c>
      <x:c r="N673" s="20" t="n">
        <x:v>45864</x:v>
      </x:c>
      <x:c r="O673"/>
    </x:row>
    <x:row r="674" ht="20" customHeight="1">
      <x:c r="A674" t="str">
        <x:v>Q00673</x:v>
      </x:c>
      <x:c r="B674" s="20" t="n">
        <x:v>45850</x:v>
      </x:c>
      <x:c r="C674" t="str">
        <x:v>EMS-003</x:v>
      </x:c>
      <x:c r="D674" t="str">
        <x:v>S05</x:v>
      </x:c>
      <x:c r="E674" t="str">
        <x:v>AUTO-LG-A</x:v>
      </x:c>
      <x:c r="F674" t="str">
        <x:v>汽車精密零組件</x:v>
      </x:c>
      <x:c r="G674" t="n">
        <x:v>10000</x:v>
      </x:c>
      <x:c r="H674" t="n">
        <x:v>1124.4</x:v>
      </x:c>
      <x:c r="I674" t="n">
        <x:v>851.25</x:v>
      </x:c>
      <x:c r="J674" s="22" t="n">
        <x:v>0.24292956243329783</x:v>
      </x:c>
      <x:c r="K674" s="22" t="n">
        <x:v>0.035</x:v>
      </x:c>
      <x:c r="L674" t="n">
        <x:v>19</x:v>
      </x:c>
      <x:c r="M674" t="str">
        <x:v>成交</x:v>
      </x:c>
      <x:c r="N674" s="20" t="n">
        <x:v>45860</x:v>
      </x:c>
      <x:c r="O674"/>
    </x:row>
    <x:row r="675" ht="20" customHeight="1">
      <x:c r="A675" t="str">
        <x:v>Q00674</x:v>
      </x:c>
      <x:c r="B675" s="20" t="n">
        <x:v>45864</x:v>
      </x:c>
      <x:c r="C675" t="str">
        <x:v>SEM-002</x:v>
      </x:c>
      <x:c r="D675" t="str">
        <x:v>S02</x:v>
      </x:c>
      <x:c r="E675" t="str">
        <x:v>PM-VAC-A</x:v>
      </x:c>
      <x:c r="F675" t="str">
        <x:v>精密金屬加工件</x:v>
      </x:c>
      <x:c r="G675" t="n">
        <x:v>500</x:v>
      </x:c>
      <x:c r="H675" t="n">
        <x:v>15322.59</x:v>
      </x:c>
      <x:c r="I675" t="n">
        <x:v>10902.2</x:v>
      </x:c>
      <x:c r="J675" s="22" t="n">
        <x:v>0.28848843439653477</x:v>
      </x:c>
      <x:c r="K675" s="22" t="n">
        <x:v>0.0818</x:v>
      </x:c>
      <x:c r="L675" t="n">
        <x:v>32</x:v>
      </x:c>
      <x:c r="M675" t="str">
        <x:v>未成交</x:v>
      </x:c>
      <x:c r="N675" s="20" t="n">
        <x:v>45868</x:v>
      </x:c>
      <x:c r="O675" t="str">
        <x:v>價格</x:v>
      </x:c>
    </x:row>
    <x:row r="676" ht="20" customHeight="1">
      <x:c r="A676" t="str">
        <x:v>Q00675</x:v>
      </x:c>
      <x:c r="B676" s="20" t="n">
        <x:v>45846</x:v>
      </x:c>
      <x:c r="C676" t="str">
        <x:v>AFT-008</x:v>
      </x:c>
      <x:c r="D676" t="str">
        <x:v>S04</x:v>
      </x:c>
      <x:c r="E676" t="str">
        <x:v>PM-BRG-B</x:v>
      </x:c>
      <x:c r="F676" t="str">
        <x:v>精密金屬加工件</x:v>
      </x:c>
      <x:c r="G676" t="n">
        <x:v>1200</x:v>
      </x:c>
      <x:c r="H676" t="n">
        <x:v>7729.34</x:v>
      </x:c>
      <x:c r="I676" t="n">
        <x:v>5592.73</x:v>
      </x:c>
      <x:c r="J676" s="22" t="n">
        <x:v>0.2764285178294655</x:v>
      </x:c>
      <x:c r="K676" s="22" t="n">
        <x:v>0.0685</x:v>
      </x:c>
      <x:c r="L676" t="n">
        <x:v>22</x:v>
      </x:c>
      <x:c r="M676" t="str">
        <x:v>成交</x:v>
      </x:c>
      <x:c r="N676" s="20" t="n">
        <x:v>45854</x:v>
      </x:c>
      <x:c r="O676"/>
    </x:row>
    <x:row r="677" ht="20" customHeight="1">
      <x:c r="A677" t="str">
        <x:v>Q00676</x:v>
      </x:c>
      <x:c r="B677" s="20" t="n">
        <x:v>45861</x:v>
      </x:c>
      <x:c r="C677" t="str">
        <x:v>AFT-007</x:v>
      </x:c>
      <x:c r="D677" t="str">
        <x:v>S04</x:v>
      </x:c>
      <x:c r="E677" t="str">
        <x:v>PM-SUS-B</x:v>
      </x:c>
      <x:c r="F677" t="str">
        <x:v>精密金屬加工件</x:v>
      </x:c>
      <x:c r="G677" t="n">
        <x:v>800</x:v>
      </x:c>
      <x:c r="H677" t="n">
        <x:v>14152.47</x:v>
      </x:c>
      <x:c r="I677" t="n">
        <x:v>10852.54</x:v>
      </x:c>
      <x:c r="J677" s="22" t="n">
        <x:v>0.23316989896463294</x:v>
      </x:c>
      <x:c r="K677" s="22" t="n">
        <x:v>0.0962</x:v>
      </x:c>
      <x:c r="L677" t="n">
        <x:v>28</x:v>
      </x:c>
      <x:c r="M677" t="str">
        <x:v>成交</x:v>
      </x:c>
      <x:c r="N677" s="20" t="n">
        <x:v>45871</x:v>
      </x:c>
      <x:c r="O677"/>
    </x:row>
    <x:row r="678" ht="20" customHeight="1">
      <x:c r="A678" t="str">
        <x:v>Q00677</x:v>
      </x:c>
      <x:c r="B678" s="20" t="n">
        <x:v>45859</x:v>
      </x:c>
      <x:c r="C678" t="str">
        <x:v>SEM-008</x:v>
      </x:c>
      <x:c r="D678" t="str">
        <x:v>S04</x:v>
      </x:c>
      <x:c r="E678" t="str">
        <x:v>SEMI-WH-A</x:v>
      </x:c>
      <x:c r="F678" t="str">
        <x:v>半導體設備零組件</x:v>
      </x:c>
      <x:c r="G678" t="n">
        <x:v>60</x:v>
      </x:c>
      <x:c r="H678" t="n">
        <x:v>111499.24</x:v>
      </x:c>
      <x:c r="I678" t="n">
        <x:v>87149.71</x:v>
      </x:c>
      <x:c r="J678" s="22" t="n">
        <x:v>0.21838292350692254</x:v>
      </x:c>
      <x:c r="K678" s="22" t="n">
        <x:v>0.0628</x:v>
      </x:c>
      <x:c r="L678" t="n">
        <x:v>53</x:v>
      </x:c>
      <x:c r="M678" t="str">
        <x:v>成交</x:v>
      </x:c>
      <x:c r="N678" s="20" t="n">
        <x:v>45866</x:v>
      </x:c>
      <x:c r="O678"/>
    </x:row>
    <x:row r="679" ht="20" customHeight="1">
      <x:c r="A679" t="str">
        <x:v>Q00678</x:v>
      </x:c>
      <x:c r="B679" s="20" t="n">
        <x:v>45851</x:v>
      </x:c>
      <x:c r="C679" t="str">
        <x:v>AUT-002</x:v>
      </x:c>
      <x:c r="D679" t="str">
        <x:v>S04</x:v>
      </x:c>
      <x:c r="E679" t="str">
        <x:v>AUTO-LG-A</x:v>
      </x:c>
      <x:c r="F679" t="str">
        <x:v>汽車精密零組件</x:v>
      </x:c>
      <x:c r="G679" t="n">
        <x:v>5000</x:v>
      </x:c>
      <x:c r="H679" t="n">
        <x:v>1121.59</x:v>
      </x:c>
      <x:c r="I679" t="n">
        <x:v>834.67</x:v>
      </x:c>
      <x:c r="J679" s="22" t="n">
        <x:v>0.25581540491623495</x:v>
      </x:c>
      <x:c r="K679" s="22" t="n">
        <x:v>0.057</x:v>
      </x:c>
      <x:c r="L679" t="n">
        <x:v>14</x:v>
      </x:c>
      <x:c r="M679" t="str">
        <x:v>未成交</x:v>
      </x:c>
      <x:c r="N679" s="20" t="n">
        <x:v>45856</x:v>
      </x:c>
      <x:c r="O679" t="str">
        <x:v>價格</x:v>
      </x:c>
    </x:row>
    <x:row r="680" ht="20" customHeight="1">
      <x:c r="A680" t="str">
        <x:v>Q00679</x:v>
      </x:c>
      <x:c r="B680" s="20" t="n">
        <x:v>45868</x:v>
      </x:c>
      <x:c r="C680" t="str">
        <x:v>EMS-002</x:v>
      </x:c>
      <x:c r="D680" t="str">
        <x:v>S05</x:v>
      </x:c>
      <x:c r="E680" t="str">
        <x:v>MECH-CON-B</x:v>
      </x:c>
      <x:c r="F680" t="str">
        <x:v>機電／自動化模組</x:v>
      </x:c>
      <x:c r="G680" t="n">
        <x:v>50</x:v>
      </x:c>
      <x:c r="H680" t="n">
        <x:v>156755.39</x:v>
      </x:c>
      <x:c r="I680" t="n">
        <x:v>122037.84</x:v>
      </x:c>
      <x:c r="J680" s="22" t="n">
        <x:v>0.2214759569033002</x:v>
      </x:c>
      <x:c r="K680" s="22" t="n">
        <x:v>0.0516</x:v>
      </x:c>
      <x:c r="L680" t="n">
        <x:v>32</x:v>
      </x:c>
      <x:c r="M680" t="str">
        <x:v>成交</x:v>
      </x:c>
      <x:c r="N680" s="20" t="n">
        <x:v>45871</x:v>
      </x:c>
      <x:c r="O680"/>
    </x:row>
    <x:row r="681" ht="20" customHeight="1">
      <x:c r="A681" t="str">
        <x:v>Q00680</x:v>
      </x:c>
      <x:c r="B681" s="20" t="n">
        <x:v>45845</x:v>
      </x:c>
      <x:c r="C681" t="str">
        <x:v>AUT-001</x:v>
      </x:c>
      <x:c r="D681" t="str">
        <x:v>S01</x:v>
      </x:c>
      <x:c r="E681" t="str">
        <x:v>AUTO-KN-B</x:v>
      </x:c>
      <x:c r="F681" t="str">
        <x:v>汽車精密零組件</x:v>
      </x:c>
      <x:c r="G681" t="n">
        <x:v>7000</x:v>
      </x:c>
      <x:c r="H681" t="n">
        <x:v>3483.37</x:v>
      </x:c>
      <x:c r="I681" t="n">
        <x:v>2541.22</x:v>
      </x:c>
      <x:c r="J681" s="22" t="n">
        <x:v>0.27047083714908265</x:v>
      </x:c>
      <x:c r="K681" s="22" t="n">
        <x:v>0.1244</x:v>
      </x:c>
      <x:c r="L681" t="n">
        <x:v>19</x:v>
      </x:c>
      <x:c r="M681" t="str">
        <x:v>未成交</x:v>
      </x:c>
      <x:c r="N681" s="20" t="n">
        <x:v>45852</x:v>
      </x:c>
      <x:c r="O681" t="str">
        <x:v>專案取消</x:v>
      </x:c>
    </x:row>
    <x:row r="682" ht="20" customHeight="1">
      <x:c r="A682" t="str">
        <x:v>Q00681</x:v>
      </x:c>
      <x:c r="B682" s="20" t="n">
        <x:v>45869</x:v>
      </x:c>
      <x:c r="C682" t="str">
        <x:v>SEM-003</x:v>
      </x:c>
      <x:c r="D682" t="str">
        <x:v>S02</x:v>
      </x:c>
      <x:c r="E682" t="str">
        <x:v>PM-SUS-A</x:v>
      </x:c>
      <x:c r="F682" t="str">
        <x:v>精密金屬加工件</x:v>
      </x:c>
      <x:c r="G682" t="n">
        <x:v>800</x:v>
      </x:c>
      <x:c r="H682" t="n">
        <x:v>10898.82</x:v>
      </x:c>
      <x:c r="I682" t="n">
        <x:v>7481.55</x:v>
      </x:c>
      <x:c r="J682" s="22" t="n">
        <x:v>0.3135449525728473</x:v>
      </x:c>
      <x:c r="K682" s="22" t="n">
        <x:v>0.0374</x:v>
      </x:c>
      <x:c r="L682" t="n">
        <x:v>18</x:v>
      </x:c>
      <x:c r="M682" t="str">
        <x:v>成交</x:v>
      </x:c>
      <x:c r="N682" s="20" t="n">
        <x:v>45874</x:v>
      </x:c>
      <x:c r="O682"/>
    </x:row>
    <x:row r="683" ht="20" customHeight="1">
      <x:c r="A683" t="str">
        <x:v>Q00682</x:v>
      </x:c>
      <x:c r="B683" s="20" t="n">
        <x:v>45891</x:v>
      </x:c>
      <x:c r="C683" t="str">
        <x:v>EMS-008</x:v>
      </x:c>
      <x:c r="D683" t="str">
        <x:v>S02</x:v>
      </x:c>
      <x:c r="E683" t="str">
        <x:v>AUTO-BRK-B</x:v>
      </x:c>
      <x:c r="F683" t="str">
        <x:v>汽車精密零組件</x:v>
      </x:c>
      <x:c r="G683" t="n">
        <x:v>3000</x:v>
      </x:c>
      <x:c r="H683" t="n">
        <x:v>2134.15</x:v>
      </x:c>
      <x:c r="I683" t="n">
        <x:v>1614.98</x:v>
      </x:c>
      <x:c r="J683" s="22" t="n">
        <x:v>0.24326781154089452</x:v>
      </x:c>
      <x:c r="K683" s="22" t="n">
        <x:v>0.0455</x:v>
      </x:c>
      <x:c r="L683" t="n">
        <x:v>17</x:v>
      </x:c>
      <x:c r="M683" t="str">
        <x:v>未成交</x:v>
      </x:c>
      <x:c r="N683" s="20" t="n">
        <x:v>45894</x:v>
      </x:c>
      <x:c r="O683" t="str">
        <x:v>交期</x:v>
      </x:c>
    </x:row>
    <x:row r="684" ht="20" customHeight="1">
      <x:c r="A684" t="str">
        <x:v>Q00683</x:v>
      </x:c>
      <x:c r="B684" s="20" t="n">
        <x:v>45886</x:v>
      </x:c>
      <x:c r="C684" t="str">
        <x:v>AUT-003</x:v>
      </x:c>
      <x:c r="D684" t="str">
        <x:v>S03</x:v>
      </x:c>
      <x:c r="E684" t="str">
        <x:v>MECH-CON-A</x:v>
      </x:c>
      <x:c r="F684" t="str">
        <x:v>機電／自動化模組</x:v>
      </x:c>
      <x:c r="G684" t="n">
        <x:v>10</x:v>
      </x:c>
      <x:c r="H684" t="n">
        <x:v>112049.34</x:v>
      </x:c>
      <x:c r="I684" t="n">
        <x:v>83224</x:v>
      </x:c>
      <x:c r="J684" s="22" t="n">
        <x:v>0.2572557767854768</x:v>
      </x:c>
      <x:c r="K684" s="22" t="n">
        <x:v>0.0471</x:v>
      </x:c>
      <x:c r="L684" t="n">
        <x:v>37</x:v>
      </x:c>
      <x:c r="M684" t="str">
        <x:v>成交</x:v>
      </x:c>
      <x:c r="N684" s="20" t="n">
        <x:v>45891</x:v>
      </x:c>
      <x:c r="O684"/>
    </x:row>
    <x:row r="685" ht="20" customHeight="1">
      <x:c r="A685" t="str">
        <x:v>Q00684</x:v>
      </x:c>
      <x:c r="B685" s="20" t="n">
        <x:v>45876</x:v>
      </x:c>
      <x:c r="C685" t="str">
        <x:v>IAT-007</x:v>
      </x:c>
      <x:c r="D685" t="str">
        <x:v>S04</x:v>
      </x:c>
      <x:c r="E685" t="str">
        <x:v>AUTO-MH-A</x:v>
      </x:c>
      <x:c r="F685" t="str">
        <x:v>汽車精密零組件</x:v>
      </x:c>
      <x:c r="G685" t="n">
        <x:v>7000</x:v>
      </x:c>
      <x:c r="H685" t="n">
        <x:v>2413.97</x:v>
      </x:c>
      <x:c r="I685" t="n">
        <x:v>1935.57</x:v>
      </x:c>
      <x:c r="J685" s="22" t="n">
        <x:v>0.19817976196887283</x:v>
      </x:c>
      <x:c r="K685" s="22" t="n">
        <x:v>0.1041</x:v>
      </x:c>
      <x:c r="L685" t="n">
        <x:v>15</x:v>
      </x:c>
      <x:c r="M685" t="str">
        <x:v>未成交</x:v>
      </x:c>
      <x:c r="N685" s="20" t="n">
        <x:v>45887</x:v>
      </x:c>
      <x:c r="O685" t="str">
        <x:v>價格</x:v>
      </x:c>
    </x:row>
    <x:row r="686" ht="20" customHeight="1">
      <x:c r="A686" t="str">
        <x:v>Q00685</x:v>
      </x:c>
      <x:c r="B686" s="20" t="n">
        <x:v>45897</x:v>
      </x:c>
      <x:c r="C686" t="str">
        <x:v>AFT-005</x:v>
      </x:c>
      <x:c r="D686" t="str">
        <x:v>S05</x:v>
      </x:c>
      <x:c r="E686" t="str">
        <x:v>PM-ALB-A</x:v>
      </x:c>
      <x:c r="F686" t="str">
        <x:v>精密金屬加工件</x:v>
      </x:c>
      <x:c r="G686" t="n">
        <x:v>500</x:v>
      </x:c>
      <x:c r="H686" t="n">
        <x:v>11389.13</x:v>
      </x:c>
      <x:c r="I686" t="n">
        <x:v>8377.97</x:v>
      </x:c>
      <x:c r="J686" s="22" t="n">
        <x:v>0.264388939278066</x:v>
      </x:c>
      <x:c r="K686" s="22" t="n">
        <x:v>0.0357</x:v>
      </x:c>
      <x:c r="L686" t="n">
        <x:v>25</x:v>
      </x:c>
      <x:c r="M686" t="str">
        <x:v>成交</x:v>
      </x:c>
      <x:c r="N686" s="20" t="n">
        <x:v>45905</x:v>
      </x:c>
      <x:c r="O686"/>
    </x:row>
    <x:row r="687" ht="20" customHeight="1">
      <x:c r="A687" t="str">
        <x:v>Q00686</x:v>
      </x:c>
      <x:c r="B687" s="20" t="n">
        <x:v>45884</x:v>
      </x:c>
      <x:c r="C687" t="str">
        <x:v>AFT-006</x:v>
      </x:c>
      <x:c r="D687" t="str">
        <x:v>S01</x:v>
      </x:c>
      <x:c r="E687" t="str">
        <x:v>PM-BRG-A</x:v>
      </x:c>
      <x:c r="F687" t="str">
        <x:v>精密金屬加工件</x:v>
      </x:c>
      <x:c r="G687" t="n">
        <x:v>800</x:v>
      </x:c>
      <x:c r="H687" t="n">
        <x:v>6765.58</x:v>
      </x:c>
      <x:c r="I687" t="n">
        <x:v>4566.98</x:v>
      </x:c>
      <x:c r="J687" s="22" t="n">
        <x:v>0.3249684432081212</x:v>
      </x:c>
      <x:c r="K687" s="22" t="n">
        <x:v>0.0617</x:v>
      </x:c>
      <x:c r="L687" t="n">
        <x:v>20</x:v>
      </x:c>
      <x:c r="M687" t="str">
        <x:v>成交</x:v>
      </x:c>
      <x:c r="N687" s="20" t="n">
        <x:v>45894</x:v>
      </x:c>
      <x:c r="O687"/>
    </x:row>
    <x:row r="688" ht="20" customHeight="1">
      <x:c r="A688" t="str">
        <x:v>Q00687</x:v>
      </x:c>
      <x:c r="B688" s="20" t="n">
        <x:v>45882</x:v>
      </x:c>
      <x:c r="C688" t="str">
        <x:v>EMS-007</x:v>
      </x:c>
      <x:c r="D688" t="str">
        <x:v>S04</x:v>
      </x:c>
      <x:c r="E688" t="str">
        <x:v>PM-VAC-A</x:v>
      </x:c>
      <x:c r="F688" t="str">
        <x:v>精密金屬加工件</x:v>
      </x:c>
      <x:c r="G688" t="n">
        <x:v>1200</x:v>
      </x:c>
      <x:c r="H688" t="n">
        <x:v>14652.5</x:v>
      </x:c>
      <x:c r="I688" t="n">
        <x:v>10716.79</x:v>
      </x:c>
      <x:c r="J688" s="22" t="n">
        <x:v>0.2686033100153557</x:v>
      </x:c>
      <x:c r="K688" s="22" t="n">
        <x:v>0.1196</x:v>
      </x:c>
      <x:c r="L688" t="n">
        <x:v>23</x:v>
      </x:c>
      <x:c r="M688" t="str">
        <x:v>未成交</x:v>
      </x:c>
      <x:c r="N688" s="20" t="n">
        <x:v>45889</x:v>
      </x:c>
      <x:c r="O688" t="str">
        <x:v>交期</x:v>
      </x:c>
    </x:row>
    <x:row r="689" ht="20" customHeight="1">
      <x:c r="A689" t="str">
        <x:v>Q00688</x:v>
      </x:c>
      <x:c r="B689" s="20" t="n">
        <x:v>45888</x:v>
      </x:c>
      <x:c r="C689" t="str">
        <x:v>AUT-005</x:v>
      </x:c>
      <x:c r="D689" t="str">
        <x:v>S04</x:v>
      </x:c>
      <x:c r="E689" t="str">
        <x:v>AUTO-BRK-B</x:v>
      </x:c>
      <x:c r="F689" t="str">
        <x:v>汽車精密零組件</x:v>
      </x:c>
      <x:c r="G689" t="n">
        <x:v>5000</x:v>
      </x:c>
      <x:c r="H689" t="n">
        <x:v>2159.57</x:v>
      </x:c>
      <x:c r="I689" t="n">
        <x:v>1632.65</x:v>
      </x:c>
      <x:c r="J689" s="22" t="n">
        <x:v>0.24399301712840984</x:v>
      </x:c>
      <x:c r="K689" s="22" t="n">
        <x:v>0.0407</x:v>
      </x:c>
      <x:c r="L689" t="n">
        <x:v>22</x:v>
      </x:c>
      <x:c r="M689" t="str">
        <x:v>未成交</x:v>
      </x:c>
      <x:c r="N689" s="20" t="n">
        <x:v>45894</x:v>
      </x:c>
      <x:c r="O689" t="str">
        <x:v>交期</x:v>
      </x:c>
    </x:row>
    <x:row r="690" ht="20" customHeight="1">
      <x:c r="A690" t="str">
        <x:v>Q00689</x:v>
      </x:c>
      <x:c r="B690" s="20" t="n">
        <x:v>45883</x:v>
      </x:c>
      <x:c r="C690" t="str">
        <x:v>AUT-006</x:v>
      </x:c>
      <x:c r="D690" t="str">
        <x:v>S03</x:v>
      </x:c>
      <x:c r="E690" t="str">
        <x:v>AUTO-BRK-B</x:v>
      </x:c>
      <x:c r="F690" t="str">
        <x:v>汽車精密零組件</x:v>
      </x:c>
      <x:c r="G690" t="n">
        <x:v>3000</x:v>
      </x:c>
      <x:c r="H690" t="n">
        <x:v>1942.55</x:v>
      </x:c>
      <x:c r="I690" t="n">
        <x:v>1660.3</x:v>
      </x:c>
      <x:c r="J690" s="22" t="n">
        <x:v>0.14529870531003064</x:v>
      </x:c>
      <x:c r="K690" s="22" t="n">
        <x:v>0.1309</x:v>
      </x:c>
      <x:c r="L690" t="n">
        <x:v>21</x:v>
      </x:c>
      <x:c r="M690" t="str">
        <x:v>未成交</x:v>
      </x:c>
      <x:c r="N690" s="20" t="n">
        <x:v>45890</x:v>
      </x:c>
      <x:c r="O690" t="str">
        <x:v>交期</x:v>
      </x:c>
    </x:row>
    <x:row r="691" ht="20" customHeight="1">
      <x:c r="A691" t="str">
        <x:v>Q00690</x:v>
      </x:c>
      <x:c r="B691" s="20" t="n">
        <x:v>45872</x:v>
      </x:c>
      <x:c r="C691" t="str">
        <x:v>AUT-010</x:v>
      </x:c>
      <x:c r="D691" t="str">
        <x:v>S05</x:v>
      </x:c>
      <x:c r="E691" t="str">
        <x:v>AUTO-BRK-B</x:v>
      </x:c>
      <x:c r="F691" t="str">
        <x:v>汽車精密零組件</x:v>
      </x:c>
      <x:c r="G691" t="n">
        <x:v>10000</x:v>
      </x:c>
      <x:c r="H691" t="n">
        <x:v>2090.44</x:v>
      </x:c>
      <x:c r="I691" t="n">
        <x:v>1698.24</x:v>
      </x:c>
      <x:c r="J691" s="22" t="n">
        <x:v>0.187616004286179</x:v>
      </x:c>
      <x:c r="K691" s="22" t="n">
        <x:v>0.0593</x:v>
      </x:c>
      <x:c r="L691" t="n">
        <x:v>20</x:v>
      </x:c>
      <x:c r="M691" t="str">
        <x:v>成交</x:v>
      </x:c>
      <x:c r="N691" s="20" t="n">
        <x:v>45883</x:v>
      </x:c>
      <x:c r="O691"/>
    </x:row>
    <x:row r="692" ht="20" customHeight="1">
      <x:c r="A692" t="str">
        <x:v>Q00691</x:v>
      </x:c>
      <x:c r="B692" s="20" t="n">
        <x:v>45893</x:v>
      </x:c>
      <x:c r="C692" t="str">
        <x:v>IAT-007</x:v>
      </x:c>
      <x:c r="D692" t="str">
        <x:v>S04</x:v>
      </x:c>
      <x:c r="E692" t="str">
        <x:v>SEMI-CHB-A</x:v>
      </x:c>
      <x:c r="F692" t="str">
        <x:v>半導體設備零組件</x:v>
      </x:c>
      <x:c r="G692" t="n">
        <x:v>40</x:v>
      </x:c>
      <x:c r="H692" t="n">
        <x:v>93374.49</x:v>
      </x:c>
      <x:c r="I692" t="n">
        <x:v>71671.74</x:v>
      </x:c>
      <x:c r="J692" s="22" t="n">
        <x:v>0.23242697229189685</x:v>
      </x:c>
      <x:c r="K692" s="22" t="n">
        <x:v>0.0537</x:v>
      </x:c>
      <x:c r="L692" t="n">
        <x:v>33</x:v>
      </x:c>
      <x:c r="M692" t="str">
        <x:v>未成交</x:v>
      </x:c>
      <x:c r="N692" s="20" t="n">
        <x:v>45902</x:v>
      </x:c>
      <x:c r="O692" t="str">
        <x:v>交期</x:v>
      </x:c>
    </x:row>
    <x:row r="693" ht="20" customHeight="1">
      <x:c r="A693" t="str">
        <x:v>Q00692</x:v>
      </x:c>
      <x:c r="B693" s="20" t="n">
        <x:v>45889</x:v>
      </x:c>
      <x:c r="C693" t="str">
        <x:v>IAT-006</x:v>
      </x:c>
      <x:c r="D693" t="str">
        <x:v>S01</x:v>
      </x:c>
      <x:c r="E693" t="str">
        <x:v>AUTO-LG-A</x:v>
      </x:c>
      <x:c r="F693" t="str">
        <x:v>汽車精密零組件</x:v>
      </x:c>
      <x:c r="G693" t="n">
        <x:v>3000</x:v>
      </x:c>
      <x:c r="H693" t="n">
        <x:v>1011.85</x:v>
      </x:c>
      <x:c r="I693" t="n">
        <x:v>825.89</x:v>
      </x:c>
      <x:c r="J693" s="22" t="n">
        <x:v>0.18378218115333303</x:v>
      </x:c>
      <x:c r="K693" s="22" t="n">
        <x:v>0.1354</x:v>
      </x:c>
      <x:c r="L693" t="n">
        <x:v>19</x:v>
      </x:c>
      <x:c r="M693" t="str">
        <x:v>未成交</x:v>
      </x:c>
      <x:c r="N693" s="20" t="n">
        <x:v>45893</x:v>
      </x:c>
      <x:c r="O693" t="str">
        <x:v>價格</x:v>
      </x:c>
    </x:row>
    <x:row r="694" ht="20" customHeight="1">
      <x:c r="A694" t="str">
        <x:v>Q00693</x:v>
      </x:c>
      <x:c r="B694" s="20" t="n">
        <x:v>45891</x:v>
      </x:c>
      <x:c r="C694" t="str">
        <x:v>AUT-007</x:v>
      </x:c>
      <x:c r="D694" t="str">
        <x:v>S04</x:v>
      </x:c>
      <x:c r="E694" t="str">
        <x:v>AUTO-FL-B</x:v>
      </x:c>
      <x:c r="F694" t="str">
        <x:v>汽車精密零組件</x:v>
      </x:c>
      <x:c r="G694" t="n">
        <x:v>5000</x:v>
      </x:c>
      <x:c r="H694" t="n">
        <x:v>1426.86</x:v>
      </x:c>
      <x:c r="I694" t="n">
        <x:v>1173.1</x:v>
      </x:c>
      <x:c r="J694" s="22" t="n">
        <x:v>0.17784505837993916</x:v>
      </x:c>
      <x:c r="K694" s="22" t="n">
        <x:v>0.1254</x:v>
      </x:c>
      <x:c r="L694" t="n">
        <x:v>19</x:v>
      </x:c>
      <x:c r="M694" t="str">
        <x:v>未成交</x:v>
      </x:c>
      <x:c r="N694" s="20" t="n">
        <x:v>45901</x:v>
      </x:c>
      <x:c r="O694" t="str">
        <x:v>競品</x:v>
      </x:c>
    </x:row>
    <x:row r="695" ht="20" customHeight="1">
      <x:c r="A695" t="str">
        <x:v>Q00694</x:v>
      </x:c>
      <x:c r="B695" s="20" t="n">
        <x:v>45875</x:v>
      </x:c>
      <x:c r="C695" t="str">
        <x:v>EMS-007</x:v>
      </x:c>
      <x:c r="D695" t="str">
        <x:v>S04</x:v>
      </x:c>
      <x:c r="E695" t="str">
        <x:v>AUTO-FL-B</x:v>
      </x:c>
      <x:c r="F695" t="str">
        <x:v>汽車精密零組件</x:v>
      </x:c>
      <x:c r="G695" t="n">
        <x:v>13000</x:v>
      </x:c>
      <x:c r="H695" t="n">
        <x:v>1450.92</x:v>
      </x:c>
      <x:c r="I695" t="n">
        <x:v>1135.67</x:v>
      </x:c>
      <x:c r="J695" s="22" t="n">
        <x:v>0.21727593526865713</x:v>
      </x:c>
      <x:c r="K695" s="22" t="n">
        <x:v>0.1174</x:v>
      </x:c>
      <x:c r="L695" t="n">
        <x:v>18</x:v>
      </x:c>
      <x:c r="M695" t="str">
        <x:v>未成交</x:v>
      </x:c>
      <x:c r="N695" s="20" t="n">
        <x:v>45883</x:v>
      </x:c>
      <x:c r="O695" t="str">
        <x:v>專案取消</x:v>
      </x:c>
    </x:row>
    <x:row r="696" ht="20" customHeight="1">
      <x:c r="A696" t="str">
        <x:v>Q00695</x:v>
      </x:c>
      <x:c r="B696" s="20" t="n">
        <x:v>45896</x:v>
      </x:c>
      <x:c r="C696" t="str">
        <x:v>IAT-010</x:v>
      </x:c>
      <x:c r="D696" t="str">
        <x:v>S04</x:v>
      </x:c>
      <x:c r="E696" t="str">
        <x:v>SEMI-WH-A</x:v>
      </x:c>
      <x:c r="F696" t="str">
        <x:v>半導體設備零組件</x:v>
      </x:c>
      <x:c r="G696" t="n">
        <x:v>40</x:v>
      </x:c>
      <x:c r="H696" t="n">
        <x:v>107074.19</x:v>
      </x:c>
      <x:c r="I696" t="n">
        <x:v>85663.15</x:v>
      </x:c>
      <x:c r="J696" s="22" t="n">
        <x:v>0.19996452926704378</x:v>
      </x:c>
      <x:c r="K696" s="22" t="n">
        <x:v>0.1234</x:v>
      </x:c>
      <x:c r="L696" t="n">
        <x:v>46</x:v>
      </x:c>
      <x:c r="M696" t="str">
        <x:v>未成交</x:v>
      </x:c>
      <x:c r="N696" s="20" t="n">
        <x:v>45899</x:v>
      </x:c>
      <x:c r="O696" t="str">
        <x:v>規格</x:v>
      </x:c>
    </x:row>
    <x:row r="697" ht="20" customHeight="1">
      <x:c r="A697" t="str">
        <x:v>Q00696</x:v>
      </x:c>
      <x:c r="B697" s="20" t="n">
        <x:v>45886</x:v>
      </x:c>
      <x:c r="C697" t="str">
        <x:v>EMS-007</x:v>
      </x:c>
      <x:c r="D697" t="str">
        <x:v>S04</x:v>
      </x:c>
      <x:c r="E697" t="str">
        <x:v>MECH-CON-A</x:v>
      </x:c>
      <x:c r="F697" t="str">
        <x:v>機電／自動化模組</x:v>
      </x:c>
      <x:c r="G697" t="n">
        <x:v>10</x:v>
      </x:c>
      <x:c r="H697" t="n">
        <x:v>113909.38</x:v>
      </x:c>
      <x:c r="I697" t="n">
        <x:v>85353.99</x:v>
      </x:c>
      <x:c r="J697" s="22" t="n">
        <x:v>0.2506851498972253</x:v>
      </x:c>
      <x:c r="K697" s="22" t="n">
        <x:v>0.0525</x:v>
      </x:c>
      <x:c r="L697" t="n">
        <x:v>36</x:v>
      </x:c>
      <x:c r="M697" t="str">
        <x:v>成交</x:v>
      </x:c>
      <x:c r="N697" s="20" t="n">
        <x:v>45894</x:v>
      </x:c>
      <x:c r="O697"/>
    </x:row>
    <x:row r="698" ht="20" customHeight="1">
      <x:c r="A698" t="str">
        <x:v>Q00697</x:v>
      </x:c>
      <x:c r="B698" s="20" t="n">
        <x:v>45892</x:v>
      </x:c>
      <x:c r="C698" t="str">
        <x:v>IAT-008</x:v>
      </x:c>
      <x:c r="D698" t="str">
        <x:v>S01</x:v>
      </x:c>
      <x:c r="E698" t="str">
        <x:v>MECH-CON-B</x:v>
      </x:c>
      <x:c r="F698" t="str">
        <x:v>機電／自動化模組</x:v>
      </x:c>
      <x:c r="G698" t="n">
        <x:v>30</x:v>
      </x:c>
      <x:c r="H698" t="n">
        <x:v>146088.48</x:v>
      </x:c>
      <x:c r="I698" t="n">
        <x:v>119501.36</x:v>
      </x:c>
      <x:c r="J698" s="22" t="n">
        <x:v>0.18199326873686417</x:v>
      </x:c>
      <x:c r="K698" s="22" t="n">
        <x:v>0.1241</x:v>
      </x:c>
      <x:c r="L698" t="n">
        <x:v>47</x:v>
      </x:c>
      <x:c r="M698" t="str">
        <x:v>未成交</x:v>
      </x:c>
      <x:c r="N698" s="20" t="n">
        <x:v>45904</x:v>
      </x:c>
      <x:c r="O698" t="str">
        <x:v>價格</x:v>
      </x:c>
    </x:row>
    <x:row r="699" ht="20" customHeight="1">
      <x:c r="A699" t="str">
        <x:v>Q00698</x:v>
      </x:c>
      <x:c r="B699" s="20" t="n">
        <x:v>45892</x:v>
      </x:c>
      <x:c r="C699" t="str">
        <x:v>AUT-006</x:v>
      </x:c>
      <x:c r="D699" t="str">
        <x:v>S03</x:v>
      </x:c>
      <x:c r="E699" t="str">
        <x:v>PM-VAC-B</x:v>
      </x:c>
      <x:c r="F699" t="str">
        <x:v>精密金屬加工件</x:v>
      </x:c>
      <x:c r="G699" t="n">
        <x:v>300</x:v>
      </x:c>
      <x:c r="H699" t="n">
        <x:v>22030.27</x:v>
      </x:c>
      <x:c r="I699" t="n">
        <x:v>15956.37</x:v>
      </x:c>
      <x:c r="J699" s="22" t="n">
        <x:v>0.27570701584683255</x:v>
      </x:c>
      <x:c r="K699" s="22" t="n">
        <x:v>0.0658</x:v>
      </x:c>
      <x:c r="L699" t="n">
        <x:v>32</x:v>
      </x:c>
      <x:c r="M699" t="str">
        <x:v>成交</x:v>
      </x:c>
      <x:c r="N699" s="20" t="n">
        <x:v>45899</x:v>
      </x:c>
      <x:c r="O699"/>
    </x:row>
    <x:row r="700" ht="20" customHeight="1">
      <x:c r="A700" t="str">
        <x:v>Q00699</x:v>
      </x:c>
      <x:c r="B700" s="20" t="n">
        <x:v>45895</x:v>
      </x:c>
      <x:c r="C700" t="str">
        <x:v>IAT-009</x:v>
      </x:c>
      <x:c r="D700" t="str">
        <x:v>S04</x:v>
      </x:c>
      <x:c r="E700" t="str">
        <x:v>PM-ALB-A</x:v>
      </x:c>
      <x:c r="F700" t="str">
        <x:v>精密金屬加工件</x:v>
      </x:c>
      <x:c r="G700" t="n">
        <x:v>300</x:v>
      </x:c>
      <x:c r="H700" t="n">
        <x:v>10871.6</x:v>
      </x:c>
      <x:c r="I700" t="n">
        <x:v>7984.28</x:v>
      </x:c>
      <x:c r="J700" s="22" t="n">
        <x:v>0.2655837227271055</x:v>
      </x:c>
      <x:c r="K700" s="22" t="n">
        <x:v>0.0706</x:v>
      </x:c>
      <x:c r="L700" t="n">
        <x:v>25</x:v>
      </x:c>
      <x:c r="M700" t="str">
        <x:v>未成交</x:v>
      </x:c>
      <x:c r="N700" s="20" t="n">
        <x:v>45901</x:v>
      </x:c>
      <x:c r="O700" t="str">
        <x:v>專案取消</x:v>
      </x:c>
    </x:row>
    <x:row r="701" ht="20" customHeight="1">
      <x:c r="A701" t="str">
        <x:v>Q00700</x:v>
      </x:c>
      <x:c r="B701" s="20" t="n">
        <x:v>45879</x:v>
      </x:c>
      <x:c r="C701" t="str">
        <x:v>AFT-002</x:v>
      </x:c>
      <x:c r="D701" t="str">
        <x:v>S04</x:v>
      </x:c>
      <x:c r="E701" t="str">
        <x:v>AUTO-BRK-A</x:v>
      </x:c>
      <x:c r="F701" t="str">
        <x:v>汽車精密零組件</x:v>
      </x:c>
      <x:c r="G701" t="n">
        <x:v>7000</x:v>
      </x:c>
      <x:c r="H701" t="n">
        <x:v>1610.53</x:v>
      </x:c>
      <x:c r="I701" t="n">
        <x:v>1410.99</x:v>
      </x:c>
      <x:c r="J701" s="22" t="n">
        <x:v>0.12389710219617142</x:v>
      </x:c>
      <x:c r="K701" s="22" t="n">
        <x:v>0.1199</x:v>
      </x:c>
      <x:c r="L701" t="n">
        <x:v>19</x:v>
      </x:c>
      <x:c r="M701" t="str">
        <x:v>成交</x:v>
      </x:c>
      <x:c r="N701" s="20" t="n">
        <x:v>45886</x:v>
      </x:c>
      <x:c r="O701"/>
    </x:row>
    <x:row r="702" ht="20" customHeight="1">
      <x:c r="A702" t="str">
        <x:v>Q00701</x:v>
      </x:c>
      <x:c r="B702" s="20" t="n">
        <x:v>45891</x:v>
      </x:c>
      <x:c r="C702" t="str">
        <x:v>IAT-004</x:v>
      </x:c>
      <x:c r="D702" t="str">
        <x:v>S05</x:v>
      </x:c>
      <x:c r="E702" t="str">
        <x:v>AUTO-BRK-A</x:v>
      </x:c>
      <x:c r="F702" t="str">
        <x:v>汽車精密零組件</x:v>
      </x:c>
      <x:c r="G702" t="n">
        <x:v>13000</x:v>
      </x:c>
      <x:c r="H702" t="n">
        <x:v>1591.47</x:v>
      </x:c>
      <x:c r="I702" t="n">
        <x:v>1383.53</x:v>
      </x:c>
      <x:c r="J702" s="22" t="n">
        <x:v>0.13065907619999123</x:v>
      </x:c>
      <x:c r="K702" s="22" t="n">
        <x:v>0.1513</x:v>
      </x:c>
      <x:c r="L702" t="n">
        <x:v>19</x:v>
      </x:c>
      <x:c r="M702" t="str">
        <x:v>未成交</x:v>
      </x:c>
      <x:c r="N702" s="20" t="n">
        <x:v>45903</x:v>
      </x:c>
      <x:c r="O702" t="str">
        <x:v>規格</x:v>
      </x:c>
    </x:row>
    <x:row r="703" ht="20" customHeight="1">
      <x:c r="A703" t="str">
        <x:v>Q00702</x:v>
      </x:c>
      <x:c r="B703" s="20" t="n">
        <x:v>45900</x:v>
      </x:c>
      <x:c r="C703" t="str">
        <x:v>EMS-007</x:v>
      </x:c>
      <x:c r="D703" t="str">
        <x:v>S04</x:v>
      </x:c>
      <x:c r="E703" t="str">
        <x:v>AUTO-BS-B</x:v>
      </x:c>
      <x:c r="F703" t="str">
        <x:v>汽車精密零組件</x:v>
      </x:c>
      <x:c r="G703" t="n">
        <x:v>13000</x:v>
      </x:c>
      <x:c r="H703" t="n">
        <x:v>871.68</x:v>
      </x:c>
      <x:c r="I703" t="n">
        <x:v>647.41</x:v>
      </x:c>
      <x:c r="J703" s="22" t="n">
        <x:v>0.25728478340675476</x:v>
      </x:c>
      <x:c r="K703" s="22" t="n">
        <x:v>0.0994</x:v>
      </x:c>
      <x:c r="L703" t="n">
        <x:v>13</x:v>
      </x:c>
      <x:c r="M703" t="str">
        <x:v>成交</x:v>
      </x:c>
      <x:c r="N703" s="20" t="n">
        <x:v>45912</x:v>
      </x:c>
      <x:c r="O703"/>
    </x:row>
    <x:row r="704" ht="20" customHeight="1">
      <x:c r="A704" t="str">
        <x:v>Q00703</x:v>
      </x:c>
      <x:c r="B704" s="20" t="n">
        <x:v>45879</x:v>
      </x:c>
      <x:c r="C704" t="str">
        <x:v>EMS-003</x:v>
      </x:c>
      <x:c r="D704" t="str">
        <x:v>S05</x:v>
      </x:c>
      <x:c r="E704" t="str">
        <x:v>PM-ALB-A</x:v>
      </x:c>
      <x:c r="F704" t="str">
        <x:v>精密金屬加工件</x:v>
      </x:c>
      <x:c r="G704" t="n">
        <x:v>1600</x:v>
      </x:c>
      <x:c r="H704" t="n">
        <x:v>10855.58</x:v>
      </x:c>
      <x:c r="I704" t="n">
        <x:v>8406.28</x:v>
      </x:c>
      <x:c r="J704" s="22" t="n">
        <x:v>0.2256258993070844</x:v>
      </x:c>
      <x:c r="K704" s="22" t="n">
        <x:v>0.0723</x:v>
      </x:c>
      <x:c r="L704" t="n">
        <x:v>22</x:v>
      </x:c>
      <x:c r="M704" t="str">
        <x:v>未成交</x:v>
      </x:c>
      <x:c r="N704" s="20" t="n">
        <x:v>45885</x:v>
      </x:c>
      <x:c r="O704" t="str">
        <x:v>規格</x:v>
      </x:c>
    </x:row>
    <x:row r="705" ht="20" customHeight="1">
      <x:c r="A705" t="str">
        <x:v>Q00704</x:v>
      </x:c>
      <x:c r="B705" s="20" t="n">
        <x:v>45895</x:v>
      </x:c>
      <x:c r="C705" t="str">
        <x:v>AFT-008</x:v>
      </x:c>
      <x:c r="D705" t="str">
        <x:v>S04</x:v>
      </x:c>
      <x:c r="E705" t="str">
        <x:v>AUTO-MH-A</x:v>
      </x:c>
      <x:c r="F705" t="str">
        <x:v>汽車精密零組件</x:v>
      </x:c>
      <x:c r="G705" t="n">
        <x:v>3000</x:v>
      </x:c>
      <x:c r="H705" t="n">
        <x:v>2236.31</x:v>
      </x:c>
      <x:c r="I705" t="n">
        <x:v>2030.39</x:v>
      </x:c>
      <x:c r="J705" s="22" t="n">
        <x:v>0.09208025720942081</x:v>
      </x:c>
      <x:c r="K705" s="22" t="n">
        <x:v>0.1702</x:v>
      </x:c>
      <x:c r="L705" t="n">
        <x:v>23</x:v>
      </x:c>
      <x:c r="M705" t="str">
        <x:v>未成交</x:v>
      </x:c>
      <x:c r="N705" s="20" t="n">
        <x:v>45903</x:v>
      </x:c>
      <x:c r="O705" t="str">
        <x:v>規格</x:v>
      </x:c>
    </x:row>
    <x:row r="706" ht="20" customHeight="1">
      <x:c r="A706" t="str">
        <x:v>Q00705</x:v>
      </x:c>
      <x:c r="B706" s="20" t="n">
        <x:v>45874</x:v>
      </x:c>
      <x:c r="C706" t="str">
        <x:v>AFT-006</x:v>
      </x:c>
      <x:c r="D706" t="str">
        <x:v>S01</x:v>
      </x:c>
      <x:c r="E706" t="str">
        <x:v>AUTO-MH-B</x:v>
      </x:c>
      <x:c r="F706" t="str">
        <x:v>汽車精密零組件</x:v>
      </x:c>
      <x:c r="G706" t="n">
        <x:v>5000</x:v>
      </x:c>
      <x:c r="H706" t="n">
        <x:v>2957.26</x:v>
      </x:c>
      <x:c r="I706" t="n">
        <x:v>2371.61</x:v>
      </x:c>
      <x:c r="J706" s="22" t="n">
        <x:v>0.19803804873430136</x:v>
      </x:c>
      <x:c r="K706" s="22" t="n">
        <x:v>0.0573</x:v>
      </x:c>
      <x:c r="L706" t="n">
        <x:v>23</x:v>
      </x:c>
      <x:c r="M706" t="str">
        <x:v>成交</x:v>
      </x:c>
      <x:c r="N706" s="20" t="n">
        <x:v>45884</x:v>
      </x:c>
      <x:c r="O706"/>
    </x:row>
    <x:row r="707" ht="20" customHeight="1">
      <x:c r="A707" t="str">
        <x:v>Q00706</x:v>
      </x:c>
      <x:c r="B707" s="20" t="n">
        <x:v>45873</x:v>
      </x:c>
      <x:c r="C707" t="str">
        <x:v>SEM-010</x:v>
      </x:c>
      <x:c r="D707" t="str">
        <x:v>S01</x:v>
      </x:c>
      <x:c r="E707" t="str">
        <x:v>MECH-STG-A</x:v>
      </x:c>
      <x:c r="F707" t="str">
        <x:v>機電／自動化模組</x:v>
      </x:c>
      <x:c r="G707" t="n">
        <x:v>30</x:v>
      </x:c>
      <x:c r="H707" t="n">
        <x:v>140939.14</x:v>
      </x:c>
      <x:c r="I707" t="n">
        <x:v>107966.69</x:v>
      </x:c>
      <x:c r="J707" s="22" t="n">
        <x:v>0.23394814243935366</x:v>
      </x:c>
      <x:c r="K707" s="22" t="n">
        <x:v>0.0348</x:v>
      </x:c>
      <x:c r="L707" t="n">
        <x:v>35</x:v>
      </x:c>
      <x:c r="M707" t="str">
        <x:v>成交</x:v>
      </x:c>
      <x:c r="N707" s="20" t="n">
        <x:v>45880</x:v>
      </x:c>
      <x:c r="O707"/>
    </x:row>
    <x:row r="708" ht="20" customHeight="1">
      <x:c r="A708" t="str">
        <x:v>Q00707</x:v>
      </x:c>
      <x:c r="B708" s="20" t="n">
        <x:v>45888</x:v>
      </x:c>
      <x:c r="C708" t="str">
        <x:v>AFT-002</x:v>
      </x:c>
      <x:c r="D708" t="str">
        <x:v>S04</x:v>
      </x:c>
      <x:c r="E708" t="str">
        <x:v>AUTO-LG-A</x:v>
      </x:c>
      <x:c r="F708" t="str">
        <x:v>汽車精密零組件</x:v>
      </x:c>
      <x:c r="G708" t="n">
        <x:v>5000</x:v>
      </x:c>
      <x:c r="H708" t="n">
        <x:v>1127.21</x:v>
      </x:c>
      <x:c r="I708" t="n">
        <x:v>828.79</x:v>
      </x:c>
      <x:c r="J708" s="22" t="n">
        <x:v>0.2647421509745301</x:v>
      </x:c>
      <x:c r="K708" s="22" t="n">
        <x:v>0.058</x:v>
      </x:c>
      <x:c r="L708" t="n">
        <x:v>16</x:v>
      </x:c>
      <x:c r="M708" t="str">
        <x:v>成交</x:v>
      </x:c>
      <x:c r="N708" s="20" t="n">
        <x:v>45892</x:v>
      </x:c>
      <x:c r="O708"/>
    </x:row>
    <x:row r="709" ht="20" customHeight="1">
      <x:c r="A709" t="str">
        <x:v>Q00708</x:v>
      </x:c>
      <x:c r="B709" s="20" t="n">
        <x:v>45870</x:v>
      </x:c>
      <x:c r="C709" t="str">
        <x:v>EMS-006</x:v>
      </x:c>
      <x:c r="D709" t="str">
        <x:v>S03</x:v>
      </x:c>
      <x:c r="E709" t="str">
        <x:v>AUTO-LG-B</x:v>
      </x:c>
      <x:c r="F709" t="str">
        <x:v>汽車精密零組件</x:v>
      </x:c>
      <x:c r="G709" t="n">
        <x:v>10000</x:v>
      </x:c>
      <x:c r="H709" t="n">
        <x:v>1243.26</x:v>
      </x:c>
      <x:c r="I709" t="n">
        <x:v>913.4</x:v>
      </x:c>
      <x:c r="J709" s="22" t="n">
        <x:v>0.26531859787976775</x:v>
      </x:c>
      <x:c r="K709" s="22" t="n">
        <x:v>0.0344</x:v>
      </x:c>
      <x:c r="L709" t="n">
        <x:v>18</x:v>
      </x:c>
      <x:c r="M709" t="str">
        <x:v>未成交</x:v>
      </x:c>
      <x:c r="N709" s="20" t="n">
        <x:v>45874</x:v>
      </x:c>
      <x:c r="O709" t="str">
        <x:v>專案取消</x:v>
      </x:c>
    </x:row>
    <x:row r="710" ht="20" customHeight="1">
      <x:c r="A710" t="str">
        <x:v>Q00709</x:v>
      </x:c>
      <x:c r="B710" s="20" t="n">
        <x:v>45885</x:v>
      </x:c>
      <x:c r="C710" t="str">
        <x:v>AUT-001</x:v>
      </x:c>
      <x:c r="D710" t="str">
        <x:v>S01</x:v>
      </x:c>
      <x:c r="E710" t="str">
        <x:v>AUTO-BRK-B</x:v>
      </x:c>
      <x:c r="F710" t="str">
        <x:v>汽車精密零組件</x:v>
      </x:c>
      <x:c r="G710" t="n">
        <x:v>5000</x:v>
      </x:c>
      <x:c r="H710" t="n">
        <x:v>2206.02</x:v>
      </x:c>
      <x:c r="I710" t="n">
        <x:v>1640.04</x:v>
      </x:c>
      <x:c r="J710" s="22" t="n">
        <x:v>0.25656159055674926</x:v>
      </x:c>
      <x:c r="K710" s="22" t="n">
        <x:v>0.0326</x:v>
      </x:c>
      <x:c r="L710" t="n">
        <x:v>16</x:v>
      </x:c>
      <x:c r="M710" t="str">
        <x:v>成交</x:v>
      </x:c>
      <x:c r="N710" s="20" t="n">
        <x:v>45896</x:v>
      </x:c>
      <x:c r="O710"/>
    </x:row>
    <x:row r="711" ht="20" customHeight="1">
      <x:c r="A711" t="str">
        <x:v>Q00710</x:v>
      </x:c>
      <x:c r="B711" s="20" t="n">
        <x:v>45871</x:v>
      </x:c>
      <x:c r="C711" t="str">
        <x:v>AUT-003</x:v>
      </x:c>
      <x:c r="D711" t="str">
        <x:v>S03</x:v>
      </x:c>
      <x:c r="E711" t="str">
        <x:v>AUTO-KN-B</x:v>
      </x:c>
      <x:c r="F711" t="str">
        <x:v>汽車精密零組件</x:v>
      </x:c>
      <x:c r="G711" t="n">
        <x:v>10000</x:v>
      </x:c>
      <x:c r="H711" t="n">
        <x:v>3825.35</x:v>
      </x:c>
      <x:c r="I711" t="n">
        <x:v>2527.54</x:v>
      </x:c>
      <x:c r="J711" s="22" t="n">
        <x:v>0.3392656881069706</x:v>
      </x:c>
      <x:c r="K711" s="22" t="n">
        <x:v>0.0386</x:v>
      </x:c>
      <x:c r="L711" t="n">
        <x:v>28</x:v>
      </x:c>
      <x:c r="M711" t="str">
        <x:v>成交</x:v>
      </x:c>
      <x:c r="N711" s="20" t="n">
        <x:v>45878</x:v>
      </x:c>
      <x:c r="O711"/>
    </x:row>
    <x:row r="712" ht="20" customHeight="1">
      <x:c r="A712" t="str">
        <x:v>Q00711</x:v>
      </x:c>
      <x:c r="B712" s="20" t="n">
        <x:v>45896</x:v>
      </x:c>
      <x:c r="C712" t="str">
        <x:v>AUT-011</x:v>
      </x:c>
      <x:c r="D712" t="str">
        <x:v>S02</x:v>
      </x:c>
      <x:c r="E712" t="str">
        <x:v>MECH-CON-B</x:v>
      </x:c>
      <x:c r="F712" t="str">
        <x:v>機電／自動化模組</x:v>
      </x:c>
      <x:c r="G712" t="n">
        <x:v>40</x:v>
      </x:c>
      <x:c r="H712" t="n">
        <x:v>159111.13</x:v>
      </x:c>
      <x:c r="I712" t="n">
        <x:v>116595.74</x:v>
      </x:c>
      <x:c r="J712" s="22" t="n">
        <x:v>0.26720563168648226</x:v>
      </x:c>
      <x:c r="K712" s="22" t="n">
        <x:v>0.0368</x:v>
      </x:c>
      <x:c r="L712" t="n">
        <x:v>33</x:v>
      </x:c>
      <x:c r="M712" t="str">
        <x:v>成交</x:v>
      </x:c>
      <x:c r="N712" s="20" t="n">
        <x:v>45908</x:v>
      </x:c>
      <x:c r="O712"/>
    </x:row>
    <x:row r="713" ht="20" customHeight="1">
      <x:c r="A713" t="str">
        <x:v>Q00712</x:v>
      </x:c>
      <x:c r="B713" s="20" t="n">
        <x:v>45887</x:v>
      </x:c>
      <x:c r="C713" t="str">
        <x:v>IAT-007</x:v>
      </x:c>
      <x:c r="D713" t="str">
        <x:v>S04</x:v>
      </x:c>
      <x:c r="E713" t="str">
        <x:v>MECH-CON-A</x:v>
      </x:c>
      <x:c r="F713" t="str">
        <x:v>機電／自動化模組</x:v>
      </x:c>
      <x:c r="G713" t="n">
        <x:v>50</x:v>
      </x:c>
      <x:c r="H713" t="n">
        <x:v>112084.97</x:v>
      </x:c>
      <x:c r="I713" t="n">
        <x:v>82957.5</x:v>
      </x:c>
      <x:c r="J713" s="22" t="n">
        <x:v>0.25986954361499137</x:v>
      </x:c>
      <x:c r="K713" s="22" t="n">
        <x:v>0.0652</x:v>
      </x:c>
      <x:c r="L713" t="n">
        <x:v>39</x:v>
      </x:c>
      <x:c r="M713" t="str">
        <x:v>成交</x:v>
      </x:c>
      <x:c r="N713" s="20" t="n">
        <x:v>45898</x:v>
      </x:c>
      <x:c r="O713"/>
    </x:row>
    <x:row r="714" ht="20" customHeight="1">
      <x:c r="A714" t="str">
        <x:v>Q00713</x:v>
      </x:c>
      <x:c r="B714" s="20" t="n">
        <x:v>45890</x:v>
      </x:c>
      <x:c r="C714" t="str">
        <x:v>SEM-003</x:v>
      </x:c>
      <x:c r="D714" t="str">
        <x:v>S02</x:v>
      </x:c>
      <x:c r="E714" t="str">
        <x:v>MECH-STG-B</x:v>
      </x:c>
      <x:c r="F714" t="str">
        <x:v>機電／自動化模組</x:v>
      </x:c>
      <x:c r="G714" t="n">
        <x:v>20</x:v>
      </x:c>
      <x:c r="H714" t="n">
        <x:v>175322.28</x:v>
      </x:c>
      <x:c r="I714" t="n">
        <x:v>148809.4</x:v>
      </x:c>
      <x:c r="J714" s="22" t="n">
        <x:v>0.15122367790334465</x:v>
      </x:c>
      <x:c r="K714" s="22" t="n">
        <x:v>0.1356</x:v>
      </x:c>
      <x:c r="L714" t="n">
        <x:v>57</x:v>
      </x:c>
      <x:c r="M714" t="str">
        <x:v>未成交</x:v>
      </x:c>
      <x:c r="N714" s="20" t="n">
        <x:v>45898</x:v>
      </x:c>
      <x:c r="O714" t="str">
        <x:v>競品</x:v>
      </x:c>
    </x:row>
    <x:row r="715" ht="20" customHeight="1">
      <x:c r="A715" t="str">
        <x:v>Q00714</x:v>
      </x:c>
      <x:c r="B715" s="20" t="n">
        <x:v>45895</x:v>
      </x:c>
      <x:c r="C715" t="str">
        <x:v>IAT-002</x:v>
      </x:c>
      <x:c r="D715" t="str">
        <x:v>S01</x:v>
      </x:c>
      <x:c r="E715" t="str">
        <x:v>AUTO-LG-B</x:v>
      </x:c>
      <x:c r="F715" t="str">
        <x:v>汽車精密零組件</x:v>
      </x:c>
      <x:c r="G715" t="n">
        <x:v>5000</x:v>
      </x:c>
      <x:c r="H715" t="n">
        <x:v>1215.37</x:v>
      </x:c>
      <x:c r="I715" t="n">
        <x:v>922.64</x:v>
      </x:c>
      <x:c r="J715" s="22" t="n">
        <x:v>0.24085669384631836</x:v>
      </x:c>
      <x:c r="K715" s="22" t="n">
        <x:v>0.0634</x:v>
      </x:c>
      <x:c r="L715" t="n">
        <x:v>13</x:v>
      </x:c>
      <x:c r="M715" t="str">
        <x:v>成交</x:v>
      </x:c>
      <x:c r="N715" s="20" t="n">
        <x:v>45898</x:v>
      </x:c>
      <x:c r="O715"/>
    </x:row>
    <x:row r="716" ht="20" customHeight="1">
      <x:c r="A716" t="str">
        <x:v>Q00715</x:v>
      </x:c>
      <x:c r="B716" s="20" t="n">
        <x:v>45886</x:v>
      </x:c>
      <x:c r="C716" t="str">
        <x:v>AUT-006</x:v>
      </x:c>
      <x:c r="D716" t="str">
        <x:v>S03</x:v>
      </x:c>
      <x:c r="E716" t="str">
        <x:v>PM-BRG-B</x:v>
      </x:c>
      <x:c r="F716" t="str">
        <x:v>精密金屬加工件</x:v>
      </x:c>
      <x:c r="G716" t="n">
        <x:v>800</x:v>
      </x:c>
      <x:c r="H716" t="n">
        <x:v>7879.15</x:v>
      </x:c>
      <x:c r="I716" t="n">
        <x:v>5246.87</x:v>
      </x:c>
      <x:c r="J716" s="22" t="n">
        <x:v>0.3340817220131613</x:v>
      </x:c>
      <x:c r="K716" s="22" t="n">
        <x:v>0.0565</x:v>
      </x:c>
      <x:c r="L716" t="n">
        <x:v>23</x:v>
      </x:c>
      <x:c r="M716" t="str">
        <x:v>未成交</x:v>
      </x:c>
      <x:c r="N716" s="20" t="n">
        <x:v>45893</x:v>
      </x:c>
      <x:c r="O716" t="str">
        <x:v>交期</x:v>
      </x:c>
    </x:row>
    <x:row r="717" ht="20" customHeight="1">
      <x:c r="A717" t="str">
        <x:v>Q00716</x:v>
      </x:c>
      <x:c r="B717" s="20" t="n">
        <x:v>45917</x:v>
      </x:c>
      <x:c r="C717" t="str">
        <x:v>AFT-001</x:v>
      </x:c>
      <x:c r="D717" t="str">
        <x:v>S05</x:v>
      </x:c>
      <x:c r="E717" t="str">
        <x:v>AUTO-LG-A</x:v>
      </x:c>
      <x:c r="F717" t="str">
        <x:v>汽車精密零組件</x:v>
      </x:c>
      <x:c r="G717" t="n">
        <x:v>13000</x:v>
      </x:c>
      <x:c r="H717" t="n">
        <x:v>1056.25</x:v>
      </x:c>
      <x:c r="I717" t="n">
        <x:v>865.59</x:v>
      </x:c>
      <x:c r="J717" s="22" t="n">
        <x:v>0.1805065088757396</x:v>
      </x:c>
      <x:c r="K717" s="22" t="n">
        <x:v>0.1139</x:v>
      </x:c>
      <x:c r="L717" t="n">
        <x:v>17</x:v>
      </x:c>
      <x:c r="M717" t="str">
        <x:v>未成交</x:v>
      </x:c>
      <x:c r="N717" s="20" t="n">
        <x:v>45929</x:v>
      </x:c>
      <x:c r="O717" t="str">
        <x:v>交期</x:v>
      </x:c>
    </x:row>
    <x:row r="718" ht="20" customHeight="1">
      <x:c r="A718" t="str">
        <x:v>Q00717</x:v>
      </x:c>
      <x:c r="B718" s="20" t="n">
        <x:v>45917</x:v>
      </x:c>
      <x:c r="C718" t="str">
        <x:v>EMS-002</x:v>
      </x:c>
      <x:c r="D718" t="str">
        <x:v>S05</x:v>
      </x:c>
      <x:c r="E718" t="str">
        <x:v>AUTO-LG-A</x:v>
      </x:c>
      <x:c r="F718" t="str">
        <x:v>汽車精密零組件</x:v>
      </x:c>
      <x:c r="G718" t="n">
        <x:v>7000</x:v>
      </x:c>
      <x:c r="H718" t="n">
        <x:v>1166.91</x:v>
      </x:c>
      <x:c r="I718" t="n">
        <x:v>848.57</x:v>
      </x:c>
      <x:c r="J718" s="22" t="n">
        <x:v>0.2728059576145547</x:v>
      </x:c>
      <x:c r="K718" s="22" t="n">
        <x:v>0.0171</x:v>
      </x:c>
      <x:c r="L718" t="n">
        <x:v>16</x:v>
      </x:c>
      <x:c r="M718" t="str">
        <x:v>成交</x:v>
      </x:c>
      <x:c r="N718" s="20" t="n">
        <x:v>45928</x:v>
      </x:c>
      <x:c r="O718"/>
    </x:row>
    <x:row r="719" ht="20" customHeight="1">
      <x:c r="A719" t="str">
        <x:v>Q00718</x:v>
      </x:c>
      <x:c r="B719" s="20" t="n">
        <x:v>45917</x:v>
      </x:c>
      <x:c r="C719" t="str">
        <x:v>AUT-001</x:v>
      </x:c>
      <x:c r="D719" t="str">
        <x:v>S01</x:v>
      </x:c>
      <x:c r="E719" t="str">
        <x:v>PM-BRG-B</x:v>
      </x:c>
      <x:c r="F719" t="str">
        <x:v>精密金屬加工件</x:v>
      </x:c>
      <x:c r="G719" t="n">
        <x:v>300</x:v>
      </x:c>
      <x:c r="H719" t="n">
        <x:v>8213.45</x:v>
      </x:c>
      <x:c r="I719" t="n">
        <x:v>5506.87</x:v>
      </x:c>
      <x:c r="J719" s="22" t="n">
        <x:v>0.3295302217703889</x:v>
      </x:c>
      <x:c r="K719" s="22" t="n">
        <x:v>0.01</x:v>
      </x:c>
      <x:c r="L719" t="n">
        <x:v>22</x:v>
      </x:c>
      <x:c r="M719" t="str">
        <x:v>成交</x:v>
      </x:c>
      <x:c r="N719" s="20" t="n">
        <x:v>45920</x:v>
      </x:c>
      <x:c r="O719"/>
    </x:row>
    <x:row r="720" ht="20" customHeight="1">
      <x:c r="A720" t="str">
        <x:v>Q00719</x:v>
      </x:c>
      <x:c r="B720" s="20" t="n">
        <x:v>45930</x:v>
      </x:c>
      <x:c r="C720" t="str">
        <x:v>IAT-007</x:v>
      </x:c>
      <x:c r="D720" t="str">
        <x:v>S04</x:v>
      </x:c>
      <x:c r="E720" t="str">
        <x:v>PM-VAC-B</x:v>
      </x:c>
      <x:c r="F720" t="str">
        <x:v>精密金屬加工件</x:v>
      </x:c>
      <x:c r="G720" t="n">
        <x:v>1600</x:v>
      </x:c>
      <x:c r="H720" t="n">
        <x:v>21270.85</x:v>
      </x:c>
      <x:c r="I720" t="n">
        <x:v>15942.43</x:v>
      </x:c>
      <x:c r="J720" s="22" t="n">
        <x:v>0.25050338844004816</x:v>
      </x:c>
      <x:c r="K720" s="22" t="n">
        <x:v>0.0991</x:v>
      </x:c>
      <x:c r="L720" t="n">
        <x:v>35</x:v>
      </x:c>
      <x:c r="M720" t="str">
        <x:v>未成交</x:v>
      </x:c>
      <x:c r="N720" s="20" t="n">
        <x:v>45933</x:v>
      </x:c>
      <x:c r="O720" t="str">
        <x:v>專案取消</x:v>
      </x:c>
    </x:row>
    <x:row r="721" ht="20" customHeight="1">
      <x:c r="A721" t="str">
        <x:v>Q00720</x:v>
      </x:c>
      <x:c r="B721" s="20" t="n">
        <x:v>45908</x:v>
      </x:c>
      <x:c r="C721" t="str">
        <x:v>SEM-005</x:v>
      </x:c>
      <x:c r="D721" t="str">
        <x:v>S06</x:v>
      </x:c>
      <x:c r="E721" t="str">
        <x:v>PM-BRG-A</x:v>
      </x:c>
      <x:c r="F721" t="str">
        <x:v>精密金屬加工件</x:v>
      </x:c>
      <x:c r="G721" t="n">
        <x:v>1600</x:v>
      </x:c>
      <x:c r="H721" t="n">
        <x:v>6815.13</x:v>
      </x:c>
      <x:c r="I721" t="n">
        <x:v>4320</x:v>
      </x:c>
      <x:c r="J721" s="22" t="n">
        <x:v>0.3661162736440831</x:v>
      </x:c>
      <x:c r="K721" s="22" t="n">
        <x:v>0.0542</x:v>
      </x:c>
      <x:c r="L721" t="n">
        <x:v>20</x:v>
      </x:c>
      <x:c r="M721" t="str">
        <x:v>成交</x:v>
      </x:c>
      <x:c r="N721" s="20" t="n">
        <x:v>45914</x:v>
      </x:c>
      <x:c r="O721"/>
    </x:row>
    <x:row r="722" ht="20" customHeight="1">
      <x:c r="A722" t="str">
        <x:v>Q00721</x:v>
      </x:c>
      <x:c r="B722" s="20" t="n">
        <x:v>45916</x:v>
      </x:c>
      <x:c r="C722" t="str">
        <x:v>IAT-009</x:v>
      </x:c>
      <x:c r="D722" t="str">
        <x:v>S04</x:v>
      </x:c>
      <x:c r="E722" t="str">
        <x:v>AUTO-MH-B</x:v>
      </x:c>
      <x:c r="F722" t="str">
        <x:v>汽車精密零組件</x:v>
      </x:c>
      <x:c r="G722" t="n">
        <x:v>13000</x:v>
      </x:c>
      <x:c r="H722" t="n">
        <x:v>2979.92</x:v>
      </x:c>
      <x:c r="I722" t="n">
        <x:v>2372.33</x:v>
      </x:c>
      <x:c r="J722" s="22" t="n">
        <x:v>0.20389473542913908</x:v>
      </x:c>
      <x:c r="K722" s="22" t="n">
        <x:v>0.0549</x:v>
      </x:c>
      <x:c r="L722" t="n">
        <x:v>17</x:v>
      </x:c>
      <x:c r="M722" t="str">
        <x:v>成交</x:v>
      </x:c>
      <x:c r="N722" s="20" t="n">
        <x:v>45927</x:v>
      </x:c>
      <x:c r="O722"/>
    </x:row>
    <x:row r="723" ht="20" customHeight="1">
      <x:c r="A723" t="str">
        <x:v>Q00722</x:v>
      </x:c>
      <x:c r="B723" s="20" t="n">
        <x:v>45929</x:v>
      </x:c>
      <x:c r="C723" t="str">
        <x:v>SEM-005</x:v>
      </x:c>
      <x:c r="D723" t="str">
        <x:v>S06</x:v>
      </x:c>
      <x:c r="E723" t="str">
        <x:v>SEMI-CHB-B</x:v>
      </x:c>
      <x:c r="F723" t="str">
        <x:v>半導體設備零組件</x:v>
      </x:c>
      <x:c r="G723" t="n">
        <x:v>160</x:v>
      </x:c>
      <x:c r="H723" t="n">
        <x:v>126166.35</x:v>
      </x:c>
      <x:c r="I723" t="n">
        <x:v>112561.97</x:v>
      </x:c>
      <x:c r="J723" s="22" t="n">
        <x:v>0.10782891000651128</x:v>
      </x:c>
      <x:c r="K723" s="22" t="n">
        <x:v>0.1373</x:v>
      </x:c>
      <x:c r="L723" t="n">
        <x:v>51</x:v>
      </x:c>
      <x:c r="M723" t="str">
        <x:v>未成交</x:v>
      </x:c>
      <x:c r="N723" s="20" t="n">
        <x:v>45933</x:v>
      </x:c>
      <x:c r="O723" t="str">
        <x:v>競品</x:v>
      </x:c>
    </x:row>
    <x:row r="724" ht="20" customHeight="1">
      <x:c r="A724" t="str">
        <x:v>Q00723</x:v>
      </x:c>
      <x:c r="B724" s="20" t="n">
        <x:v>45926</x:v>
      </x:c>
      <x:c r="C724" t="str">
        <x:v>IAT-003</x:v>
      </x:c>
      <x:c r="D724" t="str">
        <x:v>S04</x:v>
      </x:c>
      <x:c r="E724" t="str">
        <x:v>SEMI-CHB-A</x:v>
      </x:c>
      <x:c r="F724" t="str">
        <x:v>半導體設備零組件</x:v>
      </x:c>
      <x:c r="G724" t="n">
        <x:v>60</x:v>
      </x:c>
      <x:c r="H724" t="n">
        <x:v>96379.64</x:v>
      </x:c>
      <x:c r="I724" t="n">
        <x:v>69395.5</x:v>
      </x:c>
      <x:c r="J724" s="22" t="n">
        <x:v>0.2799775969281479</x:v>
      </x:c>
      <x:c r="K724" s="22" t="n">
        <x:v>0.0306</x:v>
      </x:c>
      <x:c r="L724" t="n">
        <x:v>41</x:v>
      </x:c>
      <x:c r="M724" t="str">
        <x:v>成交</x:v>
      </x:c>
      <x:c r="N724" s="20" t="n">
        <x:v>45929</x:v>
      </x:c>
      <x:c r="O724"/>
    </x:row>
    <x:row r="725" ht="20" customHeight="1">
      <x:c r="A725" t="str">
        <x:v>Q00724</x:v>
      </x:c>
      <x:c r="B725" s="20" t="n">
        <x:v>45925</x:v>
      </x:c>
      <x:c r="C725" t="str">
        <x:v>EMS-006</x:v>
      </x:c>
      <x:c r="D725" t="str">
        <x:v>S03</x:v>
      </x:c>
      <x:c r="E725" t="str">
        <x:v>MECH-CON-A</x:v>
      </x:c>
      <x:c r="F725" t="str">
        <x:v>機電／自動化模組</x:v>
      </x:c>
      <x:c r="G725" t="n">
        <x:v>30</x:v>
      </x:c>
      <x:c r="H725" t="n">
        <x:v>113149.15</x:v>
      </x:c>
      <x:c r="I725" t="n">
        <x:v>81832.65</x:v>
      </x:c>
      <x:c r="J725" s="22" t="n">
        <x:v>0.2767718537876776</x:v>
      </x:c>
      <x:c r="K725" s="22" t="n">
        <x:v>0.0556</x:v>
      </x:c>
      <x:c r="L725" t="n">
        <x:v>31</x:v>
      </x:c>
      <x:c r="M725" t="str">
        <x:v>未成交</x:v>
      </x:c>
      <x:c r="N725" s="20" t="n">
        <x:v>45930</x:v>
      </x:c>
      <x:c r="O725" t="str">
        <x:v>價格</x:v>
      </x:c>
    </x:row>
    <x:row r="726" ht="20" customHeight="1">
      <x:c r="A726" t="str">
        <x:v>Q00725</x:v>
      </x:c>
      <x:c r="B726" s="20" t="n">
        <x:v>45912</x:v>
      </x:c>
      <x:c r="C726" t="str">
        <x:v>SEM-003</x:v>
      </x:c>
      <x:c r="D726" t="str">
        <x:v>S02</x:v>
      </x:c>
      <x:c r="E726" t="str">
        <x:v>MECH-STG-B</x:v>
      </x:c>
      <x:c r="F726" t="str">
        <x:v>機電／自動化模組</x:v>
      </x:c>
      <x:c r="G726" t="n">
        <x:v>20</x:v>
      </x:c>
      <x:c r="H726" t="n">
        <x:v>200190.79</x:v>
      </x:c>
      <x:c r="I726" t="n">
        <x:v>153812.92</x:v>
      </x:c>
      <x:c r="J726" s="22" t="n">
        <x:v>0.2316683499775389</x:v>
      </x:c>
      <x:c r="K726" s="22" t="n">
        <x:v>0.0347</x:v>
      </x:c>
      <x:c r="L726" t="n">
        <x:v>41</x:v>
      </x:c>
      <x:c r="M726" t="str">
        <x:v>成交</x:v>
      </x:c>
      <x:c r="N726" s="20" t="n">
        <x:v>45915</x:v>
      </x:c>
      <x:c r="O726"/>
    </x:row>
    <x:row r="727" ht="20" customHeight="1">
      <x:c r="A727" t="str">
        <x:v>Q00726</x:v>
      </x:c>
      <x:c r="B727" s="20" t="n">
        <x:v>45905</x:v>
      </x:c>
      <x:c r="C727" t="str">
        <x:v>AUT-012</x:v>
      </x:c>
      <x:c r="D727" t="str">
        <x:v>S06</x:v>
      </x:c>
      <x:c r="E727" t="str">
        <x:v>MECH-STG-A</x:v>
      </x:c>
      <x:c r="F727" t="str">
        <x:v>機電／自動化模組</x:v>
      </x:c>
      <x:c r="G727" t="n">
        <x:v>30</x:v>
      </x:c>
      <x:c r="H727" t="n">
        <x:v>136555.66</x:v>
      </x:c>
      <x:c r="I727" t="n">
        <x:v>102832.34</x:v>
      </x:c>
      <x:c r="J727" s="22" t="n">
        <x:v>0.2469565889835691</x:v>
      </x:c>
      <x:c r="K727" s="22" t="n">
        <x:v>0.0657</x:v>
      </x:c>
      <x:c r="L727" t="n">
        <x:v>37</x:v>
      </x:c>
      <x:c r="M727" t="str">
        <x:v>成交</x:v>
      </x:c>
      <x:c r="N727" s="20" t="n">
        <x:v>45911</x:v>
      </x:c>
      <x:c r="O727"/>
    </x:row>
    <x:row r="728" ht="20" customHeight="1">
      <x:c r="A728" t="str">
        <x:v>Q00727</x:v>
      </x:c>
      <x:c r="B728" s="20" t="n">
        <x:v>45910</x:v>
      </x:c>
      <x:c r="C728" t="str">
        <x:v>AUT-010</x:v>
      </x:c>
      <x:c r="D728" t="str">
        <x:v>S05</x:v>
      </x:c>
      <x:c r="E728" t="str">
        <x:v>AUTO-FL-A</x:v>
      </x:c>
      <x:c r="F728" t="str">
        <x:v>汽車精密零組件</x:v>
      </x:c>
      <x:c r="G728" t="n">
        <x:v>3000</x:v>
      </x:c>
      <x:c r="H728" t="n">
        <x:v>1256.87</x:v>
      </x:c>
      <x:c r="I728" t="n">
        <x:v>963.87</x:v>
      </x:c>
      <x:c r="J728" s="22" t="n">
        <x:v>0.23311877918957402</x:v>
      </x:c>
      <x:c r="K728" s="22" t="n">
        <x:v>0.0862</x:v>
      </x:c>
      <x:c r="L728" t="n">
        <x:v>15</x:v>
      </x:c>
      <x:c r="M728" t="str">
        <x:v>成交</x:v>
      </x:c>
      <x:c r="N728" s="20" t="n">
        <x:v>45914</x:v>
      </x:c>
      <x:c r="O728"/>
    </x:row>
    <x:row r="729" ht="20" customHeight="1">
      <x:c r="A729" t="str">
        <x:v>Q00728</x:v>
      </x:c>
      <x:c r="B729" s="20" t="n">
        <x:v>45930</x:v>
      </x:c>
      <x:c r="C729" t="str">
        <x:v>IAT-003</x:v>
      </x:c>
      <x:c r="D729" t="str">
        <x:v>S04</x:v>
      </x:c>
      <x:c r="E729" t="str">
        <x:v>AUTO-FL-B</x:v>
      </x:c>
      <x:c r="F729" t="str">
        <x:v>汽車精密零組件</x:v>
      </x:c>
      <x:c r="G729" t="n">
        <x:v>7000</x:v>
      </x:c>
      <x:c r="H729" t="n">
        <x:v>1473.93</x:v>
      </x:c>
      <x:c r="I729" t="n">
        <x:v>1186.58</x:v>
      </x:c>
      <x:c r="J729" s="22" t="n">
        <x:v>0.1949549842936911</x:v>
      </x:c>
      <x:c r="K729" s="22" t="n">
        <x:v>0.1061</x:v>
      </x:c>
      <x:c r="L729" t="n">
        <x:v>15</x:v>
      </x:c>
      <x:c r="M729" t="str">
        <x:v>未成交</x:v>
      </x:c>
      <x:c r="N729" s="20" t="n">
        <x:v>45937</x:v>
      </x:c>
      <x:c r="O729" t="str">
        <x:v>專案取消</x:v>
      </x:c>
    </x:row>
    <x:row r="730" ht="20" customHeight="1">
      <x:c r="A730" t="str">
        <x:v>Q00729</x:v>
      </x:c>
      <x:c r="B730" s="20" t="n">
        <x:v>45929</x:v>
      </x:c>
      <x:c r="C730" t="str">
        <x:v>AFT-004</x:v>
      </x:c>
      <x:c r="D730" t="str">
        <x:v>S02</x:v>
      </x:c>
      <x:c r="E730" t="str">
        <x:v>PM-SUS-A</x:v>
      </x:c>
      <x:c r="F730" t="str">
        <x:v>精密金屬加工件</x:v>
      </x:c>
      <x:c r="G730" t="n">
        <x:v>500</x:v>
      </x:c>
      <x:c r="H730" t="n">
        <x:v>10819.75</x:v>
      </x:c>
      <x:c r="I730" t="n">
        <x:v>7594</x:v>
      </x:c>
      <x:c r="J730" s="22" t="n">
        <x:v>0.2981353543288893</x:v>
      </x:c>
      <x:c r="K730" s="22" t="n">
        <x:v>0.0484</x:v>
      </x:c>
      <x:c r="L730" t="n">
        <x:v>17</x:v>
      </x:c>
      <x:c r="M730" t="str">
        <x:v>成交</x:v>
      </x:c>
      <x:c r="N730" s="20" t="n">
        <x:v>45939</x:v>
      </x:c>
      <x:c r="O730"/>
    </x:row>
    <x:row r="731" ht="20" customHeight="1">
      <x:c r="A731" t="str">
        <x:v>Q00730</x:v>
      </x:c>
      <x:c r="B731" s="20" t="n">
        <x:v>45903</x:v>
      </x:c>
      <x:c r="C731" t="str">
        <x:v>AUT-009</x:v>
      </x:c>
      <x:c r="D731" t="str">
        <x:v>S04</x:v>
      </x:c>
      <x:c r="E731" t="str">
        <x:v>MECH-CON-A</x:v>
      </x:c>
      <x:c r="F731" t="str">
        <x:v>機電／自動化模組</x:v>
      </x:c>
      <x:c r="G731" t="n">
        <x:v>10</x:v>
      </x:c>
      <x:c r="H731" t="n">
        <x:v>114572.3</x:v>
      </x:c>
      <x:c r="I731" t="n">
        <x:v>86098.49</x:v>
      </x:c>
      <x:c r="J731" s="22" t="n">
        <x:v>0.24852263592508833</x:v>
      </x:c>
      <x:c r="K731" s="22" t="n">
        <x:v>0.0229</x:v>
      </x:c>
      <x:c r="L731" t="n">
        <x:v>35</x:v>
      </x:c>
      <x:c r="M731" t="str">
        <x:v>成交</x:v>
      </x:c>
      <x:c r="N731" s="20" t="n">
        <x:v>45907</x:v>
      </x:c>
      <x:c r="O731"/>
    </x:row>
    <x:row r="732" ht="20" customHeight="1">
      <x:c r="A732" t="str">
        <x:v>Q00731</x:v>
      </x:c>
      <x:c r="B732" s="20" t="n">
        <x:v>45920</x:v>
      </x:c>
      <x:c r="C732" t="str">
        <x:v>AFT-005</x:v>
      </x:c>
      <x:c r="D732" t="str">
        <x:v>S05</x:v>
      </x:c>
      <x:c r="E732" t="str">
        <x:v>PM-VAC-A</x:v>
      </x:c>
      <x:c r="F732" t="str">
        <x:v>精密金屬加工件</x:v>
      </x:c>
      <x:c r="G732" t="n">
        <x:v>1200</x:v>
      </x:c>
      <x:c r="H732" t="n">
        <x:v>15573.26</x:v>
      </x:c>
      <x:c r="I732" t="n">
        <x:v>10725.68</x:v>
      </x:c>
      <x:c r="J732" s="22" t="n">
        <x:v>0.31127586645313826</x:v>
      </x:c>
      <x:c r="K732" s="22" t="n">
        <x:v>0.0742</x:v>
      </x:c>
      <x:c r="L732" t="n">
        <x:v>23</x:v>
      </x:c>
      <x:c r="M732" t="str">
        <x:v>成交</x:v>
      </x:c>
      <x:c r="N732" s="20" t="n">
        <x:v>45927</x:v>
      </x:c>
      <x:c r="O732"/>
    </x:row>
    <x:row r="733" ht="20" customHeight="1">
      <x:c r="A733" t="str">
        <x:v>Q00732</x:v>
      </x:c>
      <x:c r="B733" s="20" t="n">
        <x:v>45926</x:v>
      </x:c>
      <x:c r="C733" t="str">
        <x:v>EMS-005</x:v>
      </x:c>
      <x:c r="D733" t="str">
        <x:v>S01</x:v>
      </x:c>
      <x:c r="E733" t="str">
        <x:v>PM-VAC-B</x:v>
      </x:c>
      <x:c r="F733" t="str">
        <x:v>精密金屬加工件</x:v>
      </x:c>
      <x:c r="G733" t="n">
        <x:v>500</x:v>
      </x:c>
      <x:c r="H733" t="n">
        <x:v>22106.02</x:v>
      </x:c>
      <x:c r="I733" t="n">
        <x:v>15855.54</x:v>
      </x:c>
      <x:c r="J733" s="22" t="n">
        <x:v>0.28275012869797456</x:v>
      </x:c>
      <x:c r="K733" s="22" t="n">
        <x:v>0.0465</x:v>
      </x:c>
      <x:c r="L733" t="n">
        <x:v>36</x:v>
      </x:c>
      <x:c r="M733" t="str">
        <x:v>未成交</x:v>
      </x:c>
      <x:c r="N733" s="20" t="n">
        <x:v>45938</x:v>
      </x:c>
      <x:c r="O733" t="str">
        <x:v>規格</x:v>
      </x:c>
    </x:row>
    <x:row r="734" ht="20" customHeight="1">
      <x:c r="A734" t="str">
        <x:v>Q00733</x:v>
      </x:c>
      <x:c r="B734" s="20" t="n">
        <x:v>45910</x:v>
      </x:c>
      <x:c r="C734" t="str">
        <x:v>EMS-005</x:v>
      </x:c>
      <x:c r="D734" t="str">
        <x:v>S01</x:v>
      </x:c>
      <x:c r="E734" t="str">
        <x:v>AUTO-BRK-A</x:v>
      </x:c>
      <x:c r="F734" t="str">
        <x:v>汽車精密零組件</x:v>
      </x:c>
      <x:c r="G734" t="n">
        <x:v>5000</x:v>
      </x:c>
      <x:c r="H734" t="n">
        <x:v>1770.63</x:v>
      </x:c>
      <x:c r="I734" t="n">
        <x:v>1401.81</x:v>
      </x:c>
      <x:c r="J734" s="22" t="n">
        <x:v>0.20829874112603997</x:v>
      </x:c>
      <x:c r="K734" s="22" t="n">
        <x:v>0.0487</x:v>
      </x:c>
      <x:c r="L734" t="n">
        <x:v>14</x:v>
      </x:c>
      <x:c r="M734" t="str">
        <x:v>成交</x:v>
      </x:c>
      <x:c r="N734" s="20" t="n">
        <x:v>45921</x:v>
      </x:c>
      <x:c r="O734"/>
    </x:row>
    <x:row r="735" ht="20" customHeight="1">
      <x:c r="A735" t="str">
        <x:v>Q00734</x:v>
      </x:c>
      <x:c r="B735" s="20" t="n">
        <x:v>45909</x:v>
      </x:c>
      <x:c r="C735" t="str">
        <x:v>IAT-003</x:v>
      </x:c>
      <x:c r="D735" t="str">
        <x:v>S04</x:v>
      </x:c>
      <x:c r="E735" t="str">
        <x:v>AUTO-KN-A</x:v>
      </x:c>
      <x:c r="F735" t="str">
        <x:v>汽車精密零組件</x:v>
      </x:c>
      <x:c r="G735" t="n">
        <x:v>3000</x:v>
      </x:c>
      <x:c r="H735" t="n">
        <x:v>3237.9</x:v>
      </x:c>
      <x:c r="I735" t="n">
        <x:v>2227.03</x:v>
      </x:c>
      <x:c r="J735" s="22" t="n">
        <x:v>0.3121992649556811</x:v>
      </x:c>
      <x:c r="K735" s="22" t="n">
        <x:v>0.0537</x:v>
      </x:c>
      <x:c r="L735" t="n">
        <x:v>19</x:v>
      </x:c>
      <x:c r="M735" t="str">
        <x:v>未成交</x:v>
      </x:c>
      <x:c r="N735" s="20" t="n">
        <x:v>45918</x:v>
      </x:c>
      <x:c r="O735" t="str">
        <x:v>價格</x:v>
      </x:c>
    </x:row>
    <x:row r="736" ht="20" customHeight="1">
      <x:c r="A736" t="str">
        <x:v>Q00735</x:v>
      </x:c>
      <x:c r="B736" s="20" t="n">
        <x:v>45902</x:v>
      </x:c>
      <x:c r="C736" t="str">
        <x:v>EMS-008</x:v>
      </x:c>
      <x:c r="D736" t="str">
        <x:v>S02</x:v>
      </x:c>
      <x:c r="E736" t="str">
        <x:v>MECH-STG-B</x:v>
      </x:c>
      <x:c r="F736" t="str">
        <x:v>機電／自動化模組</x:v>
      </x:c>
      <x:c r="G736" t="n">
        <x:v>20</x:v>
      </x:c>
      <x:c r="H736" t="n">
        <x:v>188020.63</x:v>
      </x:c>
      <x:c r="I736" t="n">
        <x:v>156057.38</x:v>
      </x:c>
      <x:c r="J736" s="22" t="n">
        <x:v>0.16999863259685918</x:v>
      </x:c>
      <x:c r="K736" s="22" t="n">
        <x:v>0.0768</x:v>
      </x:c>
      <x:c r="L736" t="n">
        <x:v>38</x:v>
      </x:c>
      <x:c r="M736" t="str">
        <x:v>未成交</x:v>
      </x:c>
      <x:c r="N736" s="20" t="n">
        <x:v>45911</x:v>
      </x:c>
      <x:c r="O736" t="str">
        <x:v>交期</x:v>
      </x:c>
    </x:row>
    <x:row r="737" ht="20" customHeight="1">
      <x:c r="A737" t="str">
        <x:v>Q00736</x:v>
      </x:c>
      <x:c r="B737" s="20" t="n">
        <x:v>45904</x:v>
      </x:c>
      <x:c r="C737" t="str">
        <x:v>IAT-006</x:v>
      </x:c>
      <x:c r="D737" t="str">
        <x:v>S01</x:v>
      </x:c>
      <x:c r="E737" t="str">
        <x:v>PM-SUS-A</x:v>
      </x:c>
      <x:c r="F737" t="str">
        <x:v>精密金屬加工件</x:v>
      </x:c>
      <x:c r="G737" t="n">
        <x:v>300</x:v>
      </x:c>
      <x:c r="H737" t="n">
        <x:v>10622.12</x:v>
      </x:c>
      <x:c r="I737" t="n">
        <x:v>7707.56</x:v>
      </x:c>
      <x:c r="J737" s="22" t="n">
        <x:v>0.2743859041321318</x:v>
      </x:c>
      <x:c r="K737" s="22" t="n">
        <x:v>0.0564</x:v>
      </x:c>
      <x:c r="L737" t="n">
        <x:v>20</x:v>
      </x:c>
      <x:c r="M737" t="str">
        <x:v>未成交</x:v>
      </x:c>
      <x:c r="N737" s="20" t="n">
        <x:v>45916</x:v>
      </x:c>
      <x:c r="O737" t="str">
        <x:v>專案取消</x:v>
      </x:c>
    </x:row>
    <x:row r="738" ht="20" customHeight="1">
      <x:c r="A738" t="str">
        <x:v>Q00737</x:v>
      </x:c>
      <x:c r="B738" s="20" t="n">
        <x:v>45908</x:v>
      </x:c>
      <x:c r="C738" t="str">
        <x:v>AUT-014</x:v>
      </x:c>
      <x:c r="D738" t="str">
        <x:v>S06</x:v>
      </x:c>
      <x:c r="E738" t="str">
        <x:v>PM-SUS-A</x:v>
      </x:c>
      <x:c r="F738" t="str">
        <x:v>精密金屬加工件</x:v>
      </x:c>
      <x:c r="G738" t="n">
        <x:v>1200</x:v>
      </x:c>
      <x:c r="H738" t="n">
        <x:v>10711.85</x:v>
      </x:c>
      <x:c r="I738" t="n">
        <x:v>7496.84</x:v>
      </x:c>
      <x:c r="J738" s="22" t="n">
        <x:v>0.30013583087888646</x:v>
      </x:c>
      <x:c r="K738" s="22" t="n">
        <x:v>0.0601</x:v>
      </x:c>
      <x:c r="L738" t="n">
        <x:v>21</x:v>
      </x:c>
      <x:c r="M738" t="str">
        <x:v>未成交</x:v>
      </x:c>
      <x:c r="N738" s="20" t="n">
        <x:v>45920</x:v>
      </x:c>
      <x:c r="O738" t="str">
        <x:v>競品</x:v>
      </x:c>
    </x:row>
    <x:row r="739" ht="20" customHeight="1">
      <x:c r="A739" t="str">
        <x:v>Q00738</x:v>
      </x:c>
      <x:c r="B739" s="20" t="n">
        <x:v>45921</x:v>
      </x:c>
      <x:c r="C739" t="str">
        <x:v>EMS-008</x:v>
      </x:c>
      <x:c r="D739" t="str">
        <x:v>S02</x:v>
      </x:c>
      <x:c r="E739" t="str">
        <x:v>AUTO-LG-B</x:v>
      </x:c>
      <x:c r="F739" t="str">
        <x:v>汽車精密零組件</x:v>
      </x:c>
      <x:c r="G739" t="n">
        <x:v>5000</x:v>
      </x:c>
      <x:c r="H739" t="n">
        <x:v>1166.21</x:v>
      </x:c>
      <x:c r="I739" t="n">
        <x:v>915.55</x:v>
      </x:c>
      <x:c r="J739" s="22" t="n">
        <x:v>0.21493556049082074</x:v>
      </x:c>
      <x:c r="K739" s="22" t="n">
        <x:v>0.0845</x:v>
      </x:c>
      <x:c r="L739" t="n">
        <x:v>13</x:v>
      </x:c>
      <x:c r="M739" t="str">
        <x:v>未成交</x:v>
      </x:c>
      <x:c r="N739" s="20" t="n">
        <x:v>45927</x:v>
      </x:c>
      <x:c r="O739" t="str">
        <x:v>專案取消</x:v>
      </x:c>
    </x:row>
    <x:row r="740" ht="20" customHeight="1">
      <x:c r="A740" t="str">
        <x:v>Q00739</x:v>
      </x:c>
      <x:c r="B740" s="20" t="n">
        <x:v>45905</x:v>
      </x:c>
      <x:c r="C740" t="str">
        <x:v>EMS-007</x:v>
      </x:c>
      <x:c r="D740" t="str">
        <x:v>S04</x:v>
      </x:c>
      <x:c r="E740" t="str">
        <x:v>PM-ALB-A</x:v>
      </x:c>
      <x:c r="F740" t="str">
        <x:v>精密金屬加工件</x:v>
      </x:c>
      <x:c r="G740" t="n">
        <x:v>300</x:v>
      </x:c>
      <x:c r="H740" t="n">
        <x:v>10250.65</x:v>
      </x:c>
      <x:c r="I740" t="n">
        <x:v>8020.38</x:v>
      </x:c>
      <x:c r="J740" s="22" t="n">
        <x:v>0.21757351972801722</x:v>
      </x:c>
      <x:c r="K740" s="22" t="n">
        <x:v>0.1225</x:v>
      </x:c>
      <x:c r="L740" t="n">
        <x:v>21</x:v>
      </x:c>
      <x:c r="M740" t="str">
        <x:v>成交</x:v>
      </x:c>
      <x:c r="N740" s="20" t="n">
        <x:v>45915</x:v>
      </x:c>
      <x:c r="O740"/>
    </x:row>
    <x:row r="741" ht="20" customHeight="1">
      <x:c r="A741" t="str">
        <x:v>Q00740</x:v>
      </x:c>
      <x:c r="B741" s="20" t="n">
        <x:v>45906</x:v>
      </x:c>
      <x:c r="C741" t="str">
        <x:v>AUT-012</x:v>
      </x:c>
      <x:c r="D741" t="str">
        <x:v>S06</x:v>
      </x:c>
      <x:c r="E741" t="str">
        <x:v>AUTO-LG-A</x:v>
      </x:c>
      <x:c r="F741" t="str">
        <x:v>汽車精密零組件</x:v>
      </x:c>
      <x:c r="G741" t="n">
        <x:v>5000</x:v>
      </x:c>
      <x:c r="H741" t="n">
        <x:v>1133.48</x:v>
      </x:c>
      <x:c r="I741" t="n">
        <x:v>866.54</x:v>
      </x:c>
      <x:c r="J741" s="22" t="n">
        <x:v>0.23550481702367934</x:v>
      </x:c>
      <x:c r="K741" s="22" t="n">
        <x:v>0.0367</x:v>
      </x:c>
      <x:c r="L741" t="n">
        <x:v>14</x:v>
      </x:c>
      <x:c r="M741" t="str">
        <x:v>成交</x:v>
      </x:c>
      <x:c r="N741" s="20" t="n">
        <x:v>45915</x:v>
      </x:c>
      <x:c r="O741"/>
    </x:row>
    <x:row r="742" ht="20" customHeight="1">
      <x:c r="A742" t="str">
        <x:v>Q00741</x:v>
      </x:c>
      <x:c r="B742" s="20" t="n">
        <x:v>45901</x:v>
      </x:c>
      <x:c r="C742" t="str">
        <x:v>IAT-005</x:v>
      </x:c>
      <x:c r="D742" t="str">
        <x:v>S02</x:v>
      </x:c>
      <x:c r="E742" t="str">
        <x:v>AUTO-BS-B</x:v>
      </x:c>
      <x:c r="F742" t="str">
        <x:v>汽車精密零組件</x:v>
      </x:c>
      <x:c r="G742" t="n">
        <x:v>10000</x:v>
      </x:c>
      <x:c r="H742" t="n">
        <x:v>847.77</x:v>
      </x:c>
      <x:c r="I742" t="n">
        <x:v>670.28</x:v>
      </x:c>
      <x:c r="J742" s="22" t="n">
        <x:v>0.20936102952451727</x:v>
      </x:c>
      <x:c r="K742" s="22" t="n">
        <x:v>0.1305</x:v>
      </x:c>
      <x:c r="L742" t="n">
        <x:v>14</x:v>
      </x:c>
      <x:c r="M742" t="str">
        <x:v>未成交</x:v>
      </x:c>
      <x:c r="N742" s="20" t="n">
        <x:v>45913</x:v>
      </x:c>
      <x:c r="O742" t="str">
        <x:v>競品</x:v>
      </x:c>
    </x:row>
    <x:row r="743" ht="20" customHeight="1">
      <x:c r="A743" t="str">
        <x:v>Q00742</x:v>
      </x:c>
      <x:c r="B743" s="20" t="n">
        <x:v>45906</x:v>
      </x:c>
      <x:c r="C743" t="str">
        <x:v>EMS-005</x:v>
      </x:c>
      <x:c r="D743" t="str">
        <x:v>S01</x:v>
      </x:c>
      <x:c r="E743" t="str">
        <x:v>PM-VAC-B</x:v>
      </x:c>
      <x:c r="F743" t="str">
        <x:v>精密金屬加工件</x:v>
      </x:c>
      <x:c r="G743" t="n">
        <x:v>300</x:v>
      </x:c>
      <x:c r="H743" t="n">
        <x:v>21243.95</x:v>
      </x:c>
      <x:c r="I743" t="n">
        <x:v>15224.1</x:v>
      </x:c>
      <x:c r="J743" s="22" t="n">
        <x:v>0.283367735284634</x:v>
      </x:c>
      <x:c r="K743" s="22" t="n">
        <x:v>0.0946</x:v>
      </x:c>
      <x:c r="L743" t="n">
        <x:v>29</x:v>
      </x:c>
      <x:c r="M743" t="str">
        <x:v>未成交</x:v>
      </x:c>
      <x:c r="N743" s="20" t="n">
        <x:v>45910</x:v>
      </x:c>
      <x:c r="O743" t="str">
        <x:v>價格</x:v>
      </x:c>
    </x:row>
    <x:row r="744" ht="20" customHeight="1">
      <x:c r="A744" t="str">
        <x:v>Q00743</x:v>
      </x:c>
      <x:c r="B744" s="20" t="n">
        <x:v>45916</x:v>
      </x:c>
      <x:c r="C744" t="str">
        <x:v>AFT-001</x:v>
      </x:c>
      <x:c r="D744" t="str">
        <x:v>S05</x:v>
      </x:c>
      <x:c r="E744" t="str">
        <x:v>AUTO-BS-B</x:v>
      </x:c>
      <x:c r="F744" t="str">
        <x:v>汽車精密零組件</x:v>
      </x:c>
      <x:c r="G744" t="n">
        <x:v>13000</x:v>
      </x:c>
      <x:c r="H744" t="n">
        <x:v>949.58</x:v>
      </x:c>
      <x:c r="I744" t="n">
        <x:v>660.46</x:v>
      </x:c>
      <x:c r="J744" s="22" t="n">
        <x:v>0.3044714505360264</x:v>
      </x:c>
      <x:c r="K744" s="22" t="n">
        <x:v>0.0217</x:v>
      </x:c>
      <x:c r="L744" t="n">
        <x:v>13</x:v>
      </x:c>
      <x:c r="M744" t="str">
        <x:v>未成交</x:v>
      </x:c>
      <x:c r="N744" s="20" t="n">
        <x:v>45920</x:v>
      </x:c>
      <x:c r="O744" t="str">
        <x:v>專案取消</x:v>
      </x:c>
    </x:row>
    <x:row r="745" ht="20" customHeight="1">
      <x:c r="A745" t="str">
        <x:v>Q00744</x:v>
      </x:c>
      <x:c r="B745" s="20" t="n">
        <x:v>45904</x:v>
      </x:c>
      <x:c r="C745" t="str">
        <x:v>IAT-002</x:v>
      </x:c>
      <x:c r="D745" t="str">
        <x:v>S01</x:v>
      </x:c>
      <x:c r="E745" t="str">
        <x:v>AUTO-LG-A</x:v>
      </x:c>
      <x:c r="F745" t="str">
        <x:v>汽車精密零組件</x:v>
      </x:c>
      <x:c r="G745" t="n">
        <x:v>7000</x:v>
      </x:c>
      <x:c r="H745" t="n">
        <x:v>1101.32</x:v>
      </x:c>
      <x:c r="I745" t="n">
        <x:v>818.02</x:v>
      </x:c>
      <x:c r="J745" s="22" t="n">
        <x:v>0.2572367704209494</x:v>
      </x:c>
      <x:c r="K745" s="22" t="n">
        <x:v>0.0625</x:v>
      </x:c>
      <x:c r="L745" t="n">
        <x:v>14</x:v>
      </x:c>
      <x:c r="M745" t="str">
        <x:v>成交</x:v>
      </x:c>
      <x:c r="N745" s="20" t="n">
        <x:v>45915</x:v>
      </x:c>
      <x:c r="O745"/>
    </x:row>
    <x:row r="746" ht="20" customHeight="1">
      <x:c r="A746" t="str">
        <x:v>Q00745</x:v>
      </x:c>
      <x:c r="B746" s="20" t="n">
        <x:v>45915</x:v>
      </x:c>
      <x:c r="C746" t="str">
        <x:v>SEM-007</x:v>
      </x:c>
      <x:c r="D746" t="str">
        <x:v>S03</x:v>
      </x:c>
      <x:c r="E746" t="str">
        <x:v>PM-BRG-B</x:v>
      </x:c>
      <x:c r="F746" t="str">
        <x:v>精密金屬加工件</x:v>
      </x:c>
      <x:c r="G746" t="n">
        <x:v>1600</x:v>
      </x:c>
      <x:c r="H746" t="n">
        <x:v>7474.09</x:v>
      </x:c>
      <x:c r="I746" t="n">
        <x:v>5387.37</x:v>
      </x:c>
      <x:c r="J746" s="22" t="n">
        <x:v>0.27919385503787086</x:v>
      </x:c>
      <x:c r="K746" s="22" t="n">
        <x:v>0.115</x:v>
      </x:c>
      <x:c r="L746" t="n">
        <x:v>18</x:v>
      </x:c>
      <x:c r="M746" t="str">
        <x:v>成交</x:v>
      </x:c>
      <x:c r="N746" s="20" t="n">
        <x:v>45924</x:v>
      </x:c>
      <x:c r="O746"/>
    </x:row>
    <x:row r="747" ht="20" customHeight="1">
      <x:c r="A747" t="str">
        <x:v>Q00746</x:v>
      </x:c>
      <x:c r="B747" s="20" t="n">
        <x:v>45934</x:v>
      </x:c>
      <x:c r="C747" t="str">
        <x:v>AUT-014</x:v>
      </x:c>
      <x:c r="D747" t="str">
        <x:v>S06</x:v>
      </x:c>
      <x:c r="E747" t="str">
        <x:v>PM-ALB-A</x:v>
      </x:c>
      <x:c r="F747" t="str">
        <x:v>精密金屬加工件</x:v>
      </x:c>
      <x:c r="G747" t="n">
        <x:v>1600</x:v>
      </x:c>
      <x:c r="H747" t="n">
        <x:v>11142.71</x:v>
      </x:c>
      <x:c r="I747" t="n">
        <x:v>8011.88</x:v>
      </x:c>
      <x:c r="J747" s="22" t="n">
        <x:v>0.28097563339618453</x:v>
      </x:c>
      <x:c r="K747" s="22" t="n">
        <x:v>0.0587</x:v>
      </x:c>
      <x:c r="L747" t="n">
        <x:v>18</x:v>
      </x:c>
      <x:c r="M747" t="str">
        <x:v>成交</x:v>
      </x:c>
      <x:c r="N747" s="20" t="n">
        <x:v>45944</x:v>
      </x:c>
      <x:c r="O747"/>
    </x:row>
    <x:row r="748" ht="20" customHeight="1">
      <x:c r="A748" t="str">
        <x:v>Q00747</x:v>
      </x:c>
      <x:c r="B748" s="20" t="n">
        <x:v>45961</x:v>
      </x:c>
      <x:c r="C748" t="str">
        <x:v>SEM-008</x:v>
      </x:c>
      <x:c r="D748" t="str">
        <x:v>S04</x:v>
      </x:c>
      <x:c r="E748" t="str">
        <x:v>PM-ALB-B</x:v>
      </x:c>
      <x:c r="F748" t="str">
        <x:v>精密金屬加工件</x:v>
      </x:c>
      <x:c r="G748" t="n">
        <x:v>300</x:v>
      </x:c>
      <x:c r="H748" t="n">
        <x:v>15911.01</x:v>
      </x:c>
      <x:c r="I748" t="n">
        <x:v>12044.72</x:v>
      </x:c>
      <x:c r="J748" s="22" t="n">
        <x:v>0.24299463076196928</x:v>
      </x:c>
      <x:c r="K748" s="22" t="n">
        <x:v>0.0407</x:v>
      </x:c>
      <x:c r="L748" t="n">
        <x:v>24</x:v>
      </x:c>
      <x:c r="M748" t="str">
        <x:v>未成交</x:v>
      </x:c>
      <x:c r="N748" s="20" t="n">
        <x:v>45973</x:v>
      </x:c>
      <x:c r="O748" t="str">
        <x:v>規格</x:v>
      </x:c>
    </x:row>
    <x:row r="749" ht="20" customHeight="1">
      <x:c r="A749" t="str">
        <x:v>Q00748</x:v>
      </x:c>
      <x:c r="B749" s="20" t="n">
        <x:v>45944</x:v>
      </x:c>
      <x:c r="C749" t="str">
        <x:v>IAT-006</x:v>
      </x:c>
      <x:c r="D749" t="str">
        <x:v>S01</x:v>
      </x:c>
      <x:c r="E749" t="str">
        <x:v>MECH-CON-A</x:v>
      </x:c>
      <x:c r="F749" t="str">
        <x:v>機電／自動化模組</x:v>
      </x:c>
      <x:c r="G749" t="n">
        <x:v>40</x:v>
      </x:c>
      <x:c r="H749" t="n">
        <x:v>110338.49</x:v>
      </x:c>
      <x:c r="I749" t="n">
        <x:v>81988.31</x:v>
      </x:c>
      <x:c r="J749" s="22" t="n">
        <x:v>0.2569382633385685</x:v>
      </x:c>
      <x:c r="K749" s="22" t="n">
        <x:v>0.0776</x:v>
      </x:c>
      <x:c r="L749" t="n">
        <x:v>28</x:v>
      </x:c>
      <x:c r="M749" t="str">
        <x:v>成交</x:v>
      </x:c>
      <x:c r="N749" s="20" t="n">
        <x:v>45953</x:v>
      </x:c>
      <x:c r="O749"/>
    </x:row>
    <x:row r="750" ht="20" customHeight="1">
      <x:c r="A750" t="str">
        <x:v>Q00749</x:v>
      </x:c>
      <x:c r="B750" s="20" t="n">
        <x:v>45946</x:v>
      </x:c>
      <x:c r="C750" t="str">
        <x:v>IAT-010</x:v>
      </x:c>
      <x:c r="D750" t="str">
        <x:v>S04</x:v>
      </x:c>
      <x:c r="E750" t="str">
        <x:v>MECH-STG-B</x:v>
      </x:c>
      <x:c r="F750" t="str">
        <x:v>機電／自動化模組</x:v>
      </x:c>
      <x:c r="G750" t="n">
        <x:v>50</x:v>
      </x:c>
      <x:c r="H750" t="n">
        <x:v>201679.3</x:v>
      </x:c>
      <x:c r="I750" t="n">
        <x:v>150750.3</x:v>
      </x:c>
      <x:c r="J750" s="22" t="n">
        <x:v>0.25252467655332006</x:v>
      </x:c>
      <x:c r="K750" s="22" t="n">
        <x:v>0.0322</x:v>
      </x:c>
      <x:c r="L750" t="n">
        <x:v>47</x:v>
      </x:c>
      <x:c r="M750" t="str">
        <x:v>成交</x:v>
      </x:c>
      <x:c r="N750" s="20" t="n">
        <x:v>45952</x:v>
      </x:c>
      <x:c r="O750"/>
    </x:row>
    <x:row r="751" ht="20" customHeight="1">
      <x:c r="A751" t="str">
        <x:v>Q00750</x:v>
      </x:c>
      <x:c r="B751" s="20" t="n">
        <x:v>45943</x:v>
      </x:c>
      <x:c r="C751" t="str">
        <x:v>SEM-001</x:v>
      </x:c>
      <x:c r="D751" t="str">
        <x:v>S01</x:v>
      </x:c>
      <x:c r="E751" t="str">
        <x:v>MECH-STG-B</x:v>
      </x:c>
      <x:c r="F751" t="str">
        <x:v>機電／自動化模組</x:v>
      </x:c>
      <x:c r="G751" t="n">
        <x:v>10</x:v>
      </x:c>
      <x:c r="H751" t="n">
        <x:v>197958.38</x:v>
      </x:c>
      <x:c r="I751" t="n">
        <x:v>150008.4</x:v>
      </x:c>
      <x:c r="J751" s="22" t="n">
        <x:v>0.24222253182714473</x:v>
      </x:c>
      <x:c r="K751" s="22" t="n">
        <x:v>0.0519</x:v>
      </x:c>
      <x:c r="L751" t="n">
        <x:v>46</x:v>
      </x:c>
      <x:c r="M751" t="str">
        <x:v>成交</x:v>
      </x:c>
      <x:c r="N751" s="20" t="n">
        <x:v>45948</x:v>
      </x:c>
      <x:c r="O751"/>
    </x:row>
    <x:row r="752" ht="20" customHeight="1">
      <x:c r="A752" t="str">
        <x:v>Q00751</x:v>
      </x:c>
      <x:c r="B752" s="20" t="n">
        <x:v>45952</x:v>
      </x:c>
      <x:c r="C752" t="str">
        <x:v>EMS-003</x:v>
      </x:c>
      <x:c r="D752" t="str">
        <x:v>S05</x:v>
      </x:c>
      <x:c r="E752" t="str">
        <x:v>MECH-STG-B</x:v>
      </x:c>
      <x:c r="F752" t="str">
        <x:v>機電／自動化模組</x:v>
      </x:c>
      <x:c r="G752" t="n">
        <x:v>50</x:v>
      </x:c>
      <x:c r="H752" t="n">
        <x:v>190536.69</x:v>
      </x:c>
      <x:c r="I752" t="n">
        <x:v>146737.41</x:v>
      </x:c>
      <x:c r="J752" s="22" t="n">
        <x:v>0.22987320709727874</x:v>
      </x:c>
      <x:c r="K752" s="22" t="n">
        <x:v>0.0633</x:v>
      </x:c>
      <x:c r="L752" t="n">
        <x:v>57</x:v>
      </x:c>
      <x:c r="M752" t="str">
        <x:v>成交</x:v>
      </x:c>
      <x:c r="N752" s="20" t="n">
        <x:v>45957</x:v>
      </x:c>
      <x:c r="O752"/>
    </x:row>
    <x:row r="753" ht="20" customHeight="1">
      <x:c r="A753" t="str">
        <x:v>Q00752</x:v>
      </x:c>
      <x:c r="B753" s="20" t="n">
        <x:v>45951</x:v>
      </x:c>
      <x:c r="C753" t="str">
        <x:v>SEM-004</x:v>
      </x:c>
      <x:c r="D753" t="str">
        <x:v>S02</x:v>
      </x:c>
      <x:c r="E753" t="str">
        <x:v>SEMI-CHB-B</x:v>
      </x:c>
      <x:c r="F753" t="str">
        <x:v>半導體設備零組件</x:v>
      </x:c>
      <x:c r="G753" t="n">
        <x:v>60</x:v>
      </x:c>
      <x:c r="H753" t="n">
        <x:v>139598.94</x:v>
      </x:c>
      <x:c r="I753" t="n">
        <x:v>108137.31</x:v>
      </x:c>
      <x:c r="J753" s="22" t="n">
        <x:v>0.22537155368085177</x:v>
      </x:c>
      <x:c r="K753" s="22" t="n">
        <x:v>0.0664</x:v>
      </x:c>
      <x:c r="L753" t="n">
        <x:v>43</x:v>
      </x:c>
      <x:c r="M753" t="str">
        <x:v>成交</x:v>
      </x:c>
      <x:c r="N753" s="20" t="n">
        <x:v>45960</x:v>
      </x:c>
      <x:c r="O753"/>
    </x:row>
    <x:row r="754" ht="20" customHeight="1">
      <x:c r="A754" t="str">
        <x:v>Q00753</x:v>
      </x:c>
      <x:c r="B754" s="20" t="n">
        <x:v>45954</x:v>
      </x:c>
      <x:c r="C754" t="str">
        <x:v>AFT-007</x:v>
      </x:c>
      <x:c r="D754" t="str">
        <x:v>S04</x:v>
      </x:c>
      <x:c r="E754" t="str">
        <x:v>PM-VAC-B</x:v>
      </x:c>
      <x:c r="F754" t="str">
        <x:v>精密金屬加工件</x:v>
      </x:c>
      <x:c r="G754" t="n">
        <x:v>500</x:v>
      </x:c>
      <x:c r="H754" t="n">
        <x:v>20544.02</x:v>
      </x:c>
      <x:c r="I754" t="n">
        <x:v>16114.84</x:v>
      </x:c>
      <x:c r="J754" s="22" t="n">
        <x:v>0.21559461098655475</x:v>
      </x:c>
      <x:c r="K754" s="22" t="n">
        <x:v>0.1196</x:v>
      </x:c>
      <x:c r="L754" t="n">
        <x:v>39</x:v>
      </x:c>
      <x:c r="M754" t="str">
        <x:v>成交</x:v>
      </x:c>
      <x:c r="N754" s="20" t="n">
        <x:v>45965</x:v>
      </x:c>
      <x:c r="O754"/>
    </x:row>
    <x:row r="755" ht="20" customHeight="1">
      <x:c r="A755" t="str">
        <x:v>Q00754</x:v>
      </x:c>
      <x:c r="B755" s="20" t="n">
        <x:v>45940</x:v>
      </x:c>
      <x:c r="C755" t="str">
        <x:v>SEM-005</x:v>
      </x:c>
      <x:c r="D755" t="str">
        <x:v>S06</x:v>
      </x:c>
      <x:c r="E755" t="str">
        <x:v>PM-SUS-A</x:v>
      </x:c>
      <x:c r="F755" t="str">
        <x:v>精密金屬加工件</x:v>
      </x:c>
      <x:c r="G755" t="n">
        <x:v>1600</x:v>
      </x:c>
      <x:c r="H755" t="n">
        <x:v>10041.08</x:v>
      </x:c>
      <x:c r="I755" t="n">
        <x:v>7720.98</x:v>
      </x:c>
      <x:c r="J755" s="22" t="n">
        <x:v>0.23106080222446196</x:v>
      </x:c>
      <x:c r="K755" s="22" t="n">
        <x:v>0.0908</x:v>
      </x:c>
      <x:c r="L755" t="n">
        <x:v>18</x:v>
      </x:c>
      <x:c r="M755" t="str">
        <x:v>未成交</x:v>
      </x:c>
      <x:c r="N755" s="20" t="n">
        <x:v>45947</x:v>
      </x:c>
      <x:c r="O755" t="str">
        <x:v>交期</x:v>
      </x:c>
    </x:row>
    <x:row r="756" ht="20" customHeight="1">
      <x:c r="A756" t="str">
        <x:v>Q00755</x:v>
      </x:c>
      <x:c r="B756" s="20" t="n">
        <x:v>45959</x:v>
      </x:c>
      <x:c r="C756" t="str">
        <x:v>EMS-007</x:v>
      </x:c>
      <x:c r="D756" t="str">
        <x:v>S04</x:v>
      </x:c>
      <x:c r="E756" t="str">
        <x:v>AUTO-MH-B</x:v>
      </x:c>
      <x:c r="F756" t="str">
        <x:v>汽車精密零組件</x:v>
      </x:c>
      <x:c r="G756" t="n">
        <x:v>10000</x:v>
      </x:c>
      <x:c r="H756" t="n">
        <x:v>3070.2</x:v>
      </x:c>
      <x:c r="I756" t="n">
        <x:v>2358.16</x:v>
      </x:c>
      <x:c r="J756" s="22" t="n">
        <x:v>0.23191974464204287</x:v>
      </x:c>
      <x:c r="K756" s="22" t="n">
        <x:v>0.0371</x:v>
      </x:c>
      <x:c r="L756" t="n">
        <x:v>22</x:v>
      </x:c>
      <x:c r="M756" t="str">
        <x:v>成交</x:v>
      </x:c>
      <x:c r="N756" s="20" t="n">
        <x:v>45970</x:v>
      </x:c>
      <x:c r="O756"/>
    </x:row>
    <x:row r="757" ht="20" customHeight="1">
      <x:c r="A757" t="str">
        <x:v>Q00756</x:v>
      </x:c>
      <x:c r="B757" s="20" t="n">
        <x:v>45951</x:v>
      </x:c>
      <x:c r="C757" t="str">
        <x:v>AUT-003</x:v>
      </x:c>
      <x:c r="D757" t="str">
        <x:v>S03</x:v>
      </x:c>
      <x:c r="E757" t="str">
        <x:v>AUTO-BS-A</x:v>
      </x:c>
      <x:c r="F757" t="str">
        <x:v>汽車精密零組件</x:v>
      </x:c>
      <x:c r="G757" t="n">
        <x:v>3000</x:v>
      </x:c>
      <x:c r="H757" t="n">
        <x:v>716.01</x:v>
      </x:c>
      <x:c r="I757" t="n">
        <x:v>562.4</x:v>
      </x:c>
      <x:c r="J757" s="22" t="n">
        <x:v>0.2145361098308683</x:v>
      </x:c>
      <x:c r="K757" s="22" t="n">
        <x:v>0.1257</x:v>
      </x:c>
      <x:c r="L757" t="n">
        <x:v>14</x:v>
      </x:c>
      <x:c r="M757" t="str">
        <x:v>未成交</x:v>
      </x:c>
      <x:c r="N757" s="20" t="n">
        <x:v>45963</x:v>
      </x:c>
      <x:c r="O757" t="str">
        <x:v>價格</x:v>
      </x:c>
    </x:row>
    <x:row r="758" ht="20" customHeight="1">
      <x:c r="A758" t="str">
        <x:v>Q00757</x:v>
      </x:c>
      <x:c r="B758" s="20" t="n">
        <x:v>45931</x:v>
      </x:c>
      <x:c r="C758" t="str">
        <x:v>EMS-003</x:v>
      </x:c>
      <x:c r="D758" t="str">
        <x:v>S05</x:v>
      </x:c>
      <x:c r="E758" t="str">
        <x:v>SEMI-WH-A</x:v>
      </x:c>
      <x:c r="F758" t="str">
        <x:v>半導體設備零組件</x:v>
      </x:c>
      <x:c r="G758" t="n">
        <x:v>60</x:v>
      </x:c>
      <x:c r="H758" t="n">
        <x:v>106395.35</x:v>
      </x:c>
      <x:c r="I758" t="n">
        <x:v>86108.23</x:v>
      </x:c>
      <x:c r="J758" s="22" t="n">
        <x:v>0.19067675420025412</x:v>
      </x:c>
      <x:c r="K758" s="22" t="n">
        <x:v>0.1061</x:v>
      </x:c>
      <x:c r="L758" t="n">
        <x:v>57</x:v>
      </x:c>
      <x:c r="M758" t="str">
        <x:v>未成交</x:v>
      </x:c>
      <x:c r="N758" s="20" t="n">
        <x:v>45936</x:v>
      </x:c>
      <x:c r="O758" t="str">
        <x:v>規格</x:v>
      </x:c>
    </x:row>
    <x:row r="759" ht="20" customHeight="1">
      <x:c r="A759" t="str">
        <x:v>Q00758</x:v>
      </x:c>
      <x:c r="B759" s="20" t="n">
        <x:v>45935</x:v>
      </x:c>
      <x:c r="C759" t="str">
        <x:v>AUT-004</x:v>
      </x:c>
      <x:c r="D759" t="str">
        <x:v>S03</x:v>
      </x:c>
      <x:c r="E759" t="str">
        <x:v>MECH-STG-B</x:v>
      </x:c>
      <x:c r="F759" t="str">
        <x:v>機電／自動化模組</x:v>
      </x:c>
      <x:c r="G759" t="n">
        <x:v>50</x:v>
      </x:c>
      <x:c r="H759" t="n">
        <x:v>174492.92</x:v>
      </x:c>
      <x:c r="I759" t="n">
        <x:v>156967</x:v>
      </x:c>
      <x:c r="J759" s="22" t="n">
        <x:v>0.10043914675735847</x:v>
      </x:c>
      <x:c r="K759" s="22" t="n">
        <x:v>0.1372</x:v>
      </x:c>
      <x:c r="L759" t="n">
        <x:v>49</x:v>
      </x:c>
      <x:c r="M759" t="str">
        <x:v>未成交</x:v>
      </x:c>
      <x:c r="N759" s="20" t="n">
        <x:v>45942</x:v>
      </x:c>
      <x:c r="O759" t="str">
        <x:v>交期</x:v>
      </x:c>
    </x:row>
    <x:row r="760" ht="20" customHeight="1">
      <x:c r="A760" t="str">
        <x:v>Q00759</x:v>
      </x:c>
      <x:c r="B760" s="20" t="n">
        <x:v>45946</x:v>
      </x:c>
      <x:c r="C760" t="str">
        <x:v>EMS-006</x:v>
      </x:c>
      <x:c r="D760" t="str">
        <x:v>S03</x:v>
      </x:c>
      <x:c r="E760" t="str">
        <x:v>MECH-CON-A</x:v>
      </x:c>
      <x:c r="F760" t="str">
        <x:v>機電／自動化模組</x:v>
      </x:c>
      <x:c r="G760" t="n">
        <x:v>30</x:v>
      </x:c>
      <x:c r="H760" t="n">
        <x:v>103988</x:v>
      </x:c>
      <x:c r="I760" t="n">
        <x:v>86228.21</x:v>
      </x:c>
      <x:c r="J760" s="22" t="n">
        <x:v>0.17078691772127547</x:v>
      </x:c>
      <x:c r="K760" s="22" t="n">
        <x:v>0.1274</x:v>
      </x:c>
      <x:c r="L760" t="n">
        <x:v>32</x:v>
      </x:c>
      <x:c r="M760" t="str">
        <x:v>未成交</x:v>
      </x:c>
      <x:c r="N760" s="20" t="n">
        <x:v>45956</x:v>
      </x:c>
      <x:c r="O760" t="str">
        <x:v>價格</x:v>
      </x:c>
    </x:row>
    <x:row r="761" ht="20" customHeight="1">
      <x:c r="A761" t="str">
        <x:v>Q00760</x:v>
      </x:c>
      <x:c r="B761" s="20" t="n">
        <x:v>45943</x:v>
      </x:c>
      <x:c r="C761" t="str">
        <x:v>AFT-008</x:v>
      </x:c>
      <x:c r="D761" t="str">
        <x:v>S04</x:v>
      </x:c>
      <x:c r="E761" t="str">
        <x:v>AUTO-BRK-A</x:v>
      </x:c>
      <x:c r="F761" t="str">
        <x:v>汽車精密零組件</x:v>
      </x:c>
      <x:c r="G761" t="n">
        <x:v>5000</x:v>
      </x:c>
      <x:c r="H761" t="n">
        <x:v>1766.98</x:v>
      </x:c>
      <x:c r="I761" t="n">
        <x:v>1402.53</x:v>
      </x:c>
      <x:c r="J761" s="22" t="n">
        <x:v>0.2062558716001313</x:v>
      </x:c>
      <x:c r="K761" s="22" t="n">
        <x:v>0.0423</x:v>
      </x:c>
      <x:c r="L761" t="n">
        <x:v>15</x:v>
      </x:c>
      <x:c r="M761" t="str">
        <x:v>成交</x:v>
      </x:c>
      <x:c r="N761" s="20" t="n">
        <x:v>45953</x:v>
      </x:c>
      <x:c r="O761"/>
    </x:row>
    <x:row r="762" ht="20" customHeight="1">
      <x:c r="A762" t="str">
        <x:v>Q00761</x:v>
      </x:c>
      <x:c r="B762" s="20" t="n">
        <x:v>45938</x:v>
      </x:c>
      <x:c r="C762" t="str">
        <x:v>SEM-008</x:v>
      </x:c>
      <x:c r="D762" t="str">
        <x:v>S04</x:v>
      </x:c>
      <x:c r="E762" t="str">
        <x:v>PM-VAC-A</x:v>
      </x:c>
      <x:c r="F762" t="str">
        <x:v>精密金屬加工件</x:v>
      </x:c>
      <x:c r="G762" t="n">
        <x:v>300</x:v>
      </x:c>
      <x:c r="H762" t="n">
        <x:v>15401.32</x:v>
      </x:c>
      <x:c r="I762" t="n">
        <x:v>10520.13</x:v>
      </x:c>
      <x:c r="J762" s="22" t="n">
        <x:v>0.31693322390548345</x:v>
      </x:c>
      <x:c r="K762" s="22" t="n">
        <x:v>0.0928</x:v>
      </x:c>
      <x:c r="L762" t="n">
        <x:v>25</x:v>
      </x:c>
      <x:c r="M762" t="str">
        <x:v>未成交</x:v>
      </x:c>
      <x:c r="N762" s="20" t="n">
        <x:v>45948</x:v>
      </x:c>
      <x:c r="O762" t="str">
        <x:v>專案取消</x:v>
      </x:c>
    </x:row>
    <x:row r="763" ht="20" customHeight="1">
      <x:c r="A763" t="str">
        <x:v>Q00762</x:v>
      </x:c>
      <x:c r="B763" s="20" t="n">
        <x:v>45954</x:v>
      </x:c>
      <x:c r="C763" t="str">
        <x:v>AFT-001</x:v>
      </x:c>
      <x:c r="D763" t="str">
        <x:v>S05</x:v>
      </x:c>
      <x:c r="E763" t="str">
        <x:v>AUTO-BS-B</x:v>
      </x:c>
      <x:c r="F763" t="str">
        <x:v>汽車精密零組件</x:v>
      </x:c>
      <x:c r="G763" t="n">
        <x:v>3000</x:v>
      </x:c>
      <x:c r="H763" t="n">
        <x:v>842.4</x:v>
      </x:c>
      <x:c r="I763" t="n">
        <x:v>652.28</x:v>
      </x:c>
      <x:c r="J763" s="22" t="n">
        <x:v>0.22568850902184237</x:v>
      </x:c>
      <x:c r="K763" s="22" t="n">
        <x:v>0.1183</x:v>
      </x:c>
      <x:c r="L763" t="n">
        <x:v>15</x:v>
      </x:c>
      <x:c r="M763" t="str">
        <x:v>未成交</x:v>
      </x:c>
      <x:c r="N763" s="20" t="n">
        <x:v>45958</x:v>
      </x:c>
      <x:c r="O763" t="str">
        <x:v>價格</x:v>
      </x:c>
    </x:row>
    <x:row r="764" ht="20" customHeight="1">
      <x:c r="A764" t="str">
        <x:v>Q00763</x:v>
      </x:c>
      <x:c r="B764" s="20" t="n">
        <x:v>45934</x:v>
      </x:c>
      <x:c r="C764" t="str">
        <x:v>EMS-003</x:v>
      </x:c>
      <x:c r="D764" t="str">
        <x:v>S05</x:v>
      </x:c>
      <x:c r="E764" t="str">
        <x:v>AUTO-BS-B</x:v>
      </x:c>
      <x:c r="F764" t="str">
        <x:v>汽車精密零組件</x:v>
      </x:c>
      <x:c r="G764" t="n">
        <x:v>5000</x:v>
      </x:c>
      <x:c r="H764" t="n">
        <x:v>962.25</x:v>
      </x:c>
      <x:c r="I764" t="n">
        <x:v>637.22</x:v>
      </x:c>
      <x:c r="J764" s="22" t="n">
        <x:v>0.337781241881008</x:v>
      </x:c>
      <x:c r="K764" s="22" t="n">
        <x:v>0.013</x:v>
      </x:c>
      <x:c r="L764" t="n">
        <x:v>12</x:v>
      </x:c>
      <x:c r="M764" t="str">
        <x:v>成交</x:v>
      </x:c>
      <x:c r="N764" s="20" t="n">
        <x:v>45940</x:v>
      </x:c>
      <x:c r="O764"/>
    </x:row>
    <x:row r="765" ht="20" customHeight="1">
      <x:c r="A765" t="str">
        <x:v>Q00764</x:v>
      </x:c>
      <x:c r="B765" s="20" t="n">
        <x:v>45960</x:v>
      </x:c>
      <x:c r="C765" t="str">
        <x:v>IAT-001</x:v>
      </x:c>
      <x:c r="D765" t="str">
        <x:v>S05</x:v>
      </x:c>
      <x:c r="E765" t="str">
        <x:v>PM-VAC-A</x:v>
      </x:c>
      <x:c r="F765" t="str">
        <x:v>精密金屬加工件</x:v>
      </x:c>
      <x:c r="G765" t="n">
        <x:v>1200</x:v>
      </x:c>
      <x:c r="H765" t="n">
        <x:v>15645.71</x:v>
      </x:c>
      <x:c r="I765" t="n">
        <x:v>11086.45</x:v>
      </x:c>
      <x:c r="J765" s="22" t="n">
        <x:v>0.2914063983034326</x:v>
      </x:c>
      <x:c r="K765" s="22" t="n">
        <x:v>0.0711</x:v>
      </x:c>
      <x:c r="L765" t="n">
        <x:v>28</x:v>
      </x:c>
      <x:c r="M765" t="str">
        <x:v>成交</x:v>
      </x:c>
      <x:c r="N765" s="20" t="n">
        <x:v>45969</x:v>
      </x:c>
      <x:c r="O765"/>
    </x:row>
    <x:row r="766" ht="20" customHeight="1">
      <x:c r="A766" t="str">
        <x:v>Q00765</x:v>
      </x:c>
      <x:c r="B766" s="20" t="n">
        <x:v>45949</x:v>
      </x:c>
      <x:c r="C766" t="str">
        <x:v>AFT-004</x:v>
      </x:c>
      <x:c r="D766" t="str">
        <x:v>S02</x:v>
      </x:c>
      <x:c r="E766" t="str">
        <x:v>AUTO-MH-A</x:v>
      </x:c>
      <x:c r="F766" t="str">
        <x:v>汽車精密零組件</x:v>
      </x:c>
      <x:c r="G766" t="n">
        <x:v>7000</x:v>
      </x:c>
      <x:c r="H766" t="n">
        <x:v>2542.48</x:v>
      </x:c>
      <x:c r="I766" t="n">
        <x:v>1968.44</x:v>
      </x:c>
      <x:c r="J766" s="22" t="n">
        <x:v>0.22577955382146564</x:v>
      </x:c>
      <x:c r="K766" s="22" t="n">
        <x:v>0.0584</x:v>
      </x:c>
      <x:c r="L766" t="n">
        <x:v>19</x:v>
      </x:c>
      <x:c r="M766" t="str">
        <x:v>成交</x:v>
      </x:c>
      <x:c r="N766" s="20" t="n">
        <x:v>45956</x:v>
      </x:c>
      <x:c r="O766"/>
    </x:row>
    <x:row r="767" ht="20" customHeight="1">
      <x:c r="A767" t="str">
        <x:v>Q00766</x:v>
      </x:c>
      <x:c r="B767" s="20" t="n">
        <x:v>45948</x:v>
      </x:c>
      <x:c r="C767" t="str">
        <x:v>AUT-008</x:v>
      </x:c>
      <x:c r="D767" t="str">
        <x:v>S01</x:v>
      </x:c>
      <x:c r="E767" t="str">
        <x:v>PM-BRG-B</x:v>
      </x:c>
      <x:c r="F767" t="str">
        <x:v>精密金屬加工件</x:v>
      </x:c>
      <x:c r="G767" t="n">
        <x:v>300</x:v>
      </x:c>
      <x:c r="H767" t="n">
        <x:v>7633.61</x:v>
      </x:c>
      <x:c r="I767" t="n">
        <x:v>5499.91</x:v>
      </x:c>
      <x:c r="J767" s="22" t="n">
        <x:v>0.2795138866145899</x:v>
      </x:c>
      <x:c r="K767" s="22" t="n">
        <x:v>0.1073</x:v>
      </x:c>
      <x:c r="L767" t="n">
        <x:v>22</x:v>
      </x:c>
      <x:c r="M767" t="str">
        <x:v>成交</x:v>
      </x:c>
      <x:c r="N767" s="20" t="n">
        <x:v>45959</x:v>
      </x:c>
      <x:c r="O767"/>
    </x:row>
    <x:row r="768" ht="20" customHeight="1">
      <x:c r="A768" t="str">
        <x:v>Q00767</x:v>
      </x:c>
      <x:c r="B768" s="20" t="n">
        <x:v>45953</x:v>
      </x:c>
      <x:c r="C768" t="str">
        <x:v>EMS-002</x:v>
      </x:c>
      <x:c r="D768" t="str">
        <x:v>S05</x:v>
      </x:c>
      <x:c r="E768" t="str">
        <x:v>MECH-CON-A</x:v>
      </x:c>
      <x:c r="F768" t="str">
        <x:v>機電／自動化模組</x:v>
      </x:c>
      <x:c r="G768" t="n">
        <x:v>10</x:v>
      </x:c>
      <x:c r="H768" t="n">
        <x:v>102934.08</x:v>
      </x:c>
      <x:c r="I768" t="n">
        <x:v>82802.78</x:v>
      </x:c>
      <x:c r="J768" s="22" t="n">
        <x:v>0.1955746823598171</x:v>
      </x:c>
      <x:c r="K768" s="22" t="n">
        <x:v>0.1311</x:v>
      </x:c>
      <x:c r="L768" t="n">
        <x:v>27</x:v>
      </x:c>
      <x:c r="M768" t="str">
        <x:v>成交</x:v>
      </x:c>
      <x:c r="N768" s="20" t="n">
        <x:v>45957</x:v>
      </x:c>
      <x:c r="O768"/>
    </x:row>
    <x:row r="769" ht="20" customHeight="1">
      <x:c r="A769" t="str">
        <x:v>Q00768</x:v>
      </x:c>
      <x:c r="B769" s="20" t="n">
        <x:v>45948</x:v>
      </x:c>
      <x:c r="C769" t="str">
        <x:v>AUT-005</x:v>
      </x:c>
      <x:c r="D769" t="str">
        <x:v>S04</x:v>
      </x:c>
      <x:c r="E769" t="str">
        <x:v>AUTO-KN-B</x:v>
      </x:c>
      <x:c r="F769" t="str">
        <x:v>汽車精密零組件</x:v>
      </x:c>
      <x:c r="G769" t="n">
        <x:v>7000</x:v>
      </x:c>
      <x:c r="H769" t="n">
        <x:v>3540.69</x:v>
      </x:c>
      <x:c r="I769" t="n">
        <x:v>2629.55</x:v>
      </x:c>
      <x:c r="J769" s="22" t="n">
        <x:v>0.25733402246454784</x:v>
      </x:c>
      <x:c r="K769" s="22" t="n">
        <x:v>0.0994</x:v>
      </x:c>
      <x:c r="L769" t="n">
        <x:v>29</x:v>
      </x:c>
      <x:c r="M769" t="str">
        <x:v>未成交</x:v>
      </x:c>
      <x:c r="N769" s="20" t="n">
        <x:v>45958</x:v>
      </x:c>
      <x:c r="O769" t="str">
        <x:v>規格</x:v>
      </x:c>
    </x:row>
    <x:row r="770" ht="20" customHeight="1">
      <x:c r="A770" t="str">
        <x:v>Q00769</x:v>
      </x:c>
      <x:c r="B770" s="20" t="n">
        <x:v>45958</x:v>
      </x:c>
      <x:c r="C770" t="str">
        <x:v>EMS-001</x:v>
      </x:c>
      <x:c r="D770" t="str">
        <x:v>S02</x:v>
      </x:c>
      <x:c r="E770" t="str">
        <x:v>AUTO-BS-B</x:v>
      </x:c>
      <x:c r="F770" t="str">
        <x:v>汽車精密零組件</x:v>
      </x:c>
      <x:c r="G770" t="n">
        <x:v>7000</x:v>
      </x:c>
      <x:c r="H770" t="n">
        <x:v>899.84</x:v>
      </x:c>
      <x:c r="I770" t="n">
        <x:v>675.97</x:v>
      </x:c>
      <x:c r="J770" s="22" t="n">
        <x:v>0.24878867354196302</x:v>
      </x:c>
      <x:c r="K770" s="22" t="n">
        <x:v>0.0605</x:v>
      </x:c>
      <x:c r="L770" t="n">
        <x:v>12</x:v>
      </x:c>
      <x:c r="M770" t="str">
        <x:v>成交</x:v>
      </x:c>
      <x:c r="N770" s="20" t="n">
        <x:v>45967</x:v>
      </x:c>
      <x:c r="O770"/>
    </x:row>
    <x:row r="771" ht="20" customHeight="1">
      <x:c r="A771" t="str">
        <x:v>Q00770</x:v>
      </x:c>
      <x:c r="B771" s="20" t="n">
        <x:v>45941</x:v>
      </x:c>
      <x:c r="C771" t="str">
        <x:v>SEM-005</x:v>
      </x:c>
      <x:c r="D771" t="str">
        <x:v>S06</x:v>
      </x:c>
      <x:c r="E771" t="str">
        <x:v>PM-SUS-B</x:v>
      </x:c>
      <x:c r="F771" t="str">
        <x:v>精密金屬加工件</x:v>
      </x:c>
      <x:c r="G771" t="n">
        <x:v>1200</x:v>
      </x:c>
      <x:c r="H771" t="n">
        <x:v>14305.9</x:v>
      </x:c>
      <x:c r="I771" t="n">
        <x:v>11029.3</x:v>
      </x:c>
      <x:c r="J771" s="22" t="n">
        <x:v>0.22903836878490696</x:v>
      </x:c>
      <x:c r="K771" s="22" t="n">
        <x:v>0.1028</x:v>
      </x:c>
      <x:c r="L771" t="n">
        <x:v>25</x:v>
      </x:c>
      <x:c r="M771" t="str">
        <x:v>未成交</x:v>
      </x:c>
      <x:c r="N771" s="20" t="n">
        <x:v>45946</x:v>
      </x:c>
      <x:c r="O771" t="str">
        <x:v>交期</x:v>
      </x:c>
    </x:row>
    <x:row r="772" ht="20" customHeight="1">
      <x:c r="A772" t="str">
        <x:v>Q00771</x:v>
      </x:c>
      <x:c r="B772" s="20" t="n">
        <x:v>45950</x:v>
      </x:c>
      <x:c r="C772" t="str">
        <x:v>AFT-001</x:v>
      </x:c>
      <x:c r="D772" t="str">
        <x:v>S05</x:v>
      </x:c>
      <x:c r="E772" t="str">
        <x:v>PM-VAC-B</x:v>
      </x:c>
      <x:c r="F772" t="str">
        <x:v>精密金屬加工件</x:v>
      </x:c>
      <x:c r="G772" t="n">
        <x:v>300</x:v>
      </x:c>
      <x:c r="H772" t="n">
        <x:v>23638.86</x:v>
      </x:c>
      <x:c r="I772" t="n">
        <x:v>15275.2</x:v>
      </x:c>
      <x:c r="J772" s="22" t="n">
        <x:v>0.3538097860895153</x:v>
      </x:c>
      <x:c r="K772" s="22" t="n">
        <x:v>0.01</x:v>
      </x:c>
      <x:c r="L772" t="n">
        <x:v>37</x:v>
      </x:c>
      <x:c r="M772" t="str">
        <x:v>成交</x:v>
      </x:c>
      <x:c r="N772" s="20" t="n">
        <x:v>45958</x:v>
      </x:c>
      <x:c r="O772"/>
    </x:row>
    <x:row r="773" ht="20" customHeight="1">
      <x:c r="A773" t="str">
        <x:v>Q00772</x:v>
      </x:c>
      <x:c r="B773" s="20" t="n">
        <x:v>45934</x:v>
      </x:c>
      <x:c r="C773" t="str">
        <x:v>IAT-002</x:v>
      </x:c>
      <x:c r="D773" t="str">
        <x:v>S01</x:v>
      </x:c>
      <x:c r="E773" t="str">
        <x:v>MECH-STG-A</x:v>
      </x:c>
      <x:c r="F773" t="str">
        <x:v>機電／自動化模組</x:v>
      </x:c>
      <x:c r="G773" t="n">
        <x:v>50</x:v>
      </x:c>
      <x:c r="H773" t="n">
        <x:v>126206.2</x:v>
      </x:c>
      <x:c r="I773" t="n">
        <x:v>107313.5</x:v>
      </x:c>
      <x:c r="J773" s="22" t="n">
        <x:v>0.1496970830276167</x:v>
      </x:c>
      <x:c r="K773" s="22" t="n">
        <x:v>0.1251</x:v>
      </x:c>
      <x:c r="L773" t="n">
        <x:v>38</x:v>
      </x:c>
      <x:c r="M773" t="str">
        <x:v>成交</x:v>
      </x:c>
      <x:c r="N773" s="20" t="n">
        <x:v>45942</x:v>
      </x:c>
      <x:c r="O773"/>
    </x:row>
    <x:row r="774" ht="20" customHeight="1">
      <x:c r="A774" t="str">
        <x:v>Q00773</x:v>
      </x:c>
      <x:c r="B774" s="20" t="n">
        <x:v>45946</x:v>
      </x:c>
      <x:c r="C774" t="str">
        <x:v>AUT-003</x:v>
      </x:c>
      <x:c r="D774" t="str">
        <x:v>S03</x:v>
      </x:c>
      <x:c r="E774" t="str">
        <x:v>MECH-CON-A</x:v>
      </x:c>
      <x:c r="F774" t="str">
        <x:v>機電／自動化模組</x:v>
      </x:c>
      <x:c r="G774" t="n">
        <x:v>10</x:v>
      </x:c>
      <x:c r="H774" t="n">
        <x:v>99035.37</x:v>
      </x:c>
      <x:c r="I774" t="n">
        <x:v>85389.9</x:v>
      </x:c>
      <x:c r="J774" s="22" t="n">
        <x:v>0.13778380390763423</x:v>
      </x:c>
      <x:c r="K774" s="22" t="n">
        <x:v>0.1505</x:v>
      </x:c>
      <x:c r="L774" t="n">
        <x:v>39</x:v>
      </x:c>
      <x:c r="M774" t="str">
        <x:v>未成交</x:v>
      </x:c>
      <x:c r="N774" s="20" t="n">
        <x:v>45953</x:v>
      </x:c>
      <x:c r="O774" t="str">
        <x:v>專案取消</x:v>
      </x:c>
    </x:row>
    <x:row r="775" ht="20" customHeight="1">
      <x:c r="A775" t="str">
        <x:v>Q00774</x:v>
      </x:c>
      <x:c r="B775" s="20" t="n">
        <x:v>45976</x:v>
      </x:c>
      <x:c r="C775" t="str">
        <x:v>IAT-007</x:v>
      </x:c>
      <x:c r="D775" t="str">
        <x:v>S04</x:v>
      </x:c>
      <x:c r="E775" t="str">
        <x:v>PM-ALB-B</x:v>
      </x:c>
      <x:c r="F775" t="str">
        <x:v>精密金屬加工件</x:v>
      </x:c>
      <x:c r="G775" t="n">
        <x:v>300</x:v>
      </x:c>
      <x:c r="H775" t="n">
        <x:v>15529.8</x:v>
      </x:c>
      <x:c r="I775" t="n">
        <x:v>12029.35</x:v>
      </x:c>
      <x:c r="J775" s="22" t="n">
        <x:v>0.22540213009826263</x:v>
      </x:c>
      <x:c r="K775" s="22" t="n">
        <x:v>0.0655</x:v>
      </x:c>
      <x:c r="L775" t="n">
        <x:v>25</x:v>
      </x:c>
      <x:c r="M775" t="str">
        <x:v>成交</x:v>
      </x:c>
      <x:c r="N775" s="20" t="n">
        <x:v>45987</x:v>
      </x:c>
      <x:c r="O775"/>
    </x:row>
    <x:row r="776" ht="20" customHeight="1">
      <x:c r="A776" t="str">
        <x:v>Q00775</x:v>
      </x:c>
      <x:c r="B776" s="20" t="n">
        <x:v>45975</x:v>
      </x:c>
      <x:c r="C776" t="str">
        <x:v>SEM-008</x:v>
      </x:c>
      <x:c r="D776" t="str">
        <x:v>S04</x:v>
      </x:c>
      <x:c r="E776" t="str">
        <x:v>SEMI-WH-B</x:v>
      </x:c>
      <x:c r="F776" t="str">
        <x:v>半導體設備零組件</x:v>
      </x:c>
      <x:c r="G776" t="n">
        <x:v>120</x:v>
      </x:c>
      <x:c r="H776" t="n">
        <x:v>152176.79</x:v>
      </x:c>
      <x:c r="I776" t="n">
        <x:v>127598.28</x:v>
      </x:c>
      <x:c r="J776" s="22" t="n">
        <x:v>0.1615128693409817</x:v>
      </x:c>
      <x:c r="K776" s="22" t="n">
        <x:v>0.1349</x:v>
      </x:c>
      <x:c r="L776" t="n">
        <x:v>60</x:v>
      </x:c>
      <x:c r="M776" t="str">
        <x:v>未成交</x:v>
      </x:c>
      <x:c r="N776" s="20" t="n">
        <x:v>45986</x:v>
      </x:c>
      <x:c r="O776" t="str">
        <x:v>交期</x:v>
      </x:c>
    </x:row>
    <x:row r="777" ht="20" customHeight="1">
      <x:c r="A777" t="str">
        <x:v>Q00776</x:v>
      </x:c>
      <x:c r="B777" s="20" t="n">
        <x:v>45965</x:v>
      </x:c>
      <x:c r="C777" t="str">
        <x:v>AFT-002</x:v>
      </x:c>
      <x:c r="D777" t="str">
        <x:v>S04</x:v>
      </x:c>
      <x:c r="E777" t="str">
        <x:v>PM-ALB-B</x:v>
      </x:c>
      <x:c r="F777" t="str">
        <x:v>精密金屬加工件</x:v>
      </x:c>
      <x:c r="G777" t="n">
        <x:v>500</x:v>
      </x:c>
      <x:c r="H777" t="n">
        <x:v>14746.75</x:v>
      </x:c>
      <x:c r="I777" t="n">
        <x:v>12151.5</x:v>
      </x:c>
      <x:c r="J777" s="22" t="n">
        <x:v>0.1759879295437978</x:v>
      </x:c>
      <x:c r="K777" s="22" t="n">
        <x:v>0.115</x:v>
      </x:c>
      <x:c r="L777" t="n">
        <x:v>22</x:v>
      </x:c>
      <x:c r="M777" t="str">
        <x:v>未成交</x:v>
      </x:c>
      <x:c r="N777" s="20" t="n">
        <x:v>45977</x:v>
      </x:c>
      <x:c r="O777" t="str">
        <x:v>交期</x:v>
      </x:c>
    </x:row>
    <x:row r="778" ht="20" customHeight="1">
      <x:c r="A778" t="str">
        <x:v>Q00777</x:v>
      </x:c>
      <x:c r="B778" s="20" t="n">
        <x:v>45978</x:v>
      </x:c>
      <x:c r="C778" t="str">
        <x:v>AFT-001</x:v>
      </x:c>
      <x:c r="D778" t="str">
        <x:v>S05</x:v>
      </x:c>
      <x:c r="E778" t="str">
        <x:v>PM-VAC-A</x:v>
      </x:c>
      <x:c r="F778" t="str">
        <x:v>精密金屬加工件</x:v>
      </x:c>
      <x:c r="G778" t="n">
        <x:v>500</x:v>
      </x:c>
      <x:c r="H778" t="n">
        <x:v>16543.75</x:v>
      </x:c>
      <x:c r="I778" t="n">
        <x:v>10547.17</x:v>
      </x:c>
      <x:c r="J778" s="22" t="n">
        <x:v>0.36246800151114467</x:v>
      </x:c>
      <x:c r="K778" s="22" t="n">
        <x:v>0.01</x:v>
      </x:c>
      <x:c r="L778" t="n">
        <x:v>29</x:v>
      </x:c>
      <x:c r="M778" t="str">
        <x:v>成交</x:v>
      </x:c>
      <x:c r="N778" s="20" t="n">
        <x:v>45990</x:v>
      </x:c>
      <x:c r="O778"/>
    </x:row>
    <x:row r="779" ht="20" customHeight="1">
      <x:c r="A779" t="str">
        <x:v>Q00778</x:v>
      </x:c>
      <x:c r="B779" s="20" t="n">
        <x:v>45979</x:v>
      </x:c>
      <x:c r="C779" t="str">
        <x:v>IAT-010</x:v>
      </x:c>
      <x:c r="D779" t="str">
        <x:v>S04</x:v>
      </x:c>
      <x:c r="E779" t="str">
        <x:v>SEMI-CHB-A</x:v>
      </x:c>
      <x:c r="F779" t="str">
        <x:v>半導體設備零組件</x:v>
      </x:c>
      <x:c r="G779" t="n">
        <x:v>160</x:v>
      </x:c>
      <x:c r="H779" t="n">
        <x:v>96107.79</x:v>
      </x:c>
      <x:c r="I779" t="n">
        <x:v>70452.98</x:v>
      </x:c>
      <x:c r="J779" s="22" t="n">
        <x:v>0.26693788297493887</x:v>
      </x:c>
      <x:c r="K779" s="22" t="n">
        <x:v>0.0345</x:v>
      </x:c>
      <x:c r="L779" t="n">
        <x:v>50</x:v>
      </x:c>
      <x:c r="M779" t="str">
        <x:v>成交</x:v>
      </x:c>
      <x:c r="N779" s="20" t="n">
        <x:v>45987</x:v>
      </x:c>
      <x:c r="O779"/>
    </x:row>
    <x:row r="780" ht="20" customHeight="1">
      <x:c r="A780" t="str">
        <x:v>Q00779</x:v>
      </x:c>
      <x:c r="B780" s="20" t="n">
        <x:v>45981</x:v>
      </x:c>
      <x:c r="C780" t="str">
        <x:v>IAT-004</x:v>
      </x:c>
      <x:c r="D780" t="str">
        <x:v>S05</x:v>
      </x:c>
      <x:c r="E780" t="str">
        <x:v>AUTO-BS-A</x:v>
      </x:c>
      <x:c r="F780" t="str">
        <x:v>汽車精密零組件</x:v>
      </x:c>
      <x:c r="G780" t="n">
        <x:v>5000</x:v>
      </x:c>
      <x:c r="H780" t="n">
        <x:v>713.5</x:v>
      </x:c>
      <x:c r="I780" t="n">
        <x:v>567.45</x:v>
      </x:c>
      <x:c r="J780" s="22" t="n">
        <x:v>0.2046951646811492</x:v>
      </x:c>
      <x:c r="K780" s="22" t="n">
        <x:v>0.1296</x:v>
      </x:c>
      <x:c r="L780" t="n">
        <x:v>15</x:v>
      </x:c>
      <x:c r="M780" t="str">
        <x:v>未成交</x:v>
      </x:c>
      <x:c r="N780" s="20" t="n">
        <x:v>45988</x:v>
      </x:c>
      <x:c r="O780" t="str">
        <x:v>專案取消</x:v>
      </x:c>
    </x:row>
    <x:row r="781" ht="20" customHeight="1">
      <x:c r="A781" t="str">
        <x:v>Q00780</x:v>
      </x:c>
      <x:c r="B781" s="20" t="n">
        <x:v>45982</x:v>
      </x:c>
      <x:c r="C781" t="str">
        <x:v>EMS-004</x:v>
      </x:c>
      <x:c r="D781" t="str">
        <x:v>S03</x:v>
      </x:c>
      <x:c r="E781" t="str">
        <x:v>AUTO-LG-A</x:v>
      </x:c>
      <x:c r="F781" t="str">
        <x:v>汽車精密零組件</x:v>
      </x:c>
      <x:c r="G781" t="n">
        <x:v>3000</x:v>
      </x:c>
      <x:c r="H781" t="n">
        <x:v>1057.53</x:v>
      </x:c>
      <x:c r="I781" t="n">
        <x:v>856.07</x:v>
      </x:c>
      <x:c r="J781" s="22" t="n">
        <x:v>0.19050050589581377</x:v>
      </x:c>
      <x:c r="K781" s="22" t="n">
        <x:v>0.0989</x:v>
      </x:c>
      <x:c r="L781" t="n">
        <x:v>13</x:v>
      </x:c>
      <x:c r="M781" t="str">
        <x:v>成交</x:v>
      </x:c>
      <x:c r="N781" s="20" t="n">
        <x:v>45994</x:v>
      </x:c>
      <x:c r="O781"/>
    </x:row>
    <x:row r="782" ht="20" customHeight="1">
      <x:c r="A782" t="str">
        <x:v>Q00781</x:v>
      </x:c>
      <x:c r="B782" s="20" t="n">
        <x:v>45974</x:v>
      </x:c>
      <x:c r="C782" t="str">
        <x:v>IAT-002</x:v>
      </x:c>
      <x:c r="D782" t="str">
        <x:v>S01</x:v>
      </x:c>
      <x:c r="E782" t="str">
        <x:v>AUTO-BRK-B</x:v>
      </x:c>
      <x:c r="F782" t="str">
        <x:v>汽車精密零組件</x:v>
      </x:c>
      <x:c r="G782" t="n">
        <x:v>5000</x:v>
      </x:c>
      <x:c r="H782" t="n">
        <x:v>2116.54</x:v>
      </x:c>
      <x:c r="I782" t="n">
        <x:v>1663.77</x:v>
      </x:c>
      <x:c r="J782" s="22" t="n">
        <x:v>0.21391988811928903</x:v>
      </x:c>
      <x:c r="K782" s="22" t="n">
        <x:v>0.0763</x:v>
      </x:c>
      <x:c r="L782" t="n">
        <x:v>21</x:v>
      </x:c>
      <x:c r="M782" t="str">
        <x:v>成交</x:v>
      </x:c>
      <x:c r="N782" s="20" t="n">
        <x:v>45986</x:v>
      </x:c>
      <x:c r="O782"/>
    </x:row>
    <x:row r="783" ht="20" customHeight="1">
      <x:c r="A783" t="str">
        <x:v>Q00782</x:v>
      </x:c>
      <x:c r="B783" s="20" t="n">
        <x:v>45968</x:v>
      </x:c>
      <x:c r="C783" t="str">
        <x:v>IAT-010</x:v>
      </x:c>
      <x:c r="D783" t="str">
        <x:v>S04</x:v>
      </x:c>
      <x:c r="E783" t="str">
        <x:v>PM-ALB-A</x:v>
      </x:c>
      <x:c r="F783" t="str">
        <x:v>精密金屬加工件</x:v>
      </x:c>
      <x:c r="G783" t="n">
        <x:v>1600</x:v>
      </x:c>
      <x:c r="H783" t="n">
        <x:v>11229.28</x:v>
      </x:c>
      <x:c r="I783" t="n">
        <x:v>7866.27</x:v>
      </x:c>
      <x:c r="J783" s="22" t="n">
        <x:v>0.299485808529131</x:v>
      </x:c>
      <x:c r="K783" s="22" t="n">
        <x:v>0.0598</x:v>
      </x:c>
      <x:c r="L783" t="n">
        <x:v>20</x:v>
      </x:c>
      <x:c r="M783" t="str">
        <x:v>成交</x:v>
      </x:c>
      <x:c r="N783" s="20" t="n">
        <x:v>45980</x:v>
      </x:c>
      <x:c r="O783"/>
    </x:row>
    <x:row r="784" ht="20" customHeight="1">
      <x:c r="A784" t="str">
        <x:v>Q00783</x:v>
      </x:c>
      <x:c r="B784" s="20" t="n">
        <x:v>45962</x:v>
      </x:c>
      <x:c r="C784" t="str">
        <x:v>AUT-004</x:v>
      </x:c>
      <x:c r="D784" t="str">
        <x:v>S03</x:v>
      </x:c>
      <x:c r="E784" t="str">
        <x:v>PM-BRG-B</x:v>
      </x:c>
      <x:c r="F784" t="str">
        <x:v>精密金屬加工件</x:v>
      </x:c>
      <x:c r="G784" t="n">
        <x:v>300</x:v>
      </x:c>
      <x:c r="H784" t="n">
        <x:v>8201.55</x:v>
      </x:c>
      <x:c r="I784" t="n">
        <x:v>5594.46</x:v>
      </x:c>
      <x:c r="J784" s="22" t="n">
        <x:v>0.317877718236187</x:v>
      </x:c>
      <x:c r="K784" s="22" t="n">
        <x:v>0.023</x:v>
      </x:c>
      <x:c r="L784" t="n">
        <x:v>19</x:v>
      </x:c>
      <x:c r="M784" t="str">
        <x:v>成交</x:v>
      </x:c>
      <x:c r="N784" s="20" t="n">
        <x:v>45969</x:v>
      </x:c>
      <x:c r="O784"/>
    </x:row>
    <x:row r="785" ht="20" customHeight="1">
      <x:c r="A785" t="str">
        <x:v>Q00784</x:v>
      </x:c>
      <x:c r="B785" s="20" t="n">
        <x:v>45971</x:v>
      </x:c>
      <x:c r="C785" t="str">
        <x:v>AUT-008</x:v>
      </x:c>
      <x:c r="D785" t="str">
        <x:v>S01</x:v>
      </x:c>
      <x:c r="E785" t="str">
        <x:v>AUTO-MH-A</x:v>
      </x:c>
      <x:c r="F785" t="str">
        <x:v>汽車精密零組件</x:v>
      </x:c>
      <x:c r="G785" t="n">
        <x:v>7000</x:v>
      </x:c>
      <x:c r="H785" t="n">
        <x:v>2651.1</x:v>
      </x:c>
      <x:c r="I785" t="n">
        <x:v>1916.97</x:v>
      </x:c>
      <x:c r="J785" s="22" t="n">
        <x:v>0.276915242729433</x:v>
      </x:c>
      <x:c r="K785" s="22" t="n">
        <x:v>0.0166</x:v>
      </x:c>
      <x:c r="L785" t="n">
        <x:v>25</x:v>
      </x:c>
      <x:c r="M785" t="str">
        <x:v>未成交</x:v>
      </x:c>
      <x:c r="N785" s="20" t="n">
        <x:v>45981</x:v>
      </x:c>
      <x:c r="O785" t="str">
        <x:v>專案取消</x:v>
      </x:c>
    </x:row>
    <x:row r="786" ht="20" customHeight="1">
      <x:c r="A786" t="str">
        <x:v>Q00785</x:v>
      </x:c>
      <x:c r="B786" s="20" t="n">
        <x:v>45976</x:v>
      </x:c>
      <x:c r="C786" t="str">
        <x:v>AUT-010</x:v>
      </x:c>
      <x:c r="D786" t="str">
        <x:v>S05</x:v>
      </x:c>
      <x:c r="E786" t="str">
        <x:v>MECH-CON-B</x:v>
      </x:c>
      <x:c r="F786" t="str">
        <x:v>機電／自動化模組</x:v>
      </x:c>
      <x:c r="G786" t="n">
        <x:v>40</x:v>
      </x:c>
      <x:c r="H786" t="n">
        <x:v>156309.67</x:v>
      </x:c>
      <x:c r="I786" t="n">
        <x:v>120186.52</x:v>
      </x:c>
      <x:c r="J786" s="22" t="n">
        <x:v>0.23109990571920475</x:v>
      </x:c>
      <x:c r="K786" s="22" t="n">
        <x:v>0.0694</x:v>
      </x:c>
      <x:c r="L786" t="n">
        <x:v>33</x:v>
      </x:c>
      <x:c r="M786" t="str">
        <x:v>未成交</x:v>
      </x:c>
      <x:c r="N786" s="20" t="n">
        <x:v>45981</x:v>
      </x:c>
      <x:c r="O786" t="str">
        <x:v>專案取消</x:v>
      </x:c>
    </x:row>
    <x:row r="787" ht="20" customHeight="1">
      <x:c r="A787" t="str">
        <x:v>Q00786</x:v>
      </x:c>
      <x:c r="B787" s="20" t="n">
        <x:v>45970</x:v>
      </x:c>
      <x:c r="C787" t="str">
        <x:v>AFT-004</x:v>
      </x:c>
      <x:c r="D787" t="str">
        <x:v>S02</x:v>
      </x:c>
      <x:c r="E787" t="str">
        <x:v>AUTO-BS-A</x:v>
      </x:c>
      <x:c r="F787" t="str">
        <x:v>汽車精密零組件</x:v>
      </x:c>
      <x:c r="G787" t="n">
        <x:v>5000</x:v>
      </x:c>
      <x:c r="H787" t="n">
        <x:v>813.46</x:v>
      </x:c>
      <x:c r="I787" t="n">
        <x:v>570.3</x:v>
      </x:c>
      <x:c r="J787" s="22" t="n">
        <x:v>0.2989206598972292</x:v>
      </x:c>
      <x:c r="K787" s="22" t="n">
        <x:v>0.0157</x:v>
      </x:c>
      <x:c r="L787" t="n">
        <x:v>11</x:v>
      </x:c>
      <x:c r="M787" t="str">
        <x:v>成交</x:v>
      </x:c>
      <x:c r="N787" s="20" t="n">
        <x:v>45977</x:v>
      </x:c>
      <x:c r="O787"/>
    </x:row>
    <x:row r="788" ht="20" customHeight="1">
      <x:c r="A788" t="str">
        <x:v>Q00787</x:v>
      </x:c>
      <x:c r="B788" s="20" t="n">
        <x:v>45981</x:v>
      </x:c>
      <x:c r="C788" t="str">
        <x:v>AFT-005</x:v>
      </x:c>
      <x:c r="D788" t="str">
        <x:v>S05</x:v>
      </x:c>
      <x:c r="E788" t="str">
        <x:v>AUTO-MH-A</x:v>
      </x:c>
      <x:c r="F788" t="str">
        <x:v>汽車精密零組件</x:v>
      </x:c>
      <x:c r="G788" t="n">
        <x:v>3000</x:v>
      </x:c>
      <x:c r="H788" t="n">
        <x:v>2387.61</x:v>
      </x:c>
      <x:c r="I788" t="n">
        <x:v>1973.01</x:v>
      </x:c>
      <x:c r="J788" s="22" t="n">
        <x:v>0.17364644979707747</x:v>
      </x:c>
      <x:c r="K788" s="22" t="n">
        <x:v>0.119</x:v>
      </x:c>
      <x:c r="L788" t="n">
        <x:v>16</x:v>
      </x:c>
      <x:c r="M788" t="str">
        <x:v>成交</x:v>
      </x:c>
      <x:c r="N788" s="20" t="n">
        <x:v>45989</x:v>
      </x:c>
      <x:c r="O788"/>
    </x:row>
    <x:row r="789" ht="20" customHeight="1">
      <x:c r="A789" t="str">
        <x:v>Q00788</x:v>
      </x:c>
      <x:c r="B789" s="20" t="n">
        <x:v>45965</x:v>
      </x:c>
      <x:c r="C789" t="str">
        <x:v>AUT-011</x:v>
      </x:c>
      <x:c r="D789" t="str">
        <x:v>S02</x:v>
      </x:c>
      <x:c r="E789" t="str">
        <x:v>MECH-CON-A</x:v>
      </x:c>
      <x:c r="F789" t="str">
        <x:v>機電／自動化模組</x:v>
      </x:c>
      <x:c r="G789" t="n">
        <x:v>10</x:v>
      </x:c>
      <x:c r="H789" t="n">
        <x:v>111075.46</x:v>
      </x:c>
      <x:c r="I789" t="n">
        <x:v>85340.75</x:v>
      </x:c>
      <x:c r="J789" s="22" t="n">
        <x:v>0.23168672900386822</x:v>
      </x:c>
      <x:c r="K789" s="22" t="n">
        <x:v>0.0604</x:v>
      </x:c>
      <x:c r="L789" t="n">
        <x:v>28</x:v>
      </x:c>
      <x:c r="M789" t="str">
        <x:v>成交</x:v>
      </x:c>
      <x:c r="N789" s="20" t="n">
        <x:v>45976</x:v>
      </x:c>
      <x:c r="O789"/>
    </x:row>
    <x:row r="790" ht="20" customHeight="1">
      <x:c r="A790" t="str">
        <x:v>Q00789</x:v>
      </x:c>
      <x:c r="B790" s="20" t="n">
        <x:v>45976</x:v>
      </x:c>
      <x:c r="C790" t="str">
        <x:v>EMS-005</x:v>
      </x:c>
      <x:c r="D790" t="str">
        <x:v>S01</x:v>
      </x:c>
      <x:c r="E790" t="str">
        <x:v>MECH-STG-B</x:v>
      </x:c>
      <x:c r="F790" t="str">
        <x:v>機電／自動化模組</x:v>
      </x:c>
      <x:c r="G790" t="n">
        <x:v>50</x:v>
      </x:c>
      <x:c r="H790" t="n">
        <x:v>199043.3</x:v>
      </x:c>
      <x:c r="I790" t="n">
        <x:v>154017.13</x:v>
      </x:c>
      <x:c r="J790" s="22" t="n">
        <x:v>0.22621293959656008</x:v>
      </x:c>
      <x:c r="K790" s="22" t="n">
        <x:v>0.0191</x:v>
      </x:c>
      <x:c r="L790" t="n">
        <x:v>39</x:v>
      </x:c>
      <x:c r="M790" t="str">
        <x:v>成交</x:v>
      </x:c>
      <x:c r="N790" s="20" t="n">
        <x:v>45985</x:v>
      </x:c>
      <x:c r="O790"/>
    </x:row>
    <x:row r="791" ht="20" customHeight="1">
      <x:c r="A791" t="str">
        <x:v>Q00790</x:v>
      </x:c>
      <x:c r="B791" s="20" t="n">
        <x:v>45980</x:v>
      </x:c>
      <x:c r="C791" t="str">
        <x:v>AUT-008</x:v>
      </x:c>
      <x:c r="D791" t="str">
        <x:v>S01</x:v>
      </x:c>
      <x:c r="E791" t="str">
        <x:v>PM-BRG-B</x:v>
      </x:c>
      <x:c r="F791" t="str">
        <x:v>精密金屬加工件</x:v>
      </x:c>
      <x:c r="G791" t="n">
        <x:v>1600</x:v>
      </x:c>
      <x:c r="H791" t="n">
        <x:v>7846.55</x:v>
      </x:c>
      <x:c r="I791" t="n">
        <x:v>5425.12</x:v>
      </x:c>
      <x:c r="J791" s="22" t="n">
        <x:v>0.30859804627511456</x:v>
      </x:c>
      <x:c r="K791" s="22" t="n">
        <x:v>0.0664</x:v>
      </x:c>
      <x:c r="L791" t="n">
        <x:v>16</x:v>
      </x:c>
      <x:c r="M791" t="str">
        <x:v>未成交</x:v>
      </x:c>
      <x:c r="N791" s="20" t="n">
        <x:v>45985</x:v>
      </x:c>
      <x:c r="O791" t="str">
        <x:v>交期</x:v>
      </x:c>
    </x:row>
    <x:row r="792" ht="20" customHeight="1">
      <x:c r="A792" t="str">
        <x:v>Q00791</x:v>
      </x:c>
      <x:c r="B792" s="20" t="n">
        <x:v>45986</x:v>
      </x:c>
      <x:c r="C792" t="str">
        <x:v>IAT-010</x:v>
      </x:c>
      <x:c r="D792" t="str">
        <x:v>S04</x:v>
      </x:c>
      <x:c r="E792" t="str">
        <x:v>SEMI-WH-A</x:v>
      </x:c>
      <x:c r="F792" t="str">
        <x:v>半導體設備零組件</x:v>
      </x:c>
      <x:c r="G792" t="n">
        <x:v>60</x:v>
      </x:c>
      <x:c r="H792" t="n">
        <x:v>116899.1</x:v>
      </x:c>
      <x:c r="I792" t="n">
        <x:v>86316.07</x:v>
      </x:c>
      <x:c r="J792" s="22" t="n">
        <x:v>0.2616190372723143</x:v>
      </x:c>
      <x:c r="K792" s="22" t="n">
        <x:v>0.0365</x:v>
      </x:c>
      <x:c r="L792" t="n">
        <x:v>49</x:v>
      </x:c>
      <x:c r="M792" t="str">
        <x:v>成交</x:v>
      </x:c>
      <x:c r="N792" s="20" t="n">
        <x:v>45992</x:v>
      </x:c>
      <x:c r="O792"/>
    </x:row>
    <x:row r="793" ht="20" customHeight="1">
      <x:c r="A793" t="str">
        <x:v>Q00792</x:v>
      </x:c>
      <x:c r="B793" s="20" t="n">
        <x:v>45983</x:v>
      </x:c>
      <x:c r="C793" t="str">
        <x:v>AFT-004</x:v>
      </x:c>
      <x:c r="D793" t="str">
        <x:v>S02</x:v>
      </x:c>
      <x:c r="E793" t="str">
        <x:v>AUTO-FL-A</x:v>
      </x:c>
      <x:c r="F793" t="str">
        <x:v>汽車精密零組件</x:v>
      </x:c>
      <x:c r="G793" t="n">
        <x:v>13000</x:v>
      </x:c>
      <x:c r="H793" t="n">
        <x:v>1194.36</x:v>
      </x:c>
      <x:c r="I793" t="n">
        <x:v>983.7</x:v>
      </x:c>
      <x:c r="J793" s="22" t="n">
        <x:v>0.17637898121169485</x:v>
      </x:c>
      <x:c r="K793" s="22" t="n">
        <x:v>0.1379</x:v>
      </x:c>
      <x:c r="L793" t="n">
        <x:v>13</x:v>
      </x:c>
      <x:c r="M793" t="str">
        <x:v>未成交</x:v>
      </x:c>
      <x:c r="N793" s="20" t="n">
        <x:v>45991</x:v>
      </x:c>
      <x:c r="O793" t="str">
        <x:v>競品</x:v>
      </x:c>
    </x:row>
    <x:row r="794" ht="20" customHeight="1">
      <x:c r="A794" t="str">
        <x:v>Q00793</x:v>
      </x:c>
      <x:c r="B794" s="20" t="n">
        <x:v>45963</x:v>
      </x:c>
      <x:c r="C794" t="str">
        <x:v>AUT-008</x:v>
      </x:c>
      <x:c r="D794" t="str">
        <x:v>S01</x:v>
      </x:c>
      <x:c r="E794" t="str">
        <x:v>AUTO-MH-B</x:v>
      </x:c>
      <x:c r="F794" t="str">
        <x:v>汽車精密零組件</x:v>
      </x:c>
      <x:c r="G794" t="n">
        <x:v>7000</x:v>
      </x:c>
      <x:c r="H794" t="n">
        <x:v>2935.95</x:v>
      </x:c>
      <x:c r="I794" t="n">
        <x:v>2339.59</x:v>
      </x:c>
      <x:c r="J794" s="22" t="n">
        <x:v>0.2031233501932934</x:v>
      </x:c>
      <x:c r="K794" s="22" t="n">
        <x:v>0.0715</x:v>
      </x:c>
      <x:c r="L794" t="n">
        <x:v>19</x:v>
      </x:c>
      <x:c r="M794" t="str">
        <x:v>未成交</x:v>
      </x:c>
      <x:c r="N794" s="20" t="n">
        <x:v>45966</x:v>
      </x:c>
      <x:c r="O794" t="str">
        <x:v>競品</x:v>
      </x:c>
    </x:row>
    <x:row r="795" ht="20" customHeight="1">
      <x:c r="A795" t="str">
        <x:v>Q00794</x:v>
      </x:c>
      <x:c r="B795" s="20" t="n">
        <x:v>45982</x:v>
      </x:c>
      <x:c r="C795" t="str">
        <x:v>AUT-011</x:v>
      </x:c>
      <x:c r="D795" t="str">
        <x:v>S02</x:v>
      </x:c>
      <x:c r="E795" t="str">
        <x:v>MECH-CON-B</x:v>
      </x:c>
      <x:c r="F795" t="str">
        <x:v>機電／自動化模組</x:v>
      </x:c>
      <x:c r="G795" t="n">
        <x:v>20</x:v>
      </x:c>
      <x:c r="H795" t="n">
        <x:v>155130.75</x:v>
      </x:c>
      <x:c r="I795" t="n">
        <x:v>122156.2</x:v>
      </x:c>
      <x:c r="J795" s="22" t="n">
        <x:v>0.21255972784248128</x:v>
      </x:c>
      <x:c r="K795" s="22" t="n">
        <x:v>0.0457</x:v>
      </x:c>
      <x:c r="L795" t="n">
        <x:v>45</x:v>
      </x:c>
      <x:c r="M795" t="str">
        <x:v>未成交</x:v>
      </x:c>
      <x:c r="N795" s="20" t="n">
        <x:v>45987</x:v>
      </x:c>
      <x:c r="O795" t="str">
        <x:v>交期</x:v>
      </x:c>
    </x:row>
    <x:row r="796" ht="20" customHeight="1">
      <x:c r="A796" t="str">
        <x:v>Q00795</x:v>
      </x:c>
      <x:c r="B796" s="20" t="n">
        <x:v>45973</x:v>
      </x:c>
      <x:c r="C796" t="str">
        <x:v>EMS-008</x:v>
      </x:c>
      <x:c r="D796" t="str">
        <x:v>S02</x:v>
      </x:c>
      <x:c r="E796" t="str">
        <x:v>SEMI-CHB-B</x:v>
      </x:c>
      <x:c r="F796" t="str">
        <x:v>半導體設備零組件</x:v>
      </x:c>
      <x:c r="G796" t="n">
        <x:v>120</x:v>
      </x:c>
      <x:c r="H796" t="n">
        <x:v>137962.64</x:v>
      </x:c>
      <x:c r="I796" t="n">
        <x:v>113433.65</x:v>
      </x:c>
      <x:c r="J796" s="22" t="n">
        <x:v>0.17779443768254954</x:v>
      </x:c>
      <x:c r="K796" s="22" t="n">
        <x:v>0.0789</x:v>
      </x:c>
      <x:c r="L796" t="n">
        <x:v>47</x:v>
      </x:c>
      <x:c r="M796" t="str">
        <x:v>未成交</x:v>
      </x:c>
      <x:c r="N796" s="20" t="n">
        <x:v>45979</x:v>
      </x:c>
      <x:c r="O796" t="str">
        <x:v>規格</x:v>
      </x:c>
    </x:row>
    <x:row r="797" ht="20" customHeight="1">
      <x:c r="A797" t="str">
        <x:v>Q00796</x:v>
      </x:c>
      <x:c r="B797" s="20" t="n">
        <x:v>45984</x:v>
      </x:c>
      <x:c r="C797" t="str">
        <x:v>AUT-001</x:v>
      </x:c>
      <x:c r="D797" t="str">
        <x:v>S01</x:v>
      </x:c>
      <x:c r="E797" t="str">
        <x:v>AUTO-LG-A</x:v>
      </x:c>
      <x:c r="F797" t="str">
        <x:v>汽車精密零組件</x:v>
      </x:c>
      <x:c r="G797" t="n">
        <x:v>13000</x:v>
      </x:c>
      <x:c r="H797" t="n">
        <x:v>1122.65</x:v>
      </x:c>
      <x:c r="I797" t="n">
        <x:v>872.59</x:v>
      </x:c>
      <x:c r="J797" s="22" t="n">
        <x:v>0.2227408364138423</x:v>
      </x:c>
      <x:c r="K797" s="22" t="n">
        <x:v>0.0488</x:v>
      </x:c>
      <x:c r="L797" t="n">
        <x:v>14</x:v>
      </x:c>
      <x:c r="M797" t="str">
        <x:v>成交</x:v>
      </x:c>
      <x:c r="N797" s="20" t="n">
        <x:v>45995</x:v>
      </x:c>
      <x:c r="O797"/>
    </x:row>
    <x:row r="798" ht="20" customHeight="1">
      <x:c r="A798" t="str">
        <x:v>Q00797</x:v>
      </x:c>
      <x:c r="B798" s="20" t="n">
        <x:v>45979</x:v>
      </x:c>
      <x:c r="C798" t="str">
        <x:v>AUT-002</x:v>
      </x:c>
      <x:c r="D798" t="str">
        <x:v>S04</x:v>
      </x:c>
      <x:c r="E798" t="str">
        <x:v>MECH-CON-A</x:v>
      </x:c>
      <x:c r="F798" t="str">
        <x:v>機電／自動化模組</x:v>
      </x:c>
      <x:c r="G798" t="n">
        <x:v>20</x:v>
      </x:c>
      <x:c r="H798" t="n">
        <x:v>114830.66</x:v>
      </x:c>
      <x:c r="I798" t="n">
        <x:v>83943.2</x:v>
      </x:c>
      <x:c r="J798" s="22" t="n">
        <x:v>0.26898269155641885</x:v>
      </x:c>
      <x:c r="K798" s="22" t="n">
        <x:v>0.0361</x:v>
      </x:c>
      <x:c r="L798" t="n">
        <x:v>30</x:v>
      </x:c>
      <x:c r="M798" t="str">
        <x:v>成交</x:v>
      </x:c>
      <x:c r="N798" s="20" t="n">
        <x:v>45987</x:v>
      </x:c>
      <x:c r="O798"/>
    </x:row>
    <x:row r="799" ht="20" customHeight="1">
      <x:c r="A799" t="str">
        <x:v>Q00798</x:v>
      </x:c>
      <x:c r="B799" s="20" t="n">
        <x:v>45965</x:v>
      </x:c>
      <x:c r="C799" t="str">
        <x:v>EMS-004</x:v>
      </x:c>
      <x:c r="D799" t="str">
        <x:v>S03</x:v>
      </x:c>
      <x:c r="E799" t="str">
        <x:v>MECH-STG-B</x:v>
      </x:c>
      <x:c r="F799" t="str">
        <x:v>機電／自動化模組</x:v>
      </x:c>
      <x:c r="G799" t="n">
        <x:v>10</x:v>
      </x:c>
      <x:c r="H799" t="n">
        <x:v>182361.13</x:v>
      </x:c>
      <x:c r="I799" t="n">
        <x:v>149282.52</x:v>
      </x:c>
      <x:c r="J799" s="22" t="n">
        <x:v>0.1813906834203101</x:v>
      </x:c>
      <x:c r="K799" s="22" t="n">
        <x:v>0.1155</x:v>
      </x:c>
      <x:c r="L799" t="n">
        <x:v>55</x:v>
      </x:c>
      <x:c r="M799" t="str">
        <x:v>成交</x:v>
      </x:c>
      <x:c r="N799" s="20" t="n">
        <x:v>45971</x:v>
      </x:c>
      <x:c r="O799"/>
    </x:row>
    <x:row r="800" ht="20" customHeight="1">
      <x:c r="A800" t="str">
        <x:v>Q00799</x:v>
      </x:c>
      <x:c r="B800" s="20" t="n">
        <x:v>45972</x:v>
      </x:c>
      <x:c r="C800" t="str">
        <x:v>IAT-006</x:v>
      </x:c>
      <x:c r="D800" t="str">
        <x:v>S01</x:v>
      </x:c>
      <x:c r="E800" t="str">
        <x:v>SEMI-CHB-A</x:v>
      </x:c>
      <x:c r="F800" t="str">
        <x:v>半導體設備零組件</x:v>
      </x:c>
      <x:c r="G800" t="n">
        <x:v>40</x:v>
      </x:c>
      <x:c r="H800" t="n">
        <x:v>94647.39</x:v>
      </x:c>
      <x:c r="I800" t="n">
        <x:v>69621.39</x:v>
      </x:c>
      <x:c r="J800" s="22" t="n">
        <x:v>0.2644129964915039</x:v>
      </x:c>
      <x:c r="K800" s="22" t="n">
        <x:v>0.0321</x:v>
      </x:c>
      <x:c r="L800" t="n">
        <x:v>50</x:v>
      </x:c>
      <x:c r="M800" t="str">
        <x:v>成交</x:v>
      </x:c>
      <x:c r="N800" s="20" t="n">
        <x:v>45978</x:v>
      </x:c>
      <x:c r="O800"/>
    </x:row>
    <x:row r="801" ht="20" customHeight="1">
      <x:c r="A801" t="str">
        <x:v>Q00800</x:v>
      </x:c>
      <x:c r="B801" s="20" t="n">
        <x:v>46009</x:v>
      </x:c>
      <x:c r="C801" t="str">
        <x:v>EMS-004</x:v>
      </x:c>
      <x:c r="D801" t="str">
        <x:v>S03</x:v>
      </x:c>
      <x:c r="E801" t="str">
        <x:v>MECH-STG-A</x:v>
      </x:c>
      <x:c r="F801" t="str">
        <x:v>機電／自動化模組</x:v>
      </x:c>
      <x:c r="G801" t="n">
        <x:v>10</x:v>
      </x:c>
      <x:c r="H801" t="n">
        <x:v>140902.92</x:v>
      </x:c>
      <x:c r="I801" t="n">
        <x:v>104649.64</x:v>
      </x:c>
      <x:c r="J801" s="22" t="n">
        <x:v>0.25729260969183615</x:v>
      </x:c>
      <x:c r="K801" s="22" t="n">
        <x:v>0.0271</x:v>
      </x:c>
      <x:c r="L801" t="n">
        <x:v>36</x:v>
      </x:c>
      <x:c r="M801" t="str">
        <x:v>成交</x:v>
      </x:c>
      <x:c r="N801" s="20" t="n">
        <x:v>46015</x:v>
      </x:c>
      <x:c r="O801"/>
    </x:row>
    <x:row r="802" ht="20" customHeight="1">
      <x:c r="A802" t="str">
        <x:v>Q00801</x:v>
      </x:c>
      <x:c r="B802" s="20" t="n">
        <x:v>46016</x:v>
      </x:c>
      <x:c r="C802" t="str">
        <x:v>EMS-005</x:v>
      </x:c>
      <x:c r="D802" t="str">
        <x:v>S01</x:v>
      </x:c>
      <x:c r="E802" t="str">
        <x:v>AUTO-FL-B</x:v>
      </x:c>
      <x:c r="F802" t="str">
        <x:v>汽車精密零組件</x:v>
      </x:c>
      <x:c r="G802" t="n">
        <x:v>10000</x:v>
      </x:c>
      <x:c r="H802" t="n">
        <x:v>1603.45</x:v>
      </x:c>
      <x:c r="I802" t="n">
        <x:v>1171.89</x:v>
      </x:c>
      <x:c r="J802" s="22" t="n">
        <x:v>0.2691446568337023</x:v>
      </x:c>
      <x:c r="K802" s="22" t="n">
        <x:v>0.0244</x:v>
      </x:c>
      <x:c r="L802" t="n">
        <x:v>14</x:v>
      </x:c>
      <x:c r="M802" t="str">
        <x:v>成交</x:v>
      </x:c>
      <x:c r="N802" s="20" t="n">
        <x:v>46021</x:v>
      </x:c>
      <x:c r="O802"/>
    </x:row>
    <x:row r="803" ht="20" customHeight="1">
      <x:c r="A803" t="str">
        <x:v>Q00802</x:v>
      </x:c>
      <x:c r="B803" s="20" t="n">
        <x:v>46001</x:v>
      </x:c>
      <x:c r="C803" t="str">
        <x:v>EMS-006</x:v>
      </x:c>
      <x:c r="D803" t="str">
        <x:v>S03</x:v>
      </x:c>
      <x:c r="E803" t="str">
        <x:v>MECH-CON-A</x:v>
      </x:c>
      <x:c r="F803" t="str">
        <x:v>機電／自動化模組</x:v>
      </x:c>
      <x:c r="G803" t="n">
        <x:v>50</x:v>
      </x:c>
      <x:c r="H803" t="n">
        <x:v>110140.27</x:v>
      </x:c>
      <x:c r="I803" t="n">
        <x:v>84146.58</x:v>
      </x:c>
      <x:c r="J803" s="22" t="n">
        <x:v>0.23600532303035032</x:v>
      </x:c>
      <x:c r="K803" s="22" t="n">
        <x:v>0.0525</x:v>
      </x:c>
      <x:c r="L803" t="n">
        <x:v>25</x:v>
      </x:c>
      <x:c r="M803" t="str">
        <x:v>成交</x:v>
      </x:c>
      <x:c r="N803" s="20" t="n">
        <x:v>46011</x:v>
      </x:c>
      <x:c r="O803"/>
    </x:row>
    <x:row r="804" ht="20" customHeight="1">
      <x:c r="A804" t="str">
        <x:v>Q00803</x:v>
      </x:c>
      <x:c r="B804" s="20" t="n">
        <x:v>46016</x:v>
      </x:c>
      <x:c r="C804" t="str">
        <x:v>EMS-001</x:v>
      </x:c>
      <x:c r="D804" t="str">
        <x:v>S02</x:v>
      </x:c>
      <x:c r="E804" t="str">
        <x:v>AUTO-MH-A</x:v>
      </x:c>
      <x:c r="F804" t="str">
        <x:v>汽車精密零組件</x:v>
      </x:c>
      <x:c r="G804" t="n">
        <x:v>7000</x:v>
      </x:c>
      <x:c r="H804" t="n">
        <x:v>2653.29</x:v>
      </x:c>
      <x:c r="I804" t="n">
        <x:v>2003.61</x:v>
      </x:c>
      <x:c r="J804" s="22" t="n">
        <x:v>0.2448582702983843</x:v>
      </x:c>
      <x:c r="K804" s="22" t="n">
        <x:v>0.022</x:v>
      </x:c>
      <x:c r="L804" t="n">
        <x:v>21</x:v>
      </x:c>
      <x:c r="M804" t="str">
        <x:v>成交</x:v>
      </x:c>
      <x:c r="N804" s="20" t="n">
        <x:v>46023</x:v>
      </x:c>
      <x:c r="O804"/>
    </x:row>
    <x:row r="805" ht="20" customHeight="1">
      <x:c r="A805" t="str">
        <x:v>Q00804</x:v>
      </x:c>
      <x:c r="B805" s="20" t="n">
        <x:v>46022</x:v>
      </x:c>
      <x:c r="C805" t="str">
        <x:v>SEM-008</x:v>
      </x:c>
      <x:c r="D805" t="str">
        <x:v>S04</x:v>
      </x:c>
      <x:c r="E805" t="str">
        <x:v>MECH-STG-A</x:v>
      </x:c>
      <x:c r="F805" t="str">
        <x:v>機電／自動化模組</x:v>
      </x:c>
      <x:c r="G805" t="n">
        <x:v>30</x:v>
      </x:c>
      <x:c r="H805" t="n">
        <x:v>141313.49</x:v>
      </x:c>
      <x:c r="I805" t="n">
        <x:v>103575.18</x:v>
      </x:c>
      <x:c r="J805" s="22" t="n">
        <x:v>0.2670538389505489</x:v>
      </x:c>
      <x:c r="K805" s="22" t="n">
        <x:v>0.0294</x:v>
      </x:c>
      <x:c r="L805" t="n">
        <x:v>32</x:v>
      </x:c>
      <x:c r="M805" t="str">
        <x:v>成交</x:v>
      </x:c>
      <x:c r="N805" s="20" t="n">
        <x:v>46026</x:v>
      </x:c>
      <x:c r="O805"/>
    </x:row>
    <x:row r="806" ht="20" customHeight="1">
      <x:c r="A806" t="str">
        <x:v>Q00805</x:v>
      </x:c>
      <x:c r="B806" s="20" t="n">
        <x:v>46002</x:v>
      </x:c>
      <x:c r="C806" t="str">
        <x:v>AFT-006</x:v>
      </x:c>
      <x:c r="D806" t="str">
        <x:v>S01</x:v>
      </x:c>
      <x:c r="E806" t="str">
        <x:v>AUTO-BRK-B</x:v>
      </x:c>
      <x:c r="F806" t="str">
        <x:v>汽車精密零組件</x:v>
      </x:c>
      <x:c r="G806" t="n">
        <x:v>7000</x:v>
      </x:c>
      <x:c r="H806" t="n">
        <x:v>2104.1</x:v>
      </x:c>
      <x:c r="I806" t="n">
        <x:v>1675.04</x:v>
      </x:c>
      <x:c r="J806" s="22" t="n">
        <x:v>0.20391616368043342</x:v>
      </x:c>
      <x:c r="K806" s="22" t="n">
        <x:v>0.0791</x:v>
      </x:c>
      <x:c r="L806" t="n">
        <x:v>22</x:v>
      </x:c>
      <x:c r="M806" t="str">
        <x:v>未成交</x:v>
      </x:c>
      <x:c r="N806" s="20" t="n">
        <x:v>46014</x:v>
      </x:c>
      <x:c r="O806" t="str">
        <x:v>交期</x:v>
      </x:c>
    </x:row>
    <x:row r="807" ht="20" customHeight="1">
      <x:c r="A807" t="str">
        <x:v>Q00806</x:v>
      </x:c>
      <x:c r="B807" s="20" t="n">
        <x:v>45995</x:v>
      </x:c>
      <x:c r="C807" t="str">
        <x:v>IAT-009</x:v>
      </x:c>
      <x:c r="D807" t="str">
        <x:v>S04</x:v>
      </x:c>
      <x:c r="E807" t="str">
        <x:v>PM-ALB-B</x:v>
      </x:c>
      <x:c r="F807" t="str">
        <x:v>精密金屬加工件</x:v>
      </x:c>
      <x:c r="G807" t="n">
        <x:v>300</x:v>
      </x:c>
      <x:c r="H807" t="n">
        <x:v>15845.05</x:v>
      </x:c>
      <x:c r="I807" t="n">
        <x:v>11606.91</x:v>
      </x:c>
      <x:c r="J807" s="22" t="n">
        <x:v>0.2674740691888003</x:v>
      </x:c>
      <x:c r="K807" s="22" t="n">
        <x:v>0.0633</x:v>
      </x:c>
      <x:c r="L807" t="n">
        <x:v>25</x:v>
      </x:c>
      <x:c r="M807" t="str">
        <x:v>未成交</x:v>
      </x:c>
      <x:c r="N807" s="20" t="n">
        <x:v>46005</x:v>
      </x:c>
      <x:c r="O807" t="str">
        <x:v>競品</x:v>
      </x:c>
    </x:row>
    <x:row r="808" ht="20" customHeight="1">
      <x:c r="A808" t="str">
        <x:v>Q00807</x:v>
      </x:c>
      <x:c r="B808" s="20" t="n">
        <x:v>45994</x:v>
      </x:c>
      <x:c r="C808" t="str">
        <x:v>AUT-003</x:v>
      </x:c>
      <x:c r="D808" t="str">
        <x:v>S03</x:v>
      </x:c>
      <x:c r="E808" t="str">
        <x:v>PM-VAC-A</x:v>
      </x:c>
      <x:c r="F808" t="str">
        <x:v>精密金屬加工件</x:v>
      </x:c>
      <x:c r="G808" t="n">
        <x:v>800</x:v>
      </x:c>
      <x:c r="H808" t="n">
        <x:v>14352.82</x:v>
      </x:c>
      <x:c r="I808" t="n">
        <x:v>10623.66</x:v>
      </x:c>
      <x:c r="J808" s="22" t="n">
        <x:v>0.25982071815852215</x:v>
      </x:c>
      <x:c r="K808" s="22" t="n">
        <x:v>0.1434</x:v>
      </x:c>
      <x:c r="L808" t="n">
        <x:v>21</x:v>
      </x:c>
      <x:c r="M808" t="str">
        <x:v>未成交</x:v>
      </x:c>
      <x:c r="N808" s="20" t="n">
        <x:v>46005</x:v>
      </x:c>
      <x:c r="O808" t="str">
        <x:v>規格</x:v>
      </x:c>
    </x:row>
    <x:row r="809" ht="20" customHeight="1">
      <x:c r="A809" t="str">
        <x:v>Q00808</x:v>
      </x:c>
      <x:c r="B809" s="20" t="n">
        <x:v>46012</x:v>
      </x:c>
      <x:c r="C809" t="str">
        <x:v>AUT-012</x:v>
      </x:c>
      <x:c r="D809" t="str">
        <x:v>S06</x:v>
      </x:c>
      <x:c r="E809" t="str">
        <x:v>AUTO-KN-A</x:v>
      </x:c>
      <x:c r="F809" t="str">
        <x:v>汽車精密零組件</x:v>
      </x:c>
      <x:c r="G809" t="n">
        <x:v>13000</x:v>
      </x:c>
      <x:c r="H809" t="n">
        <x:v>3395.25</x:v>
      </x:c>
      <x:c r="I809" t="n">
        <x:v>2230.73</x:v>
      </x:c>
      <x:c r="J809" s="22" t="n">
        <x:v>0.34298505264708046</x:v>
      </x:c>
      <x:c r="K809" s="22" t="n">
        <x:v>0.01</x:v>
      </x:c>
      <x:c r="L809" t="n">
        <x:v>18</x:v>
      </x:c>
      <x:c r="M809" t="str">
        <x:v>成交</x:v>
      </x:c>
      <x:c r="N809" s="20" t="n">
        <x:v>46018</x:v>
      </x:c>
      <x:c r="O809"/>
    </x:row>
    <x:row r="810" ht="20" customHeight="1">
      <x:c r="A810" t="str">
        <x:v>Q00809</x:v>
      </x:c>
      <x:c r="B810" s="20" t="n">
        <x:v>46011</x:v>
      </x:c>
      <x:c r="C810" t="str">
        <x:v>SEM-008</x:v>
      </x:c>
      <x:c r="D810" t="str">
        <x:v>S04</x:v>
      </x:c>
      <x:c r="E810" t="str">
        <x:v>PM-ALB-A</x:v>
      </x:c>
      <x:c r="F810" t="str">
        <x:v>精密金屬加工件</x:v>
      </x:c>
      <x:c r="G810" t="n">
        <x:v>300</x:v>
      </x:c>
      <x:c r="H810" t="n">
        <x:v>10087.26</x:v>
      </x:c>
      <x:c r="I810" t="n">
        <x:v>7888.98</x:v>
      </x:c>
      <x:c r="J810" s="22" t="n">
        <x:v>0.2179263744564927</x:v>
      </x:c>
      <x:c r="K810" s="22" t="n">
        <x:v>0.1389</x:v>
      </x:c>
      <x:c r="L810" t="n">
        <x:v>19</x:v>
      </x:c>
      <x:c r="M810" t="str">
        <x:v>未成交</x:v>
      </x:c>
      <x:c r="N810" s="20" t="n">
        <x:v>46019</x:v>
      </x:c>
      <x:c r="O810" t="str">
        <x:v>價格</x:v>
      </x:c>
    </x:row>
    <x:row r="811" ht="20" customHeight="1">
      <x:c r="A811" t="str">
        <x:v>Q00810</x:v>
      </x:c>
      <x:c r="B811" s="20" t="n">
        <x:v>46002</x:v>
      </x:c>
      <x:c r="C811" t="str">
        <x:v>AUT-002</x:v>
      </x:c>
      <x:c r="D811" t="str">
        <x:v>S04</x:v>
      </x:c>
      <x:c r="E811" t="str">
        <x:v>PM-BRG-B</x:v>
      </x:c>
      <x:c r="F811" t="str">
        <x:v>精密金屬加工件</x:v>
      </x:c>
      <x:c r="G811" t="n">
        <x:v>800</x:v>
      </x:c>
      <x:c r="H811" t="n">
        <x:v>8033.46</x:v>
      </x:c>
      <x:c r="I811" t="n">
        <x:v>5454.81</x:v>
      </x:c>
      <x:c r="J811" s="22" t="n">
        <x:v>0.320988714700764</x:v>
      </x:c>
      <x:c r="K811" s="22" t="n">
        <x:v>0.0378</x:v>
      </x:c>
      <x:c r="L811" t="n">
        <x:v>24</x:v>
      </x:c>
      <x:c r="M811" t="str">
        <x:v>未成交</x:v>
      </x:c>
      <x:c r="N811" s="20" t="n">
        <x:v>46005</x:v>
      </x:c>
      <x:c r="O811" t="str">
        <x:v>交期</x:v>
      </x:c>
    </x:row>
    <x:row r="812" ht="20" customHeight="1">
      <x:c r="A812" t="str">
        <x:v>Q00811</x:v>
      </x:c>
      <x:c r="B812" s="20" t="n">
        <x:v>45997</x:v>
      </x:c>
      <x:c r="C812" t="str">
        <x:v>IAT-001</x:v>
      </x:c>
      <x:c r="D812" t="str">
        <x:v>S05</x:v>
      </x:c>
      <x:c r="E812" t="str">
        <x:v>AUTO-LG-B</x:v>
      </x:c>
      <x:c r="F812" t="str">
        <x:v>汽車精密零組件</x:v>
      </x:c>
      <x:c r="G812" t="n">
        <x:v>7000</x:v>
      </x:c>
      <x:c r="H812" t="n">
        <x:v>1125.85</x:v>
      </x:c>
      <x:c r="I812" t="n">
        <x:v>916.01</x:v>
      </x:c>
      <x:c r="J812" s="22" t="n">
        <x:v>0.18638362126393385</x:v>
      </x:c>
      <x:c r="K812" s="22" t="n">
        <x:v>0.1163</x:v>
      </x:c>
      <x:c r="L812" t="n">
        <x:v>19</x:v>
      </x:c>
      <x:c r="M812" t="str">
        <x:v>成交</x:v>
      </x:c>
      <x:c r="N812" s="20" t="n">
        <x:v>46008</x:v>
      </x:c>
      <x:c r="O812"/>
    </x:row>
    <x:row r="813" ht="20" customHeight="1">
      <x:c r="A813" t="str">
        <x:v>Q00812</x:v>
      </x:c>
      <x:c r="B813" s="20" t="n">
        <x:v>46007</x:v>
      </x:c>
      <x:c r="C813" t="str">
        <x:v>EMS-003</x:v>
      </x:c>
      <x:c r="D813" t="str">
        <x:v>S05</x:v>
      </x:c>
      <x:c r="E813" t="str">
        <x:v>AUTO-FL-B</x:v>
      </x:c>
      <x:c r="F813" t="str">
        <x:v>汽車精密零組件</x:v>
      </x:c>
      <x:c r="G813" t="n">
        <x:v>5000</x:v>
      </x:c>
      <x:c r="H813" t="n">
        <x:v>1515.38</x:v>
      </x:c>
      <x:c r="I813" t="n">
        <x:v>1176.08</x:v>
      </x:c>
      <x:c r="J813" s="22" t="n">
        <x:v>0.22390423524132572</x:v>
      </x:c>
      <x:c r="K813" s="22" t="n">
        <x:v>0.053</x:v>
      </x:c>
      <x:c r="L813" t="n">
        <x:v>17</x:v>
      </x:c>
      <x:c r="M813" t="str">
        <x:v>成交</x:v>
      </x:c>
      <x:c r="N813" s="20" t="n">
        <x:v>46017</x:v>
      </x:c>
      <x:c r="O813"/>
    </x:row>
    <x:row r="814" ht="20" customHeight="1">
      <x:c r="A814" t="str">
        <x:v>Q00813</x:v>
      </x:c>
      <x:c r="B814" s="20" t="n">
        <x:v>46013</x:v>
      </x:c>
      <x:c r="C814" t="str">
        <x:v>IAT-003</x:v>
      </x:c>
      <x:c r="D814" t="str">
        <x:v>S04</x:v>
      </x:c>
      <x:c r="E814" t="str">
        <x:v>AUTO-BS-A</x:v>
      </x:c>
      <x:c r="F814" t="str">
        <x:v>汽車精密零組件</x:v>
      </x:c>
      <x:c r="G814" t="n">
        <x:v>3000</x:v>
      </x:c>
      <x:c r="H814" t="n">
        <x:v>764.88</x:v>
      </x:c>
      <x:c r="I814" t="n">
        <x:v>562.09</x:v>
      </x:c>
      <x:c r="J814" s="22" t="n">
        <x:v>0.2651265557996025</x:v>
      </x:c>
      <x:c r="K814" s="22" t="n">
        <x:v>0.0598</x:v>
      </x:c>
      <x:c r="L814" t="n">
        <x:v>12</x:v>
      </x:c>
      <x:c r="M814" t="str">
        <x:v>成交</x:v>
      </x:c>
      <x:c r="N814" s="20" t="n">
        <x:v>46024</x:v>
      </x:c>
      <x:c r="O814"/>
    </x:row>
    <x:row r="815" ht="20" customHeight="1">
      <x:c r="A815" t="str">
        <x:v>Q00814</x:v>
      </x:c>
      <x:c r="B815" s="20" t="n">
        <x:v>46012</x:v>
      </x:c>
      <x:c r="C815" t="str">
        <x:v>EMS-004</x:v>
      </x:c>
      <x:c r="D815" t="str">
        <x:v>S03</x:v>
      </x:c>
      <x:c r="E815" t="str">
        <x:v>PM-BRG-A</x:v>
      </x:c>
      <x:c r="F815" t="str">
        <x:v>精密金屬加工件</x:v>
      </x:c>
      <x:c r="G815" t="n">
        <x:v>800</x:v>
      </x:c>
      <x:c r="H815" t="n">
        <x:v>7155.6</x:v>
      </x:c>
      <x:c r="I815" t="n">
        <x:v>4435.53</x:v>
      </x:c>
      <x:c r="J815" s="22" t="n">
        <x:v>0.38013164514506126</x:v>
      </x:c>
      <x:c r="K815" s="22" t="n">
        <x:v>0.0167</x:v>
      </x:c>
      <x:c r="L815" t="n">
        <x:v>14</x:v>
      </x:c>
      <x:c r="M815" t="str">
        <x:v>成交</x:v>
      </x:c>
      <x:c r="N815" s="20" t="n">
        <x:v>46020</x:v>
      </x:c>
      <x:c r="O815"/>
    </x:row>
    <x:row r="816" ht="20" customHeight="1">
      <x:c r="A816" t="str">
        <x:v>Q00815</x:v>
      </x:c>
      <x:c r="B816" s="20" t="n">
        <x:v>46014</x:v>
      </x:c>
      <x:c r="C816" t="str">
        <x:v>SEM-004</x:v>
      </x:c>
      <x:c r="D816" t="str">
        <x:v>S02</x:v>
      </x:c>
      <x:c r="E816" t="str">
        <x:v>SEMI-CHB-B</x:v>
      </x:c>
      <x:c r="F816" t="str">
        <x:v>半導體設備零組件</x:v>
      </x:c>
      <x:c r="G816" t="n">
        <x:v>160</x:v>
      </x:c>
      <x:c r="H816" t="n">
        <x:v>140263.79</x:v>
      </x:c>
      <x:c r="I816" t="n">
        <x:v>114934.75</x:v>
      </x:c>
      <x:c r="J816" s="22" t="n">
        <x:v>0.1805814601188233</x:v>
      </x:c>
      <x:c r="K816" s="22" t="n">
        <x:v>0.0526</x:v>
      </x:c>
      <x:c r="L816" t="n">
        <x:v>50</x:v>
      </x:c>
      <x:c r="M816" t="str">
        <x:v>成交</x:v>
      </x:c>
      <x:c r="N816" s="20" t="n">
        <x:v>46017</x:v>
      </x:c>
      <x:c r="O816"/>
    </x:row>
    <x:row r="817" ht="20" customHeight="1">
      <x:c r="A817" t="str">
        <x:v>Q00816</x:v>
      </x:c>
      <x:c r="B817" s="20" t="n">
        <x:v>46002</x:v>
      </x:c>
      <x:c r="C817" t="str">
        <x:v>AUT-006</x:v>
      </x:c>
      <x:c r="D817" t="str">
        <x:v>S03</x:v>
      </x:c>
      <x:c r="E817" t="str">
        <x:v>AUTO-KN-A</x:v>
      </x:c>
      <x:c r="F817" t="str">
        <x:v>汽車精密零組件</x:v>
      </x:c>
      <x:c r="G817" t="n">
        <x:v>7000</x:v>
      </x:c>
      <x:c r="H817" t="n">
        <x:v>2983.93</x:v>
      </x:c>
      <x:c r="I817" t="n">
        <x:v>2288.75</x:v>
      </x:c>
      <x:c r="J817" s="22" t="n">
        <x:v>0.2329746341234546</x:v>
      </x:c>
      <x:c r="K817" s="22" t="n">
        <x:v>0.1181</x:v>
      </x:c>
      <x:c r="L817" t="n">
        <x:v>25</x:v>
      </x:c>
      <x:c r="M817" t="str">
        <x:v>未成交</x:v>
      </x:c>
      <x:c r="N817" s="20" t="n">
        <x:v>46005</x:v>
      </x:c>
      <x:c r="O817" t="str">
        <x:v>專案取消</x:v>
      </x:c>
    </x:row>
    <x:row r="818" ht="20" customHeight="1">
      <x:c r="A818" t="str">
        <x:v>Q00817</x:v>
      </x:c>
      <x:c r="B818" s="20" t="n">
        <x:v>46021</x:v>
      </x:c>
      <x:c r="C818" t="str">
        <x:v>IAT-004</x:v>
      </x:c>
      <x:c r="D818" t="str">
        <x:v>S05</x:v>
      </x:c>
      <x:c r="E818" t="str">
        <x:v>PM-VAC-A</x:v>
      </x:c>
      <x:c r="F818" t="str">
        <x:v>精密金屬加工件</x:v>
      </x:c>
      <x:c r="G818" t="n">
        <x:v>800</x:v>
      </x:c>
      <x:c r="H818" t="n">
        <x:v>15790.4</x:v>
      </x:c>
      <x:c r="I818" t="n">
        <x:v>10669.87</x:v>
      </x:c>
      <x:c r="J818" s="22" t="n">
        <x:v>0.32428120883574824</x:v>
      </x:c>
      <x:c r="K818" s="22" t="n">
        <x:v>0.0766</x:v>
      </x:c>
      <x:c r="L818" t="n">
        <x:v>22</x:v>
      </x:c>
      <x:c r="M818" t="str">
        <x:v>未成交</x:v>
      </x:c>
      <x:c r="N818" s="20" t="n">
        <x:v>46032</x:v>
      </x:c>
      <x:c r="O818" t="str">
        <x:v>規格</x:v>
      </x:c>
    </x:row>
    <x:row r="819" ht="20" customHeight="1">
      <x:c r="A819" t="str">
        <x:v>Q00818</x:v>
      </x:c>
      <x:c r="B819" s="20" t="n">
        <x:v>45997</x:v>
      </x:c>
      <x:c r="C819" t="str">
        <x:v>EMS-003</x:v>
      </x:c>
      <x:c r="D819" t="str">
        <x:v>S05</x:v>
      </x:c>
      <x:c r="E819" t="str">
        <x:v>AUTO-KN-B</x:v>
      </x:c>
      <x:c r="F819" t="str">
        <x:v>汽車精密零組件</x:v>
      </x:c>
      <x:c r="G819" t="n">
        <x:v>10000</x:v>
      </x:c>
      <x:c r="H819" t="n">
        <x:v>3725.42</x:v>
      </x:c>
      <x:c r="I819" t="n">
        <x:v>2629.93</x:v>
      </x:c>
      <x:c r="J819" s="22" t="n">
        <x:v>0.2940581196214119</x:v>
      </x:c>
      <x:c r="K819" s="22" t="n">
        <x:v>0.0651</x:v>
      </x:c>
      <x:c r="L819" t="n">
        <x:v>19</x:v>
      </x:c>
      <x:c r="M819" t="str">
        <x:v>未成交</x:v>
      </x:c>
      <x:c r="N819" s="20" t="n">
        <x:v>46006</x:v>
      </x:c>
      <x:c r="O819" t="str">
        <x:v>交期</x:v>
      </x:c>
    </x:row>
    <x:row r="820" ht="20" customHeight="1">
      <x:c r="A820" t="str">
        <x:v>Q00819</x:v>
      </x:c>
      <x:c r="B820" s="20" t="n">
        <x:v>46019</x:v>
      </x:c>
      <x:c r="C820" t="str">
        <x:v>EMS-007</x:v>
      </x:c>
      <x:c r="D820" t="str">
        <x:v>S04</x:v>
      </x:c>
      <x:c r="E820" t="str">
        <x:v>MECH-CON-A</x:v>
      </x:c>
      <x:c r="F820" t="str">
        <x:v>機電／自動化模組</x:v>
      </x:c>
      <x:c r="G820" t="n">
        <x:v>20</x:v>
      </x:c>
      <x:c r="H820" t="n">
        <x:v>110805.41</x:v>
      </x:c>
      <x:c r="I820" t="n">
        <x:v>81225.42</x:v>
      </x:c>
      <x:c r="J820" s="22" t="n">
        <x:v>0.2669543842669776</x:v>
      </x:c>
      <x:c r="K820" s="22" t="n">
        <x:v>0.0705</x:v>
      </x:c>
      <x:c r="L820" t="n">
        <x:v>30</x:v>
      </x:c>
      <x:c r="M820" t="str">
        <x:v>成交</x:v>
      </x:c>
      <x:c r="N820" s="20" t="n">
        <x:v>46026</x:v>
      </x:c>
      <x:c r="O820"/>
    </x:row>
    <x:row r="821" ht="20" customHeight="1">
      <x:c r="A821" t="str">
        <x:v>Q00820</x:v>
      </x:c>
      <x:c r="B821" s="20" t="n">
        <x:v>46010</x:v>
      </x:c>
      <x:c r="C821" t="str">
        <x:v>AUT-009</x:v>
      </x:c>
      <x:c r="D821" t="str">
        <x:v>S04</x:v>
      </x:c>
      <x:c r="E821" t="str">
        <x:v>MECH-CON-B</x:v>
      </x:c>
      <x:c r="F821" t="str">
        <x:v>機電／自動化模組</x:v>
      </x:c>
      <x:c r="G821" t="n">
        <x:v>20</x:v>
      </x:c>
      <x:c r="H821" t="n">
        <x:v>157195.62</x:v>
      </x:c>
      <x:c r="I821" t="n">
        <x:v>121876.17</x:v>
      </x:c>
      <x:c r="J821" s="22" t="n">
        <x:v>0.22468469541326913</x:v>
      </x:c>
      <x:c r="K821" s="22" t="n">
        <x:v>0.0598</x:v>
      </x:c>
      <x:c r="L821" t="n">
        <x:v>49</x:v>
      </x:c>
      <x:c r="M821" t="str">
        <x:v>成交</x:v>
      </x:c>
      <x:c r="N821" s="20" t="n">
        <x:v>46018</x:v>
      </x:c>
      <x:c r="O821"/>
    </x:row>
    <x:row r="822" ht="20" customHeight="1">
      <x:c r="A822" t="str">
        <x:v>Q00821</x:v>
      </x:c>
      <x:c r="B822" s="20" t="n">
        <x:v>45999</x:v>
      </x:c>
      <x:c r="C822" t="str">
        <x:v>AUT-001</x:v>
      </x:c>
      <x:c r="D822" t="str">
        <x:v>S01</x:v>
      </x:c>
      <x:c r="E822" t="str">
        <x:v>MECH-CON-B</x:v>
      </x:c>
      <x:c r="F822" t="str">
        <x:v>機電／自動化模組</x:v>
      </x:c>
      <x:c r="G822" t="n">
        <x:v>10</x:v>
      </x:c>
      <x:c r="H822" t="n">
        <x:v>162732.5</x:v>
      </x:c>
      <x:c r="I822" t="n">
        <x:v>118535.84</x:v>
      </x:c>
      <x:c r="J822" s="22" t="n">
        <x:v>0.27159086230470253</x:v>
      </x:c>
      <x:c r="K822" s="22" t="n">
        <x:v>0.0312</x:v>
      </x:c>
      <x:c r="L822" t="n">
        <x:v>46</x:v>
      </x:c>
      <x:c r="M822" t="str">
        <x:v>未成交</x:v>
      </x:c>
      <x:c r="N822" s="20" t="n">
        <x:v>46002</x:v>
      </x:c>
      <x:c r="O822" t="str">
        <x:v>交期</x:v>
      </x:c>
    </x:row>
    <x:row r="823" ht="20" customHeight="1">
      <x:c r="A823" t="str">
        <x:v>Q00822</x:v>
      </x:c>
      <x:c r="B823" s="20" t="n">
        <x:v>46015</x:v>
      </x:c>
      <x:c r="C823" t="str">
        <x:v>AUT-004</x:v>
      </x:c>
      <x:c r="D823" t="str">
        <x:v>S03</x:v>
      </x:c>
      <x:c r="E823" t="str">
        <x:v>AUTO-FL-B</x:v>
      </x:c>
      <x:c r="F823" t="str">
        <x:v>汽車精密零組件</x:v>
      </x:c>
      <x:c r="G823" t="n">
        <x:v>10000</x:v>
      </x:c>
      <x:c r="H823" t="n">
        <x:v>1539.82</x:v>
      </x:c>
      <x:c r="I823" t="n">
        <x:v>1212.32</x:v>
      </x:c>
      <x:c r="J823" s="22" t="n">
        <x:v>0.21268719720486812</x:v>
      </x:c>
      <x:c r="K823" s="22" t="n">
        <x:v>0.0565</x:v>
      </x:c>
      <x:c r="L823" t="n">
        <x:v>13</x:v>
      </x:c>
      <x:c r="M823" t="str">
        <x:v>成交</x:v>
      </x:c>
      <x:c r="N823" s="20" t="n">
        <x:v>46022</x:v>
      </x:c>
      <x:c r="O823"/>
    </x:row>
    <x:row r="824" ht="20" customHeight="1">
      <x:c r="A824" t="str">
        <x:v>Q00823</x:v>
      </x:c>
      <x:c r="B824" s="20" t="n">
        <x:v>46011</x:v>
      </x:c>
      <x:c r="C824" t="str">
        <x:v>AFT-005</x:v>
      </x:c>
      <x:c r="D824" t="str">
        <x:v>S05</x:v>
      </x:c>
      <x:c r="E824" t="str">
        <x:v>AUTO-KN-B</x:v>
      </x:c>
      <x:c r="F824" t="str">
        <x:v>汽車精密零組件</x:v>
      </x:c>
      <x:c r="G824" t="n">
        <x:v>5000</x:v>
      </x:c>
      <x:c r="H824" t="n">
        <x:v>3464.67</x:v>
      </x:c>
      <x:c r="I824" t="n">
        <x:v>2558.14</x:v>
      </x:c>
      <x:c r="J824" s="22" t="n">
        <x:v>0.26164973864754804</x:v>
      </x:c>
      <x:c r="K824" s="22" t="n">
        <x:v>0.1173</x:v>
      </x:c>
      <x:c r="L824" t="n">
        <x:v>24</x:v>
      </x:c>
      <x:c r="M824" t="str">
        <x:v>成交</x:v>
      </x:c>
      <x:c r="N824" s="20" t="n">
        <x:v>46016</x:v>
      </x:c>
      <x:c r="O824"/>
    </x:row>
    <x:row r="825" ht="20" customHeight="1">
      <x:c r="A825" t="str">
        <x:v>Q00824</x:v>
      </x:c>
      <x:c r="B825" s="20" t="n">
        <x:v>46002</x:v>
      </x:c>
      <x:c r="C825" t="str">
        <x:v>AUT-010</x:v>
      </x:c>
      <x:c r="D825" t="str">
        <x:v>S05</x:v>
      </x:c>
      <x:c r="E825" t="str">
        <x:v>AUTO-BS-A</x:v>
      </x:c>
      <x:c r="F825" t="str">
        <x:v>汽車精密零組件</x:v>
      </x:c>
      <x:c r="G825" t="n">
        <x:v>3000</x:v>
      </x:c>
      <x:c r="H825" t="n">
        <x:v>781.44</x:v>
      </x:c>
      <x:c r="I825" t="n">
        <x:v>554.58</x:v>
      </x:c>
      <x:c r="J825" s="22" t="n">
        <x:v>0.2903101965601966</x:v>
      </x:c>
      <x:c r="K825" s="22" t="n">
        <x:v>0.039</x:v>
      </x:c>
      <x:c r="L825" t="n">
        <x:v>13</x:v>
      </x:c>
      <x:c r="M825" t="str">
        <x:v>成交</x:v>
      </x:c>
      <x:c r="N825" s="20" t="n">
        <x:v>46010</x:v>
      </x:c>
      <x:c r="O825"/>
    </x:row>
    <x:row r="826" ht="20" customHeight="1">
      <x:c r="A826" t="str">
        <x:v>Q00825</x:v>
      </x:c>
      <x:c r="B826" s="20" t="n">
        <x:v>46020</x:v>
      </x:c>
      <x:c r="C826" t="str">
        <x:v>EMS-005</x:v>
      </x:c>
      <x:c r="D826" t="str">
        <x:v>S01</x:v>
      </x:c>
      <x:c r="E826" t="str">
        <x:v>SEMI-WH-B</x:v>
      </x:c>
      <x:c r="F826" t="str">
        <x:v>半導體設備零組件</x:v>
      </x:c>
      <x:c r="G826" t="n">
        <x:v>40</x:v>
      </x:c>
      <x:c r="H826" t="n">
        <x:v>159112.64</x:v>
      </x:c>
      <x:c r="I826" t="n">
        <x:v>130250.63</x:v>
      </x:c>
      <x:c r="J826" s="22" t="n">
        <x:v>0.1813935712461311</x:v>
      </x:c>
      <x:c r="K826" s="22" t="n">
        <x:v>0.1161</x:v>
      </x:c>
      <x:c r="L826" t="n">
        <x:v>49</x:v>
      </x:c>
      <x:c r="M826" t="str">
        <x:v>成交</x:v>
      </x:c>
      <x:c r="N826" s="20" t="n">
        <x:v>46030</x:v>
      </x:c>
      <x:c r="O826"/>
    </x:row>
    <x:row r="827" ht="20" customHeight="1">
      <x:c r="A827" t="str">
        <x:v>Q00826</x:v>
      </x:c>
      <x:c r="B827" s="20" t="n">
        <x:v>45996</x:v>
      </x:c>
      <x:c r="C827" t="str">
        <x:v>EMS-008</x:v>
      </x:c>
      <x:c r="D827" t="str">
        <x:v>S02</x:v>
      </x:c>
      <x:c r="E827" t="str">
        <x:v>SEMI-WH-B</x:v>
      </x:c>
      <x:c r="F827" t="str">
        <x:v>半導體設備零組件</x:v>
      </x:c>
      <x:c r="G827" t="n">
        <x:v>120</x:v>
      </x:c>
      <x:c r="H827" t="n">
        <x:v>173657.02</x:v>
      </x:c>
      <x:c r="I827" t="n">
        <x:v>131217.91</x:v>
      </x:c>
      <x:c r="J827" s="22" t="n">
        <x:v>0.24438464969628057</x:v>
      </x:c>
      <x:c r="K827" s="22" t="n">
        <x:v>0.0105</x:v>
      </x:c>
      <x:c r="L827" t="n">
        <x:v>56</x:v>
      </x:c>
      <x:c r="M827" t="str">
        <x:v>未成交</x:v>
      </x:c>
      <x:c r="N827" s="20" t="n">
        <x:v>46000</x:v>
      </x:c>
      <x:c r="O827" t="str">
        <x:v>專案取消</x:v>
      </x:c>
    </x:row>
    <x:row r="828" ht="20" customHeight="1">
      <x:c r="A828" t="str">
        <x:v>Q00827</x:v>
      </x:c>
      <x:c r="B828" s="20" t="n">
        <x:v>46020</x:v>
      </x:c>
      <x:c r="C828" t="str">
        <x:v>AUT-004</x:v>
      </x:c>
      <x:c r="D828" t="str">
        <x:v>S03</x:v>
      </x:c>
      <x:c r="E828" t="str">
        <x:v>PM-BRG-B</x:v>
      </x:c>
      <x:c r="F828" t="str">
        <x:v>精密金屬加工件</x:v>
      </x:c>
      <x:c r="G828" t="n">
        <x:v>1200</x:v>
      </x:c>
      <x:c r="H828" t="n">
        <x:v>7589.72</x:v>
      </x:c>
      <x:c r="I828" t="n">
        <x:v>5542.91</x:v>
      </x:c>
      <x:c r="J828" s="22" t="n">
        <x:v>0.2696818854977523</x:v>
      </x:c>
      <x:c r="K828" s="22" t="n">
        <x:v>0.1135</x:v>
      </x:c>
      <x:c r="L828" t="n">
        <x:v>18</x:v>
      </x:c>
      <x:c r="M828" t="str">
        <x:v>未成交</x:v>
      </x:c>
      <x:c r="N828" s="20" t="n">
        <x:v>46025</x:v>
      </x:c>
      <x:c r="O828" t="str">
        <x:v>交期</x:v>
      </x:c>
    </x:row>
    <x:row r="829" ht="20" customHeight="1">
      <x:c r="A829" t="str">
        <x:v>Q00828</x:v>
      </x:c>
      <x:c r="B829" s="20" t="n">
        <x:v>46004</x:v>
      </x:c>
      <x:c r="C829" t="str">
        <x:v>IAT-008</x:v>
      </x:c>
      <x:c r="D829" t="str">
        <x:v>S01</x:v>
      </x:c>
      <x:c r="E829" t="str">
        <x:v>PM-ALB-A</x:v>
      </x:c>
      <x:c r="F829" t="str">
        <x:v>精密金屬加工件</x:v>
      </x:c>
      <x:c r="G829" t="n">
        <x:v>300</x:v>
      </x:c>
      <x:c r="H829" t="n">
        <x:v>11343.8</x:v>
      </x:c>
      <x:c r="I829" t="n">
        <x:v>8162.81</x:v>
      </x:c>
      <x:c r="J829" s="22" t="n">
        <x:v>0.2804166152435691</x:v>
      </x:c>
      <x:c r="K829" s="22" t="n">
        <x:v>0.0472</x:v>
      </x:c>
      <x:c r="L829" t="n">
        <x:v>23</x:v>
      </x:c>
      <x:c r="M829" t="str">
        <x:v>成交</x:v>
      </x:c>
      <x:c r="N829" s="20" t="n">
        <x:v>46016</x:v>
      </x:c>
      <x:c r="O829"/>
    </x:row>
    <x:row r="830" ht="20" customHeight="1">
      <x:c r="A830" t="str">
        <x:v>Q00829</x:v>
      </x:c>
      <x:c r="B830" s="20" t="n">
        <x:v>46015</x:v>
      </x:c>
      <x:c r="C830" t="str">
        <x:v>AUT-009</x:v>
      </x:c>
      <x:c r="D830" t="str">
        <x:v>S04</x:v>
      </x:c>
      <x:c r="E830" t="str">
        <x:v>AUTO-BRK-B</x:v>
      </x:c>
      <x:c r="F830" t="str">
        <x:v>汽車精密零組件</x:v>
      </x:c>
      <x:c r="G830" t="n">
        <x:v>7000</x:v>
      </x:c>
      <x:c r="H830" t="n">
        <x:v>2228.72</x:v>
      </x:c>
      <x:c r="I830" t="n">
        <x:v>1715.29</x:v>
      </x:c>
      <x:c r="J830" s="22" t="n">
        <x:v>0.23036989841702857</x:v>
      </x:c>
      <x:c r="K830" s="22" t="n">
        <x:v>0.0123</x:v>
      </x:c>
      <x:c r="L830" t="n">
        <x:v>16</x:v>
      </x:c>
      <x:c r="M830" t="str">
        <x:v>成交</x:v>
      </x:c>
      <x:c r="N830" s="20" t="n">
        <x:v>46021</x:v>
      </x:c>
      <x:c r="O830"/>
    </x:row>
    <x:row r="831" ht="20" customHeight="1">
      <x:c r="A831" t="str">
        <x:v>Q00830</x:v>
      </x:c>
      <x:c r="B831" s="20" t="n">
        <x:v>46017</x:v>
      </x:c>
      <x:c r="C831" t="str">
        <x:v>AUT-012</x:v>
      </x:c>
      <x:c r="D831" t="str">
        <x:v>S06</x:v>
      </x:c>
      <x:c r="E831" t="str">
        <x:v>AUTO-LG-A</x:v>
      </x:c>
      <x:c r="F831" t="str">
        <x:v>汽車精密零組件</x:v>
      </x:c>
      <x:c r="G831" t="n">
        <x:v>7000</x:v>
      </x:c>
      <x:c r="H831" t="n">
        <x:v>983.54</x:v>
      </x:c>
      <x:c r="I831" t="n">
        <x:v>818.85</x:v>
      </x:c>
      <x:c r="J831" s="22" t="n">
        <x:v>0.1674461638570876</x:v>
      </x:c>
      <x:c r="K831" s="22" t="n">
        <x:v>0.1557</x:v>
      </x:c>
      <x:c r="L831" t="n">
        <x:v>20</x:v>
      </x:c>
      <x:c r="M831" t="str">
        <x:v>未成交</x:v>
      </x:c>
      <x:c r="N831" s="20" t="n">
        <x:v>46021</x:v>
      </x:c>
      <x:c r="O831" t="str">
        <x:v>專案取消</x:v>
      </x:c>
    </x:row>
    <x:row r="832" ht="20" customHeight="1">
      <x:c r="A832" t="str">
        <x:v>Q00831</x:v>
      </x:c>
      <x:c r="B832" s="20" t="n">
        <x:v>46007</x:v>
      </x:c>
      <x:c r="C832" t="str">
        <x:v>EMS-002</x:v>
      </x:c>
      <x:c r="D832" t="str">
        <x:v>S05</x:v>
      </x:c>
      <x:c r="E832" t="str">
        <x:v>PM-SUS-B</x:v>
      </x:c>
      <x:c r="F832" t="str">
        <x:v>精密金屬加工件</x:v>
      </x:c>
      <x:c r="G832" t="n">
        <x:v>1200</x:v>
      </x:c>
      <x:c r="H832" t="n">
        <x:v>13609.41</x:v>
      </x:c>
      <x:c r="I832" t="n">
        <x:v>11513.19</x:v>
      </x:c>
      <x:c r="J832" s="22" t="n">
        <x:v>0.15402725026286954</x:v>
      </x:c>
      <x:c r="K832" s="22" t="n">
        <x:v>0.1446</x:v>
      </x:c>
      <x:c r="L832" t="n">
        <x:v>27</x:v>
      </x:c>
      <x:c r="M832" t="str">
        <x:v>未成交</x:v>
      </x:c>
      <x:c r="N832" s="20" t="n">
        <x:v>46012</x:v>
      </x:c>
      <x:c r="O832" t="str">
        <x:v>交期</x:v>
      </x:c>
    </x:row>
    <x:row r="833" ht="20" customHeight="1">
      <x:c r="A833" t="str">
        <x:v>Q00832</x:v>
      </x:c>
      <x:c r="B833" s="20" t="n">
        <x:v>46021</x:v>
      </x:c>
      <x:c r="C833" t="str">
        <x:v>EMS-001</x:v>
      </x:c>
      <x:c r="D833" t="str">
        <x:v>S02</x:v>
      </x:c>
      <x:c r="E833" t="str">
        <x:v>AUTO-KN-A</x:v>
      </x:c>
      <x:c r="F833" t="str">
        <x:v>汽車精密零組件</x:v>
      </x:c>
      <x:c r="G833" t="n">
        <x:v>5000</x:v>
      </x:c>
      <x:c r="H833" t="n">
        <x:v>3202.84</x:v>
      </x:c>
      <x:c r="I833" t="n">
        <x:v>2206.38</x:v>
      </x:c>
      <x:c r="J833" s="22" t="n">
        <x:v>0.3111176331006232</x:v>
      </x:c>
      <x:c r="K833" s="22" t="n">
        <x:v>0.052</x:v>
      </x:c>
      <x:c r="L833" t="n">
        <x:v>24</x:v>
      </x:c>
      <x:c r="M833" t="str">
        <x:v>未成交</x:v>
      </x:c>
      <x:c r="N833" s="20" t="n">
        <x:v>46032</x:v>
      </x:c>
      <x:c r="O833" t="str">
        <x:v>價格</x:v>
      </x:c>
    </x:row>
    <x:row r="834" ht="20" customHeight="1">
      <x:c r="A834" t="str">
        <x:v>Q00833</x:v>
      </x:c>
      <x:c r="B834" s="20" t="n">
        <x:v>46032</x:v>
      </x:c>
      <x:c r="C834" t="str">
        <x:v>AFT-003</x:v>
      </x:c>
      <x:c r="D834" t="str">
        <x:v>S01</x:v>
      </x:c>
      <x:c r="E834" t="str">
        <x:v>AUTO-KN-A</x:v>
      </x:c>
      <x:c r="F834" t="str">
        <x:v>汽車精密零組件</x:v>
      </x:c>
      <x:c r="G834" t="n">
        <x:v>10000</x:v>
      </x:c>
      <x:c r="H834" t="n">
        <x:v>3280.1</x:v>
      </x:c>
      <x:c r="I834" t="n">
        <x:v>2206.29</x:v>
      </x:c>
      <x:c r="J834" s="22" t="n">
        <x:v>0.3273711167342459</x:v>
      </x:c>
      <x:c r="K834" s="22" t="n">
        <x:v>0.0328</x:v>
      </x:c>
      <x:c r="L834" t="n">
        <x:v>23</x:v>
      </x:c>
      <x:c r="M834" t="str">
        <x:v>成交</x:v>
      </x:c>
      <x:c r="N834" s="20" t="n">
        <x:v>46041</x:v>
      </x:c>
      <x:c r="O834"/>
    </x:row>
    <x:row r="835" ht="20" customHeight="1">
      <x:c r="A835" t="str">
        <x:v>Q00834</x:v>
      </x:c>
      <x:c r="B835" s="20" t="n">
        <x:v>46044</x:v>
      </x:c>
      <x:c r="C835" t="str">
        <x:v>IAT-004</x:v>
      </x:c>
      <x:c r="D835" t="str">
        <x:v>S05</x:v>
      </x:c>
      <x:c r="E835" t="str">
        <x:v>AUTO-FL-B</x:v>
      </x:c>
      <x:c r="F835" t="str">
        <x:v>汽車精密零組件</x:v>
      </x:c>
      <x:c r="G835" t="n">
        <x:v>7000</x:v>
      </x:c>
      <x:c r="H835" t="n">
        <x:v>1444.68</x:v>
      </x:c>
      <x:c r="I835" t="n">
        <x:v>1149.84</x:v>
      </x:c>
      <x:c r="J835" s="22" t="n">
        <x:v>0.20408671816596072</x:v>
      </x:c>
      <x:c r="K835" s="22" t="n">
        <x:v>0.1013</x:v>
      </x:c>
      <x:c r="L835" t="n">
        <x:v>20</x:v>
      </x:c>
      <x:c r="M835" t="str">
        <x:v>成交</x:v>
      </x:c>
      <x:c r="N835" s="20" t="n">
        <x:v>46052</x:v>
      </x:c>
      <x:c r="O835"/>
    </x:row>
    <x:row r="836" ht="20" customHeight="1">
      <x:c r="A836" t="str">
        <x:v>Q00835</x:v>
      </x:c>
      <x:c r="B836" s="20" t="n">
        <x:v>46032</x:v>
      </x:c>
      <x:c r="C836" t="str">
        <x:v>EMS-007</x:v>
      </x:c>
      <x:c r="D836" t="str">
        <x:v>S04</x:v>
      </x:c>
      <x:c r="E836" t="str">
        <x:v>AUTO-FL-A</x:v>
      </x:c>
      <x:c r="F836" t="str">
        <x:v>汽車精密零組件</x:v>
      </x:c>
      <x:c r="G836" t="n">
        <x:v>13000</x:v>
      </x:c>
      <x:c r="H836" t="n">
        <x:v>1238.96</x:v>
      </x:c>
      <x:c r="I836" t="n">
        <x:v>957.56</x:v>
      </x:c>
      <x:c r="J836" s="22" t="n">
        <x:v>0.22712597662555697</x:v>
      </x:c>
      <x:c r="K836" s="22" t="n">
        <x:v>0.0948</x:v>
      </x:c>
      <x:c r="L836" t="n">
        <x:v>17</x:v>
      </x:c>
      <x:c r="M836" t="str">
        <x:v>成交</x:v>
      </x:c>
      <x:c r="N836" s="20" t="n">
        <x:v>46043</x:v>
      </x:c>
      <x:c r="O836"/>
    </x:row>
    <x:row r="837" ht="20" customHeight="1">
      <x:c r="A837" t="str">
        <x:v>Q00836</x:v>
      </x:c>
      <x:c r="B837" s="20" t="n">
        <x:v>46052</x:v>
      </x:c>
      <x:c r="C837" t="str">
        <x:v>AFT-005</x:v>
      </x:c>
      <x:c r="D837" t="str">
        <x:v>S05</x:v>
      </x:c>
      <x:c r="E837" t="str">
        <x:v>AUTO-FL-B</x:v>
      </x:c>
      <x:c r="F837" t="str">
        <x:v>汽車精密零組件</x:v>
      </x:c>
      <x:c r="G837" t="n">
        <x:v>7000</x:v>
      </x:c>
      <x:c r="H837" t="n">
        <x:v>1529.37</x:v>
      </x:c>
      <x:c r="I837" t="n">
        <x:v>1210.14</x:v>
      </x:c>
      <x:c r="J837" s="22" t="n">
        <x:v>0.20873300770905656</x:v>
      </x:c>
      <x:c r="K837" s="22" t="n">
        <x:v>0.0634</x:v>
      </x:c>
      <x:c r="L837" t="n">
        <x:v>17</x:v>
      </x:c>
      <x:c r="M837" t="str">
        <x:v>成交</x:v>
      </x:c>
      <x:c r="N837" s="20" t="n">
        <x:v>46056</x:v>
      </x:c>
      <x:c r="O837"/>
    </x:row>
    <x:row r="838" ht="20" customHeight="1">
      <x:c r="A838" t="str">
        <x:v>Q00837</x:v>
      </x:c>
      <x:c r="B838" s="20" t="n">
        <x:v>46052</x:v>
      </x:c>
      <x:c r="C838" t="str">
        <x:v>EMS-001</x:v>
      </x:c>
      <x:c r="D838" t="str">
        <x:v>S02</x:v>
      </x:c>
      <x:c r="E838" t="str">
        <x:v>MECH-STG-A</x:v>
      </x:c>
      <x:c r="F838" t="str">
        <x:v>機電／自動化模組</x:v>
      </x:c>
      <x:c r="G838" t="n">
        <x:v>40</x:v>
      </x:c>
      <x:c r="H838" t="n">
        <x:v>133272.76</x:v>
      </x:c>
      <x:c r="I838" t="n">
        <x:v>105155.54</x:v>
      </x:c>
      <x:c r="J838" s="22" t="n">
        <x:v>0.21097499594065594</x:v>
      </x:c>
      <x:c r="K838" s="22" t="n">
        <x:v>0.0948</x:v>
      </x:c>
      <x:c r="L838" t="n">
        <x:v>37</x:v>
      </x:c>
      <x:c r="M838" t="str">
        <x:v>未成交</x:v>
      </x:c>
      <x:c r="N838" s="20" t="n">
        <x:v>46062</x:v>
      </x:c>
      <x:c r="O838" t="str">
        <x:v>專案取消</x:v>
      </x:c>
    </x:row>
    <x:row r="839" ht="20" customHeight="1">
      <x:c r="A839" t="str">
        <x:v>Q00838</x:v>
      </x:c>
      <x:c r="B839" s="20" t="n">
        <x:v>46025</x:v>
      </x:c>
      <x:c r="C839" t="str">
        <x:v>AUT-004</x:v>
      </x:c>
      <x:c r="D839" t="str">
        <x:v>S03</x:v>
      </x:c>
      <x:c r="E839" t="str">
        <x:v>AUTO-BRK-A</x:v>
      </x:c>
      <x:c r="F839" t="str">
        <x:v>汽車精密零組件</x:v>
      </x:c>
      <x:c r="G839" t="n">
        <x:v>7000</x:v>
      </x:c>
      <x:c r="H839" t="n">
        <x:v>1695.75</x:v>
      </x:c>
      <x:c r="I839" t="n">
        <x:v>1423.84</x:v>
      </x:c>
      <x:c r="J839" s="22" t="n">
        <x:v>0.16034792864514233</x:v>
      </x:c>
      <x:c r="K839" s="22" t="n">
        <x:v>0.0989</x:v>
      </x:c>
      <x:c r="L839" t="n">
        <x:v>15</x:v>
      </x:c>
      <x:c r="M839" t="str">
        <x:v>成交</x:v>
      </x:c>
      <x:c r="N839" s="20" t="n">
        <x:v>46036</x:v>
      </x:c>
      <x:c r="O839"/>
    </x:row>
    <x:row r="840" ht="20" customHeight="1">
      <x:c r="A840" t="str">
        <x:v>Q00839</x:v>
      </x:c>
      <x:c r="B840" s="20" t="n">
        <x:v>46037</x:v>
      </x:c>
      <x:c r="C840" t="str">
        <x:v>AUT-001</x:v>
      </x:c>
      <x:c r="D840" t="str">
        <x:v>S01</x:v>
      </x:c>
      <x:c r="E840" t="str">
        <x:v>AUTO-BS-A</x:v>
      </x:c>
      <x:c r="F840" t="str">
        <x:v>汽車精密零組件</x:v>
      </x:c>
      <x:c r="G840" t="n">
        <x:v>10000</x:v>
      </x:c>
      <x:c r="H840" t="n">
        <x:v>748.68</x:v>
      </x:c>
      <x:c r="I840" t="n">
        <x:v>545.11</x:v>
      </x:c>
      <x:c r="J840" s="22" t="n">
        <x:v>0.27190521985360894</x:v>
      </x:c>
      <x:c r="K840" s="22" t="n">
        <x:v>0.085</x:v>
      </x:c>
      <x:c r="L840" t="n">
        <x:v>10</x:v>
      </x:c>
      <x:c r="M840" t="str">
        <x:v>成交</x:v>
      </x:c>
      <x:c r="N840" s="20" t="n">
        <x:v>46042</x:v>
      </x:c>
      <x:c r="O840"/>
    </x:row>
    <x:row r="841" ht="20" customHeight="1">
      <x:c r="A841" t="str">
        <x:v>Q00840</x:v>
      </x:c>
      <x:c r="B841" s="20" t="n">
        <x:v>46039</x:v>
      </x:c>
      <x:c r="C841" t="str">
        <x:v>IAT-002</x:v>
      </x:c>
      <x:c r="D841" t="str">
        <x:v>S01</x:v>
      </x:c>
      <x:c r="E841" t="str">
        <x:v>AUTO-MH-B</x:v>
      </x:c>
      <x:c r="F841" t="str">
        <x:v>汽車精密零組件</x:v>
      </x:c>
      <x:c r="G841" t="n">
        <x:v>10000</x:v>
      </x:c>
      <x:c r="H841" t="n">
        <x:v>2969.69</x:v>
      </x:c>
      <x:c r="I841" t="n">
        <x:v>2408.27</x:v>
      </x:c>
      <x:c r="J841" s="22" t="n">
        <x:v>0.1890500355255936</x:v>
      </x:c>
      <x:c r="K841" s="22" t="n">
        <x:v>0.0621</x:v>
      </x:c>
      <x:c r="L841" t="n">
        <x:v>20</x:v>
      </x:c>
      <x:c r="M841" t="str">
        <x:v>成交</x:v>
      </x:c>
      <x:c r="N841" s="20" t="n">
        <x:v>46047</x:v>
      </x:c>
      <x:c r="O841"/>
    </x:row>
    <x:row r="842" ht="20" customHeight="1">
      <x:c r="A842" t="str">
        <x:v>Q00841</x:v>
      </x:c>
      <x:c r="B842" s="20" t="n">
        <x:v>46053</x:v>
      </x:c>
      <x:c r="C842" t="str">
        <x:v>EMS-008</x:v>
      </x:c>
      <x:c r="D842" t="str">
        <x:v>S02</x:v>
      </x:c>
      <x:c r="E842" t="str">
        <x:v>AUTO-BRK-A</x:v>
      </x:c>
      <x:c r="F842" t="str">
        <x:v>汽車精密零組件</x:v>
      </x:c>
      <x:c r="G842" t="n">
        <x:v>10000</x:v>
      </x:c>
      <x:c r="H842" t="n">
        <x:v>1772.03</x:v>
      </x:c>
      <x:c r="I842" t="n">
        <x:v>1391.13</x:v>
      </x:c>
      <x:c r="J842" s="22" t="n">
        <x:v>0.21495121414423</x:v>
      </x:c>
      <x:c r="K842" s="22" t="n">
        <x:v>0.0518</x:v>
      </x:c>
      <x:c r="L842" t="n">
        <x:v>19</x:v>
      </x:c>
      <x:c r="M842" t="str">
        <x:v>成交</x:v>
      </x:c>
      <x:c r="N842" s="20" t="n">
        <x:v>46056</x:v>
      </x:c>
      <x:c r="O842"/>
    </x:row>
    <x:row r="843" ht="20" customHeight="1">
      <x:c r="A843" t="str">
        <x:v>Q00842</x:v>
      </x:c>
      <x:c r="B843" s="20" t="n">
        <x:v>46041</x:v>
      </x:c>
      <x:c r="C843" t="str">
        <x:v>IAT-007</x:v>
      </x:c>
      <x:c r="D843" t="str">
        <x:v>S04</x:v>
      </x:c>
      <x:c r="E843" t="str">
        <x:v>PM-VAC-B</x:v>
      </x:c>
      <x:c r="F843" t="str">
        <x:v>精密金屬加工件</x:v>
      </x:c>
      <x:c r="G843" t="n">
        <x:v>300</x:v>
      </x:c>
      <x:c r="H843" t="n">
        <x:v>22273.84</x:v>
      </x:c>
      <x:c r="I843" t="n">
        <x:v>15403.54</x:v>
      </x:c>
      <x:c r="J843" s="22" t="n">
        <x:v>0.308447039217306</x:v>
      </x:c>
      <x:c r="K843" s="22" t="n">
        <x:v>0.0484</x:v>
      </x:c>
      <x:c r="L843" t="n">
        <x:v>33</x:v>
      </x:c>
      <x:c r="M843" t="str">
        <x:v>成交</x:v>
      </x:c>
      <x:c r="N843" s="20" t="n">
        <x:v>46045</x:v>
      </x:c>
      <x:c r="O843"/>
    </x:row>
    <x:row r="844" ht="20" customHeight="1">
      <x:c r="A844" t="str">
        <x:v>Q00843</x:v>
      </x:c>
      <x:c r="B844" s="20" t="n">
        <x:v>46035</x:v>
      </x:c>
      <x:c r="C844" t="str">
        <x:v>IAT-010</x:v>
      </x:c>
      <x:c r="D844" t="str">
        <x:v>S04</x:v>
      </x:c>
      <x:c r="E844" t="str">
        <x:v>AUTO-BS-B</x:v>
      </x:c>
      <x:c r="F844" t="str">
        <x:v>汽車精密零組件</x:v>
      </x:c>
      <x:c r="G844" t="n">
        <x:v>3000</x:v>
      </x:c>
      <x:c r="H844" t="n">
        <x:v>842.92</x:v>
      </x:c>
      <x:c r="I844" t="n">
        <x:v>661.03</x:v>
      </x:c>
      <x:c r="J844" s="22" t="n">
        <x:v>0.2157856024296493</x:v>
      </x:c>
      <x:c r="K844" s="22" t="n">
        <x:v>0.123</x:v>
      </x:c>
      <x:c r="L844" t="n">
        <x:v>15</x:v>
      </x:c>
      <x:c r="M844" t="str">
        <x:v>未成交</x:v>
      </x:c>
      <x:c r="N844" s="20" t="n">
        <x:v>46041</x:v>
      </x:c>
      <x:c r="O844" t="str">
        <x:v>競品</x:v>
      </x:c>
    </x:row>
    <x:row r="845" ht="20" customHeight="1">
      <x:c r="A845" t="str">
        <x:v>Q00844</x:v>
      </x:c>
      <x:c r="B845" s="20" t="n">
        <x:v>46036</x:v>
      </x:c>
      <x:c r="C845" t="str">
        <x:v>EMS-007</x:v>
      </x:c>
      <x:c r="D845" t="str">
        <x:v>S04</x:v>
      </x:c>
      <x:c r="E845" t="str">
        <x:v>AUTO-MH-B</x:v>
      </x:c>
      <x:c r="F845" t="str">
        <x:v>汽車精密零組件</x:v>
      </x:c>
      <x:c r="G845" t="n">
        <x:v>3000</x:v>
      </x:c>
      <x:c r="H845" t="n">
        <x:v>2808.42</x:v>
      </x:c>
      <x:c r="I845" t="n">
        <x:v>2374.47</x:v>
      </x:c>
      <x:c r="J845" s="22" t="n">
        <x:v>0.15451748670070725</x:v>
      </x:c>
      <x:c r="K845" s="22" t="n">
        <x:v>0.0964</x:v>
      </x:c>
      <x:c r="L845" t="n">
        <x:v>17</x:v>
      </x:c>
      <x:c r="M845" t="str">
        <x:v>未成交</x:v>
      </x:c>
      <x:c r="N845" s="20" t="n">
        <x:v>46040</x:v>
      </x:c>
      <x:c r="O845" t="str">
        <x:v>規格</x:v>
      </x:c>
    </x:row>
    <x:row r="846" ht="20" customHeight="1">
      <x:c r="A846" t="str">
        <x:v>Q00845</x:v>
      </x:c>
      <x:c r="B846" s="20" t="n">
        <x:v>46049</x:v>
      </x:c>
      <x:c r="C846" t="str">
        <x:v>IAT-008</x:v>
      </x:c>
      <x:c r="D846" t="str">
        <x:v>S01</x:v>
      </x:c>
      <x:c r="E846" t="str">
        <x:v>MECH-STG-B</x:v>
      </x:c>
      <x:c r="F846" t="str">
        <x:v>機電／自動化模組</x:v>
      </x:c>
      <x:c r="G846" t="n">
        <x:v>50</x:v>
      </x:c>
      <x:c r="H846" t="n">
        <x:v>181527.7</x:v>
      </x:c>
      <x:c r="I846" t="n">
        <x:v>153500.46</x:v>
      </x:c>
      <x:c r="J846" s="22" t="n">
        <x:v>0.1543964915547325</x:v>
      </x:c>
      <x:c r="K846" s="22" t="n">
        <x:v>0.1074</x:v>
      </x:c>
      <x:c r="L846" t="n">
        <x:v>56</x:v>
      </x:c>
      <x:c r="M846" t="str">
        <x:v>未成交</x:v>
      </x:c>
      <x:c r="N846" s="20" t="n">
        <x:v>46058</x:v>
      </x:c>
      <x:c r="O846" t="str">
        <x:v>價格</x:v>
      </x:c>
    </x:row>
    <x:row r="847" ht="20" customHeight="1">
      <x:c r="A847" t="str">
        <x:v>Q00846</x:v>
      </x:c>
      <x:c r="B847" s="20" t="n">
        <x:v>46026</x:v>
      </x:c>
      <x:c r="C847" t="str">
        <x:v>SEM-010</x:v>
      </x:c>
      <x:c r="D847" t="str">
        <x:v>S01</x:v>
      </x:c>
      <x:c r="E847" t="str">
        <x:v>PM-BRG-B</x:v>
      </x:c>
      <x:c r="F847" t="str">
        <x:v>精密金屬加工件</x:v>
      </x:c>
      <x:c r="G847" t="n">
        <x:v>800</x:v>
      </x:c>
      <x:c r="H847" t="n">
        <x:v>7881.9</x:v>
      </x:c>
      <x:c r="I847" t="n">
        <x:v>5369.31</x:v>
      </x:c>
      <x:c r="J847" s="22" t="n">
        <x:v>0.3187797358504928</x:v>
      </x:c>
      <x:c r="K847" s="22" t="n">
        <x:v>0.0497</x:v>
      </x:c>
      <x:c r="L847" t="n">
        <x:v>20</x:v>
      </x:c>
      <x:c r="M847" t="str">
        <x:v>成交</x:v>
      </x:c>
      <x:c r="N847" s="20" t="n">
        <x:v>46032</x:v>
      </x:c>
      <x:c r="O847"/>
    </x:row>
    <x:row r="848" ht="20" customHeight="1">
      <x:c r="A848" t="str">
        <x:v>Q00847</x:v>
      </x:c>
      <x:c r="B848" s="20" t="n">
        <x:v>46037</x:v>
      </x:c>
      <x:c r="C848" t="str">
        <x:v>AFT-004</x:v>
      </x:c>
      <x:c r="D848" t="str">
        <x:v>S02</x:v>
      </x:c>
      <x:c r="E848" t="str">
        <x:v>PM-VAC-A</x:v>
      </x:c>
      <x:c r="F848" t="str">
        <x:v>精密金屬加工件</x:v>
      </x:c>
      <x:c r="G848" t="n">
        <x:v>500</x:v>
      </x:c>
      <x:c r="H848" t="n">
        <x:v>15944.58</x:v>
      </x:c>
      <x:c r="I848" t="n">
        <x:v>11117.01</x:v>
      </x:c>
      <x:c r="J848" s="22" t="n">
        <x:v>0.3027718509988974</x:v>
      </x:c>
      <x:c r="K848" s="22" t="n">
        <x:v>0.0593</x:v>
      </x:c>
      <x:c r="L848" t="n">
        <x:v>29</x:v>
      </x:c>
      <x:c r="M848" t="str">
        <x:v>未成交</x:v>
      </x:c>
      <x:c r="N848" s="20" t="n">
        <x:v>46049</x:v>
      </x:c>
      <x:c r="O848" t="str">
        <x:v>規格</x:v>
      </x:c>
    </x:row>
    <x:row r="849" ht="20" customHeight="1">
      <x:c r="A849" t="str">
        <x:v>Q00848</x:v>
      </x:c>
      <x:c r="B849" s="20" t="n">
        <x:v>46046</x:v>
      </x:c>
      <x:c r="C849" t="str">
        <x:v>SEM-008</x:v>
      </x:c>
      <x:c r="D849" t="str">
        <x:v>S04</x:v>
      </x:c>
      <x:c r="E849" t="str">
        <x:v>MECH-STG-A</x:v>
      </x:c>
      <x:c r="F849" t="str">
        <x:v>機電／自動化模組</x:v>
      </x:c>
      <x:c r="G849" t="n">
        <x:v>20</x:v>
      </x:c>
      <x:c r="H849" t="n">
        <x:v>140548.83</x:v>
      </x:c>
      <x:c r="I849" t="n">
        <x:v>106437.59</x:v>
      </x:c>
      <x:c r="J849" s="22" t="n">
        <x:v>0.24270027719191967</x:v>
      </x:c>
      <x:c r="K849" s="22" t="n">
        <x:v>0.0309</x:v>
      </x:c>
      <x:c r="L849" t="n">
        <x:v>36</x:v>
      </x:c>
      <x:c r="M849" t="str">
        <x:v>成交</x:v>
      </x:c>
      <x:c r="N849" s="20" t="n">
        <x:v>46052</x:v>
      </x:c>
      <x:c r="O849"/>
    </x:row>
    <x:row r="850" ht="20" customHeight="1">
      <x:c r="A850" t="str">
        <x:v>Q00849</x:v>
      </x:c>
      <x:c r="B850" s="20" t="n">
        <x:v>46036</x:v>
      </x:c>
      <x:c r="C850" t="str">
        <x:v>EMS-002</x:v>
      </x:c>
      <x:c r="D850" t="str">
        <x:v>S05</x:v>
      </x:c>
      <x:c r="E850" t="str">
        <x:v>PM-VAC-B</x:v>
      </x:c>
      <x:c r="F850" t="str">
        <x:v>精密金屬加工件</x:v>
      </x:c>
      <x:c r="G850" t="n">
        <x:v>1200</x:v>
      </x:c>
      <x:c r="H850" t="n">
        <x:v>22257.09</x:v>
      </x:c>
      <x:c r="I850" t="n">
        <x:v>15176.19</x:v>
      </x:c>
      <x:c r="J850" s="22" t="n">
        <x:v>0.3181413203612871</x:v>
      </x:c>
      <x:c r="K850" s="22" t="n">
        <x:v>0.0579</x:v>
      </x:c>
      <x:c r="L850" t="n">
        <x:v>37</x:v>
      </x:c>
      <x:c r="M850" t="str">
        <x:v>未成交</x:v>
      </x:c>
      <x:c r="N850" s="20" t="n">
        <x:v>46042</x:v>
      </x:c>
      <x:c r="O850" t="str">
        <x:v>專案取消</x:v>
      </x:c>
    </x:row>
    <x:row r="851" ht="20" customHeight="1">
      <x:c r="A851" t="str">
        <x:v>Q00850</x:v>
      </x:c>
      <x:c r="B851" s="20" t="n">
        <x:v>46030</x:v>
      </x:c>
      <x:c r="C851" t="str">
        <x:v>IAT-009</x:v>
      </x:c>
      <x:c r="D851" t="str">
        <x:v>S04</x:v>
      </x:c>
      <x:c r="E851" t="str">
        <x:v>AUTO-MH-B</x:v>
      </x:c>
      <x:c r="F851" t="str">
        <x:v>汽車精密零組件</x:v>
      </x:c>
      <x:c r="G851" t="n">
        <x:v>13000</x:v>
      </x:c>
      <x:c r="H851" t="n">
        <x:v>3055.45</x:v>
      </x:c>
      <x:c r="I851" t="n">
        <x:v>2250.41</x:v>
      </x:c>
      <x:c r="J851" s="22" t="n">
        <x:v>0.26347673828732265</x:v>
      </x:c>
      <x:c r="K851" s="22" t="n">
        <x:v>0.0441</x:v>
      </x:c>
      <x:c r="L851" t="n">
        <x:v>17</x:v>
      </x:c>
      <x:c r="M851" t="str">
        <x:v>成交</x:v>
      </x:c>
      <x:c r="N851" s="20" t="n">
        <x:v>46040</x:v>
      </x:c>
      <x:c r="O851"/>
    </x:row>
    <x:row r="852" ht="20" customHeight="1">
      <x:c r="A852" t="str">
        <x:v>Q00851</x:v>
      </x:c>
      <x:c r="B852" s="20" t="n">
        <x:v>46029</x:v>
      </x:c>
      <x:c r="C852" t="str">
        <x:v>IAT-008</x:v>
      </x:c>
      <x:c r="D852" t="str">
        <x:v>S01</x:v>
      </x:c>
      <x:c r="E852" t="str">
        <x:v>SEMI-WH-B</x:v>
      </x:c>
      <x:c r="F852" t="str">
        <x:v>半導體設備零組件</x:v>
      </x:c>
      <x:c r="G852" t="n">
        <x:v>160</x:v>
      </x:c>
      <x:c r="H852" t="n">
        <x:v>156139.43</x:v>
      </x:c>
      <x:c r="I852" t="n">
        <x:v>133891.17</x:v>
      </x:c>
      <x:c r="J852" s="22" t="n">
        <x:v>0.14248969654878324</x:v>
      </x:c>
      <x:c r="K852" s="22" t="n">
        <x:v>0.1247</x:v>
      </x:c>
      <x:c r="L852" t="n">
        <x:v>56</x:v>
      </x:c>
      <x:c r="M852" t="str">
        <x:v>成交</x:v>
      </x:c>
      <x:c r="N852" s="20" t="n">
        <x:v>46033</x:v>
      </x:c>
      <x:c r="O852"/>
    </x:row>
    <x:row r="853" ht="20" customHeight="1">
      <x:c r="A853" t="str">
        <x:v>Q00852</x:v>
      </x:c>
      <x:c r="B853" s="20" t="n">
        <x:v>46037</x:v>
      </x:c>
      <x:c r="C853" t="str">
        <x:v>IAT-003</x:v>
      </x:c>
      <x:c r="D853" t="str">
        <x:v>S04</x:v>
      </x:c>
      <x:c r="E853" t="str">
        <x:v>AUTO-BRK-A</x:v>
      </x:c>
      <x:c r="F853" t="str">
        <x:v>汽車精密零組件</x:v>
      </x:c>
      <x:c r="G853" t="n">
        <x:v>13000</x:v>
      </x:c>
      <x:c r="H853" t="n">
        <x:v>1736.94</x:v>
      </x:c>
      <x:c r="I853" t="n">
        <x:v>1389.25</x:v>
      </x:c>
      <x:c r="J853" s="22" t="n">
        <x:v>0.2001738689879904</x:v>
      </x:c>
      <x:c r="K853" s="22" t="n">
        <x:v>0.0555</x:v>
      </x:c>
      <x:c r="L853" t="n">
        <x:v>19</x:v>
      </x:c>
      <x:c r="M853" t="str">
        <x:v>未成交</x:v>
      </x:c>
      <x:c r="N853" s="20" t="n">
        <x:v>46049</x:v>
      </x:c>
      <x:c r="O853" t="str">
        <x:v>規格</x:v>
      </x:c>
    </x:row>
    <x:row r="854" ht="20" customHeight="1">
      <x:c r="A854" t="str">
        <x:v>Q00853</x:v>
      </x:c>
      <x:c r="B854" s="20" t="n">
        <x:v>46040</x:v>
      </x:c>
      <x:c r="C854" t="str">
        <x:v>AUT-003</x:v>
      </x:c>
      <x:c r="D854" t="str">
        <x:v>S03</x:v>
      </x:c>
      <x:c r="E854" t="str">
        <x:v>AUTO-FL-B</x:v>
      </x:c>
      <x:c r="F854" t="str">
        <x:v>汽車精密零組件</x:v>
      </x:c>
      <x:c r="G854" t="n">
        <x:v>13000</x:v>
      </x:c>
      <x:c r="H854" t="n">
        <x:v>1481.54</x:v>
      </x:c>
      <x:c r="I854" t="n">
        <x:v>1189.82</x:v>
      </x:c>
      <x:c r="J854" s="22" t="n">
        <x:v>0.19690322232271829</x:v>
      </x:c>
      <x:c r="K854" s="22" t="n">
        <x:v>0.0849</x:v>
      </x:c>
      <x:c r="L854" t="n">
        <x:v>16</x:v>
      </x:c>
      <x:c r="M854" t="str">
        <x:v>成交</x:v>
      </x:c>
      <x:c r="N854" s="20" t="n">
        <x:v>46045</x:v>
      </x:c>
      <x:c r="O854"/>
    </x:row>
    <x:row r="855" ht="20" customHeight="1">
      <x:c r="A855" t="str">
        <x:v>Q00854</x:v>
      </x:c>
      <x:c r="B855" s="20" t="n">
        <x:v>46025</x:v>
      </x:c>
      <x:c r="C855" t="str">
        <x:v>AFT-003</x:v>
      </x:c>
      <x:c r="D855" t="str">
        <x:v>S01</x:v>
      </x:c>
      <x:c r="E855" t="str">
        <x:v>PM-SUS-B</x:v>
      </x:c>
      <x:c r="F855" t="str">
        <x:v>精密金屬加工件</x:v>
      </x:c>
      <x:c r="G855" t="n">
        <x:v>1600</x:v>
      </x:c>
      <x:c r="H855" t="n">
        <x:v>14932.94</x:v>
      </x:c>
      <x:c r="I855" t="n">
        <x:v>11326.19</x:v>
      </x:c>
      <x:c r="J855" s="22" t="n">
        <x:v>0.24152979922239023</x:v>
      </x:c>
      <x:c r="K855" s="22" t="n">
        <x:v>0.0709</x:v>
      </x:c>
      <x:c r="L855" t="n">
        <x:v>23</x:v>
      </x:c>
      <x:c r="M855" t="str">
        <x:v>未成交</x:v>
      </x:c>
      <x:c r="N855" s="20" t="n">
        <x:v>46037</x:v>
      </x:c>
      <x:c r="O855" t="str">
        <x:v>交期</x:v>
      </x:c>
    </x:row>
    <x:row r="856" ht="20" customHeight="1">
      <x:c r="A856" t="str">
        <x:v>Q00855</x:v>
      </x:c>
      <x:c r="B856" s="20" t="n">
        <x:v>46052</x:v>
      </x:c>
      <x:c r="C856" t="str">
        <x:v>IAT-003</x:v>
      </x:c>
      <x:c r="D856" t="str">
        <x:v>S04</x:v>
      </x:c>
      <x:c r="E856" t="str">
        <x:v>SEMI-WH-B</x:v>
      </x:c>
      <x:c r="F856" t="str">
        <x:v>半導體設備零組件</x:v>
      </x:c>
      <x:c r="G856" t="n">
        <x:v>80</x:v>
      </x:c>
      <x:c r="H856" t="n">
        <x:v>174160.19</x:v>
      </x:c>
      <x:c r="I856" t="n">
        <x:v>133718.66</x:v>
      </x:c>
      <x:c r="J856" s="22" t="n">
        <x:v>0.2322088073055042</x:v>
      </x:c>
      <x:c r="K856" s="22" t="n">
        <x:v>0.0209</x:v>
      </x:c>
      <x:c r="L856" t="n">
        <x:v>48</x:v>
      </x:c>
      <x:c r="M856" t="str">
        <x:v>成交</x:v>
      </x:c>
      <x:c r="N856" s="20" t="n">
        <x:v>46064</x:v>
      </x:c>
      <x:c r="O856"/>
    </x:row>
    <x:row r="857" ht="20" customHeight="1">
      <x:c r="A857" t="str">
        <x:v>Q00856</x:v>
      </x:c>
      <x:c r="B857" s="20" t="n">
        <x:v>46038</x:v>
      </x:c>
      <x:c r="C857" t="str">
        <x:v>AUT-010</x:v>
      </x:c>
      <x:c r="D857" t="str">
        <x:v>S05</x:v>
      </x:c>
      <x:c r="E857" t="str">
        <x:v>AUTO-BS-A</x:v>
      </x:c>
      <x:c r="F857" t="str">
        <x:v>汽車精密零組件</x:v>
      </x:c>
      <x:c r="G857" t="n">
        <x:v>5000</x:v>
      </x:c>
      <x:c r="H857" t="n">
        <x:v>776</x:v>
      </x:c>
      <x:c r="I857" t="n">
        <x:v>563.74</x:v>
      </x:c>
      <x:c r="J857" s="22" t="n">
        <x:v>0.2735309278350515</x:v>
      </x:c>
      <x:c r="K857" s="22" t="n">
        <x:v>0.0425</x:v>
      </x:c>
      <x:c r="L857" t="n">
        <x:v>15</x:v>
      </x:c>
      <x:c r="M857" t="str">
        <x:v>未成交</x:v>
      </x:c>
      <x:c r="N857" s="20" t="n">
        <x:v>46048</x:v>
      </x:c>
      <x:c r="O857" t="str">
        <x:v>競品</x:v>
      </x:c>
    </x:row>
    <x:row r="858" ht="20" customHeight="1">
      <x:c r="A858" t="str">
        <x:v>Q00857</x:v>
      </x:c>
      <x:c r="B858" s="20" t="n">
        <x:v>46050</x:v>
      </x:c>
      <x:c r="C858" t="str">
        <x:v>EMS-006</x:v>
      </x:c>
      <x:c r="D858" t="str">
        <x:v>S03</x:v>
      </x:c>
      <x:c r="E858" t="str">
        <x:v>AUTO-BS-A</x:v>
      </x:c>
      <x:c r="F858" t="str">
        <x:v>汽車精密零組件</x:v>
      </x:c>
      <x:c r="G858" t="n">
        <x:v>5000</x:v>
      </x:c>
      <x:c r="H858" t="n">
        <x:v>783.36</x:v>
      </x:c>
      <x:c r="I858" t="n">
        <x:v>539.89</x:v>
      </x:c>
      <x:c r="J858" s="22" t="n">
        <x:v>0.31080218545751637</x:v>
      </x:c>
      <x:c r="K858" s="22" t="n">
        <x:v>0.0476</x:v>
      </x:c>
      <x:c r="L858" t="n">
        <x:v>12</x:v>
      </x:c>
      <x:c r="M858" t="str">
        <x:v>成交</x:v>
      </x:c>
      <x:c r="N858" s="20" t="n">
        <x:v>46057</x:v>
      </x:c>
      <x:c r="O858"/>
    </x:row>
    <x:row r="859" ht="20" customHeight="1">
      <x:c r="A859" t="str">
        <x:v>Q00858</x:v>
      </x:c>
      <x:c r="B859" s="20" t="n">
        <x:v>46051</x:v>
      </x:c>
      <x:c r="C859" t="str">
        <x:v>AUT-009</x:v>
      </x:c>
      <x:c r="D859" t="str">
        <x:v>S04</x:v>
      </x:c>
      <x:c r="E859" t="str">
        <x:v>AUTO-FL-A</x:v>
      </x:c>
      <x:c r="F859" t="str">
        <x:v>汽車精密零組件</x:v>
      </x:c>
      <x:c r="G859" t="n">
        <x:v>5000</x:v>
      </x:c>
      <x:c r="H859" t="n">
        <x:v>1248.78</x:v>
      </x:c>
      <x:c r="I859" t="n">
        <x:v>975.35</x:v>
      </x:c>
      <x:c r="J859" s="22" t="n">
        <x:v>0.2189577027178526</x:v>
      </x:c>
      <x:c r="K859" s="22" t="n">
        <x:v>0.0819</x:v>
      </x:c>
      <x:c r="L859" t="n">
        <x:v>12</x:v>
      </x:c>
      <x:c r="M859" t="str">
        <x:v>成交</x:v>
      </x:c>
      <x:c r="N859" s="20" t="n">
        <x:v>46058</x:v>
      </x:c>
      <x:c r="O859"/>
    </x:row>
    <x:row r="860" ht="20" customHeight="1">
      <x:c r="A860" t="str">
        <x:v>Q00859</x:v>
      </x:c>
      <x:c r="B860" s="20" t="n">
        <x:v>46040</x:v>
      </x:c>
      <x:c r="C860" t="str">
        <x:v>AUT-011</x:v>
      </x:c>
      <x:c r="D860" t="str">
        <x:v>S02</x:v>
      </x:c>
      <x:c r="E860" t="str">
        <x:v>AUTO-KN-A</x:v>
      </x:c>
      <x:c r="F860" t="str">
        <x:v>汽車精密零組件</x:v>
      </x:c>
      <x:c r="G860" t="n">
        <x:v>7000</x:v>
      </x:c>
      <x:c r="H860" t="n">
        <x:v>3270.93</x:v>
      </x:c>
      <x:c r="I860" t="n">
        <x:v>2271.3</x:v>
      </x:c>
      <x:c r="J860" s="22" t="n">
        <x:v>0.3056103310067778</x:v>
      </x:c>
      <x:c r="K860" s="22" t="n">
        <x:v>0.0462</x:v>
      </x:c>
      <x:c r="L860" t="n">
        <x:v>22</x:v>
      </x:c>
      <x:c r="M860" t="str">
        <x:v>成交</x:v>
      </x:c>
      <x:c r="N860" s="20" t="n">
        <x:v>46044</x:v>
      </x:c>
      <x:c r="O860"/>
    </x:row>
    <x:row r="861" ht="20" customHeight="1">
      <x:c r="A861" t="str">
        <x:v>Q00860</x:v>
      </x:c>
      <x:c r="B861" s="20" t="n">
        <x:v>46053</x:v>
      </x:c>
      <x:c r="C861" t="str">
        <x:v>AFT-003</x:v>
      </x:c>
      <x:c r="D861" t="str">
        <x:v>S01</x:v>
      </x:c>
      <x:c r="E861" t="str">
        <x:v>AUTO-BRK-A</x:v>
      </x:c>
      <x:c r="F861" t="str">
        <x:v>汽車精密零組件</x:v>
      </x:c>
      <x:c r="G861" t="n">
        <x:v>7000</x:v>
      </x:c>
      <x:c r="H861" t="n">
        <x:v>1794.55</x:v>
      </x:c>
      <x:c r="I861" t="n">
        <x:v>1377.95</x:v>
      </x:c>
      <x:c r="J861" s="22" t="n">
        <x:v>0.23214733498648682</x:v>
      </x:c>
      <x:c r="K861" s="22" t="n">
        <x:v>0.0465</x:v>
      </x:c>
      <x:c r="L861" t="n">
        <x:v>13</x:v>
      </x:c>
      <x:c r="M861" t="str">
        <x:v>未成交</x:v>
      </x:c>
      <x:c r="N861" s="20" t="n">
        <x:v>46058</x:v>
      </x:c>
      <x:c r="O861" t="str">
        <x:v>專案取消</x:v>
      </x:c>
    </x:row>
    <x:row r="862" ht="20" customHeight="1">
      <x:c r="A862" t="str">
        <x:v>Q00861</x:v>
      </x:c>
      <x:c r="B862" s="20" t="n">
        <x:v>46040</x:v>
      </x:c>
      <x:c r="C862" t="str">
        <x:v>AUT-011</x:v>
      </x:c>
      <x:c r="D862" t="str">
        <x:v>S02</x:v>
      </x:c>
      <x:c r="E862" t="str">
        <x:v>AUTO-KN-B</x:v>
      </x:c>
      <x:c r="F862" t="str">
        <x:v>汽車精密零組件</x:v>
      </x:c>
      <x:c r="G862" t="n">
        <x:v>5000</x:v>
      </x:c>
      <x:c r="H862" t="n">
        <x:v>3808.08</x:v>
      </x:c>
      <x:c r="I862" t="n">
        <x:v>2578.18</x:v>
      </x:c>
      <x:c r="J862" s="22" t="n">
        <x:v>0.32297115606814986</x:v>
      </x:c>
      <x:c r="K862" s="22" t="n">
        <x:v>0.0356</x:v>
      </x:c>
      <x:c r="L862" t="n">
        <x:v>19</x:v>
      </x:c>
      <x:c r="M862" t="str">
        <x:v>成交</x:v>
      </x:c>
      <x:c r="N862" s="20" t="n">
        <x:v>46047</x:v>
      </x:c>
      <x:c r="O862"/>
    </x:row>
    <x:row r="863" ht="20" customHeight="1">
      <x:c r="A863" t="str">
        <x:v>Q00862</x:v>
      </x:c>
      <x:c r="B863" s="20" t="n">
        <x:v>46030</x:v>
      </x:c>
      <x:c r="C863" t="str">
        <x:v>AUT-010</x:v>
      </x:c>
      <x:c r="D863" t="str">
        <x:v>S05</x:v>
      </x:c>
      <x:c r="E863" t="str">
        <x:v>MECH-CON-A</x:v>
      </x:c>
      <x:c r="F863" t="str">
        <x:v>機電／自動化模組</x:v>
      </x:c>
      <x:c r="G863" t="n">
        <x:v>20</x:v>
      </x:c>
      <x:c r="H863" t="n">
        <x:v>116058.51</x:v>
      </x:c>
      <x:c r="I863" t="n">
        <x:v>86011.1</x:v>
      </x:c>
      <x:c r="J863" s="22" t="n">
        <x:v>0.25889880888527683</x:v>
      </x:c>
      <x:c r="K863" s="22" t="n">
        <x:v>0.0314</x:v>
      </x:c>
      <x:c r="L863" t="n">
        <x:v>38</x:v>
      </x:c>
      <x:c r="M863" t="str">
        <x:v>成交</x:v>
      </x:c>
      <x:c r="N863" s="20" t="n">
        <x:v>46037</x:v>
      </x:c>
      <x:c r="O863"/>
    </x:row>
    <x:row r="864" ht="20" customHeight="1">
      <x:c r="A864" t="str">
        <x:v>Q00863</x:v>
      </x:c>
      <x:c r="B864" s="20" t="n">
        <x:v>46050</x:v>
      </x:c>
      <x:c r="C864" t="str">
        <x:v>AUT-002</x:v>
      </x:c>
      <x:c r="D864" t="str">
        <x:v>S04</x:v>
      </x:c>
      <x:c r="E864" t="str">
        <x:v>MECH-STG-A</x:v>
      </x:c>
      <x:c r="F864" t="str">
        <x:v>機電／自動化模組</x:v>
      </x:c>
      <x:c r="G864" t="n">
        <x:v>20</x:v>
      </x:c>
      <x:c r="H864" t="n">
        <x:v>136983.51</x:v>
      </x:c>
      <x:c r="I864" t="n">
        <x:v>105686.89</x:v>
      </x:c>
      <x:c r="J864" s="22" t="n">
        <x:v>0.22846998153281375</x:v>
      </x:c>
      <x:c r="K864" s="22" t="n">
        <x:v>0.0607</x:v>
      </x:c>
      <x:c r="L864" t="n">
        <x:v>38</x:v>
      </x:c>
      <x:c r="M864" t="str">
        <x:v>成交</x:v>
      </x:c>
      <x:c r="N864" s="20" t="n">
        <x:v>46057</x:v>
      </x:c>
      <x:c r="O864"/>
    </x:row>
    <x:row r="865" ht="20" customHeight="1">
      <x:c r="A865" t="str">
        <x:v>Q00864</x:v>
      </x:c>
      <x:c r="B865" s="20" t="n">
        <x:v>46023</x:v>
      </x:c>
      <x:c r="C865" t="str">
        <x:v>AFT-003</x:v>
      </x:c>
      <x:c r="D865" t="str">
        <x:v>S01</x:v>
      </x:c>
      <x:c r="E865" t="str">
        <x:v>AUTO-KN-A</x:v>
      </x:c>
      <x:c r="F865" t="str">
        <x:v>汽車精密零組件</x:v>
      </x:c>
      <x:c r="G865" t="n">
        <x:v>10000</x:v>
      </x:c>
      <x:c r="H865" t="n">
        <x:v>3368.89</x:v>
      </x:c>
      <x:c r="I865" t="n">
        <x:v>2178.74</x:v>
      </x:c>
      <x:c r="J865" s="22" t="n">
        <x:v>0.3532765985235493</x:v>
      </x:c>
      <x:c r="K865" s="22" t="n">
        <x:v>0.0192</x:v>
      </x:c>
      <x:c r="L865" t="n">
        <x:v>18</x:v>
      </x:c>
      <x:c r="M865" t="str">
        <x:v>成交</x:v>
      </x:c>
      <x:c r="N865" s="20" t="n">
        <x:v>46033</x:v>
      </x:c>
      <x:c r="O865"/>
    </x:row>
    <x:row r="866" ht="20" customHeight="1">
      <x:c r="A866" t="str">
        <x:v>Q00865</x:v>
      </x:c>
      <x:c r="B866" s="20" t="n">
        <x:v>46071</x:v>
      </x:c>
      <x:c r="C866" t="str">
        <x:v>AFT-001</x:v>
      </x:c>
      <x:c r="D866" t="str">
        <x:v>S05</x:v>
      </x:c>
      <x:c r="E866" t="str">
        <x:v>AUTO-BS-B</x:v>
      </x:c>
      <x:c r="F866" t="str">
        <x:v>汽車精密零組件</x:v>
      </x:c>
      <x:c r="G866" t="n">
        <x:v>13000</x:v>
      </x:c>
      <x:c r="H866" t="n">
        <x:v>826.76</x:v>
      </x:c>
      <x:c r="I866" t="n">
        <x:v>645.92</x:v>
      </x:c>
      <x:c r="J866" s="22" t="n">
        <x:v>0.21873336881319855</x:v>
      </x:c>
      <x:c r="K866" s="22" t="n">
        <x:v>0.1381</x:v>
      </x:c>
      <x:c r="L866" t="n">
        <x:v>14</x:v>
      </x:c>
      <x:c r="M866" t="str">
        <x:v>成交</x:v>
      </x:c>
      <x:c r="N866" s="20" t="n">
        <x:v>46075</x:v>
      </x:c>
      <x:c r="O866"/>
    </x:row>
    <x:row r="867" ht="20" customHeight="1">
      <x:c r="A867" t="str">
        <x:v>Q00866</x:v>
      </x:c>
      <x:c r="B867" s="20" t="n">
        <x:v>46080</x:v>
      </x:c>
      <x:c r="C867" t="str">
        <x:v>EMS-007</x:v>
      </x:c>
      <x:c r="D867" t="str">
        <x:v>S04</x:v>
      </x:c>
      <x:c r="E867" t="str">
        <x:v>MECH-CON-A</x:v>
      </x:c>
      <x:c r="F867" t="str">
        <x:v>機電／自動化模組</x:v>
      </x:c>
      <x:c r="G867" t="n">
        <x:v>20</x:v>
      </x:c>
      <x:c r="H867" t="n">
        <x:v>114578.6</x:v>
      </x:c>
      <x:c r="I867" t="n">
        <x:v>84791.39</x:v>
      </x:c>
      <x:c r="J867" s="22" t="n">
        <x:v>0.25997184465511014</x:v>
      </x:c>
      <x:c r="K867" s="22" t="n">
        <x:v>0.0216</x:v>
      </x:c>
      <x:c r="L867" t="n">
        <x:v>28</x:v>
      </x:c>
      <x:c r="M867" t="str">
        <x:v>未成交</x:v>
      </x:c>
      <x:c r="N867" s="20" t="n">
        <x:v>46092</x:v>
      </x:c>
      <x:c r="O867" t="str">
        <x:v>價格</x:v>
      </x:c>
    </x:row>
    <x:row r="868" ht="20" customHeight="1">
      <x:c r="A868" t="str">
        <x:v>Q00867</x:v>
      </x:c>
      <x:c r="B868" s="20" t="n">
        <x:v>46068</x:v>
      </x:c>
      <x:c r="C868" t="str">
        <x:v>AUT-010</x:v>
      </x:c>
      <x:c r="D868" t="str">
        <x:v>S05</x:v>
      </x:c>
      <x:c r="E868" t="str">
        <x:v>AUTO-KN-A</x:v>
      </x:c>
      <x:c r="F868" t="str">
        <x:v>汽車精密零組件</x:v>
      </x:c>
      <x:c r="G868" t="n">
        <x:v>7000</x:v>
      </x:c>
      <x:c r="H868" t="n">
        <x:v>3098.78</x:v>
      </x:c>
      <x:c r="I868" t="n">
        <x:v>2276.81</x:v>
      </x:c>
      <x:c r="J868" s="22" t="n">
        <x:v>0.26525600397575827</x:v>
      </x:c>
      <x:c r="K868" s="22" t="n">
        <x:v>0.0771</x:v>
      </x:c>
      <x:c r="L868" t="n">
        <x:v>17</x:v>
      </x:c>
      <x:c r="M868" t="str">
        <x:v>成交</x:v>
      </x:c>
      <x:c r="N868" s="20" t="n">
        <x:v>46078</x:v>
      </x:c>
      <x:c r="O868"/>
    </x:row>
    <x:row r="869" ht="20" customHeight="1">
      <x:c r="A869" t="str">
        <x:v>Q00868</x:v>
      </x:c>
      <x:c r="B869" s="20" t="n">
        <x:v>46071</x:v>
      </x:c>
      <x:c r="C869" t="str">
        <x:v>AUT-013</x:v>
      </x:c>
      <x:c r="D869" t="str">
        <x:v>S01</x:v>
      </x:c>
      <x:c r="E869" t="str">
        <x:v>AUTO-BRK-A</x:v>
      </x:c>
      <x:c r="F869" t="str">
        <x:v>汽車精密零組件</x:v>
      </x:c>
      <x:c r="G869" t="n">
        <x:v>3000</x:v>
      </x:c>
      <x:c r="H869" t="n">
        <x:v>1777.03</x:v>
      </x:c>
      <x:c r="I869" t="n">
        <x:v>1374.72</x:v>
      </x:c>
      <x:c r="J869" s="22" t="n">
        <x:v>0.22639460222956279</x:v>
      </x:c>
      <x:c r="K869" s="22" t="n">
        <x:v>0.0322</x:v>
      </x:c>
      <x:c r="L869" t="n">
        <x:v>19</x:v>
      </x:c>
      <x:c r="M869" t="str">
        <x:v>成交</x:v>
      </x:c>
      <x:c r="N869" s="20" t="n">
        <x:v>46078</x:v>
      </x:c>
      <x:c r="O869"/>
    </x:row>
    <x:row r="870" ht="20" customHeight="1">
      <x:c r="A870" t="str">
        <x:v>Q00869</x:v>
      </x:c>
      <x:c r="B870" s="20" t="n">
        <x:v>46072</x:v>
      </x:c>
      <x:c r="C870" t="str">
        <x:v>EMS-008</x:v>
      </x:c>
      <x:c r="D870" t="str">
        <x:v>S02</x:v>
      </x:c>
      <x:c r="E870" t="str">
        <x:v>PM-ALB-B</x:v>
      </x:c>
      <x:c r="F870" t="str">
        <x:v>精密金屬加工件</x:v>
      </x:c>
      <x:c r="G870" t="n">
        <x:v>800</x:v>
      </x:c>
      <x:c r="H870" t="n">
        <x:v>14778.11</x:v>
      </x:c>
      <x:c r="I870" t="n">
        <x:v>11651.63</x:v>
      </x:c>
      <x:c r="J870" s="22" t="n">
        <x:v>0.21156155963110312</x:v>
      </x:c>
      <x:c r="K870" s="22" t="n">
        <x:v>0.1078</x:v>
      </x:c>
      <x:c r="L870" t="n">
        <x:v>23</x:v>
      </x:c>
      <x:c r="M870" t="str">
        <x:v>未成交</x:v>
      </x:c>
      <x:c r="N870" s="20" t="n">
        <x:v>46079</x:v>
      </x:c>
      <x:c r="O870" t="str">
        <x:v>價格</x:v>
      </x:c>
    </x:row>
    <x:row r="871" ht="20" customHeight="1">
      <x:c r="A871" t="str">
        <x:v>Q00870</x:v>
      </x:c>
      <x:c r="B871" s="20" t="n">
        <x:v>46074</x:v>
      </x:c>
      <x:c r="C871" t="str">
        <x:v>EMS-008</x:v>
      </x:c>
      <x:c r="D871" t="str">
        <x:v>S02</x:v>
      </x:c>
      <x:c r="E871" t="str">
        <x:v>AUTO-MH-B</x:v>
      </x:c>
      <x:c r="F871" t="str">
        <x:v>汽車精密零組件</x:v>
      </x:c>
      <x:c r="G871" t="n">
        <x:v>3000</x:v>
      </x:c>
      <x:c r="H871" t="n">
        <x:v>2776.45</x:v>
      </x:c>
      <x:c r="I871" t="n">
        <x:v>2364.73</x:v>
      </x:c>
      <x:c r="J871" s="22" t="n">
        <x:v>0.14829008265951119</x:v>
      </x:c>
      <x:c r="K871" s="22" t="n">
        <x:v>0.1155</x:v>
      </x:c>
      <x:c r="L871" t="n">
        <x:v>19</x:v>
      </x:c>
      <x:c r="M871" t="str">
        <x:v>未成交</x:v>
      </x:c>
      <x:c r="N871" s="20" t="n">
        <x:v>46081</x:v>
      </x:c>
      <x:c r="O871" t="str">
        <x:v>價格</x:v>
      </x:c>
    </x:row>
    <x:row r="872" ht="20" customHeight="1">
      <x:c r="A872" t="str">
        <x:v>Q00871</x:v>
      </x:c>
      <x:c r="B872" s="20" t="n">
        <x:v>46080</x:v>
      </x:c>
      <x:c r="C872" t="str">
        <x:v>IAT-001</x:v>
      </x:c>
      <x:c r="D872" t="str">
        <x:v>S05</x:v>
      </x:c>
      <x:c r="E872" t="str">
        <x:v>AUTO-BRK-B</x:v>
      </x:c>
      <x:c r="F872" t="str">
        <x:v>汽車精密零組件</x:v>
      </x:c>
      <x:c r="G872" t="n">
        <x:v>10000</x:v>
      </x:c>
      <x:c r="H872" t="n">
        <x:v>2171.47</x:v>
      </x:c>
      <x:c r="I872" t="n">
        <x:v>1646.45</x:v>
      </x:c>
      <x:c r="J872" s="22" t="n">
        <x:v>0.24178091339046812</x:v>
      </x:c>
      <x:c r="K872" s="22" t="n">
        <x:v>0.0508</x:v>
      </x:c>
      <x:c r="L872" t="n">
        <x:v>22</x:v>
      </x:c>
      <x:c r="M872" t="str">
        <x:v>未成交</x:v>
      </x:c>
      <x:c r="N872" s="20" t="n">
        <x:v>46090</x:v>
      </x:c>
      <x:c r="O872" t="str">
        <x:v>價格</x:v>
      </x:c>
    </x:row>
    <x:row r="873" ht="20" customHeight="1">
      <x:c r="A873" t="str">
        <x:v>Q00872</x:v>
      </x:c>
      <x:c r="B873" s="20" t="n">
        <x:v>46065</x:v>
      </x:c>
      <x:c r="C873" t="str">
        <x:v>SEM-007</x:v>
      </x:c>
      <x:c r="D873" t="str">
        <x:v>S03</x:v>
      </x:c>
      <x:c r="E873" t="str">
        <x:v>PM-BRG-B</x:v>
      </x:c>
      <x:c r="F873" t="str">
        <x:v>精密金屬加工件</x:v>
      </x:c>
      <x:c r="G873" t="n">
        <x:v>800</x:v>
      </x:c>
      <x:c r="H873" t="n">
        <x:v>7800.48</x:v>
      </x:c>
      <x:c r="I873" t="n">
        <x:v>5473.33</x:v>
      </x:c>
      <x:c r="J873" s="22" t="n">
        <x:v>0.2983342050745595</x:v>
      </x:c>
      <x:c r="K873" s="22" t="n">
        <x:v>0.0748</x:v>
      </x:c>
      <x:c r="L873" t="n">
        <x:v>20</x:v>
      </x:c>
      <x:c r="M873" t="str">
        <x:v>未成交</x:v>
      </x:c>
      <x:c r="N873" s="20" t="n">
        <x:v>46069</x:v>
      </x:c>
      <x:c r="O873" t="str">
        <x:v>專案取消</x:v>
      </x:c>
    </x:row>
    <x:row r="874" ht="20" customHeight="1">
      <x:c r="A874" t="str">
        <x:v>Q00873</x:v>
      </x:c>
      <x:c r="B874" s="20" t="n">
        <x:v>46076</x:v>
      </x:c>
      <x:c r="C874" t="str">
        <x:v>AFT-007</x:v>
      </x:c>
      <x:c r="D874" t="str">
        <x:v>S04</x:v>
      </x:c>
      <x:c r="E874" t="str">
        <x:v>AUTO-BS-B</x:v>
      </x:c>
      <x:c r="F874" t="str">
        <x:v>汽車精密零組件</x:v>
      </x:c>
      <x:c r="G874" t="n">
        <x:v>7000</x:v>
      </x:c>
      <x:c r="H874" t="n">
        <x:v>899.39</x:v>
      </x:c>
      <x:c r="I874" t="n">
        <x:v>656.51</x:v>
      </x:c>
      <x:c r="J874" s="22" t="n">
        <x:v>0.2700497003524611</x:v>
      </x:c>
      <x:c r="K874" s="22" t="n">
        <x:v>0.0498</x:v>
      </x:c>
      <x:c r="L874" t="n">
        <x:v>11</x:v>
      </x:c>
      <x:c r="M874" t="str">
        <x:v>成交</x:v>
      </x:c>
      <x:c r="N874" s="20" t="n">
        <x:v>46085</x:v>
      </x:c>
      <x:c r="O874"/>
    </x:row>
    <x:row r="875" ht="20" customHeight="1">
      <x:c r="A875" t="str">
        <x:v>Q00874</x:v>
      </x:c>
      <x:c r="B875" s="20" t="n">
        <x:v>46054</x:v>
      </x:c>
      <x:c r="C875" t="str">
        <x:v>IAT-003</x:v>
      </x:c>
      <x:c r="D875" t="str">
        <x:v>S04</x:v>
      </x:c>
      <x:c r="E875" t="str">
        <x:v>SEMI-WH-B</x:v>
      </x:c>
      <x:c r="F875" t="str">
        <x:v>半導體設備零組件</x:v>
      </x:c>
      <x:c r="G875" t="n">
        <x:v>120</x:v>
      </x:c>
      <x:c r="H875" t="n">
        <x:v>169260.39</x:v>
      </x:c>
      <x:c r="I875" t="n">
        <x:v>130220.18</x:v>
      </x:c>
      <x:c r="J875" s="22" t="n">
        <x:v>0.2306517785998249</x:v>
      </x:c>
      <x:c r="K875" s="22" t="n">
        <x:v>0.0598</x:v>
      </x:c>
      <x:c r="L875" t="n">
        <x:v>60</x:v>
      </x:c>
      <x:c r="M875" t="str">
        <x:v>成交</x:v>
      </x:c>
      <x:c r="N875" s="20" t="n">
        <x:v>46065</x:v>
      </x:c>
      <x:c r="O875"/>
    </x:row>
    <x:row r="876" ht="20" customHeight="1">
      <x:c r="A876" t="str">
        <x:v>Q00875</x:v>
      </x:c>
      <x:c r="B876" s="20" t="n">
        <x:v>46065</x:v>
      </x:c>
      <x:c r="C876" t="str">
        <x:v>IAT-008</x:v>
      </x:c>
      <x:c r="D876" t="str">
        <x:v>S01</x:v>
      </x:c>
      <x:c r="E876" t="str">
        <x:v>SEMI-CHB-B</x:v>
      </x:c>
      <x:c r="F876" t="str">
        <x:v>半導體設備零組件</x:v>
      </x:c>
      <x:c r="G876" t="n">
        <x:v>120</x:v>
      </x:c>
      <x:c r="H876" t="n">
        <x:v>123720.26</x:v>
      </x:c>
      <x:c r="I876" t="n">
        <x:v>110274.58</x:v>
      </x:c>
      <x:c r="J876" s="22" t="n">
        <x:v>0.10867807746281809</x:v>
      </x:c>
      <x:c r="K876" s="22" t="n">
        <x:v>0.1517</x:v>
      </x:c>
      <x:c r="L876" t="n">
        <x:v>44</x:v>
      </x:c>
      <x:c r="M876" t="str">
        <x:v>未成交</x:v>
      </x:c>
      <x:c r="N876" s="20" t="n">
        <x:v>46076</x:v>
      </x:c>
      <x:c r="O876" t="str">
        <x:v>專案取消</x:v>
      </x:c>
    </x:row>
    <x:row r="877" ht="20" customHeight="1">
      <x:c r="A877" t="str">
        <x:v>Q00876</x:v>
      </x:c>
      <x:c r="B877" s="20" t="n">
        <x:v>46080</x:v>
      </x:c>
      <x:c r="C877" t="str">
        <x:v>IAT-001</x:v>
      </x:c>
      <x:c r="D877" t="str">
        <x:v>S05</x:v>
      </x:c>
      <x:c r="E877" t="str">
        <x:v>SEMI-CHB-B</x:v>
      </x:c>
      <x:c r="F877" t="str">
        <x:v>半導體設備零組件</x:v>
      </x:c>
      <x:c r="G877" t="n">
        <x:v>80</x:v>
      </x:c>
      <x:c r="H877" t="n">
        <x:v>134633.34</x:v>
      </x:c>
      <x:c r="I877" t="n">
        <x:v>113089.28</x:v>
      </x:c>
      <x:c r="J877" s="22" t="n">
        <x:v>0.16002024461400124</x:v>
      </x:c>
      <x:c r="K877" s="22" t="n">
        <x:v>0.1011</x:v>
      </x:c>
      <x:c r="L877" t="n">
        <x:v>44</x:v>
      </x:c>
      <x:c r="M877" t="str">
        <x:v>成交</x:v>
      </x:c>
      <x:c r="N877" s="20" t="n">
        <x:v>46089</x:v>
      </x:c>
      <x:c r="O877"/>
    </x:row>
    <x:row r="878" ht="20" customHeight="1">
      <x:c r="A878" t="str">
        <x:v>Q00877</x:v>
      </x:c>
      <x:c r="B878" s="20" t="n">
        <x:v>46074</x:v>
      </x:c>
      <x:c r="C878" t="str">
        <x:v>AUT-014</x:v>
      </x:c>
      <x:c r="D878" t="str">
        <x:v>S06</x:v>
      </x:c>
      <x:c r="E878" t="str">
        <x:v>PM-VAC-A</x:v>
      </x:c>
      <x:c r="F878" t="str">
        <x:v>精密金屬加工件</x:v>
      </x:c>
      <x:c r="G878" t="n">
        <x:v>300</x:v>
      </x:c>
      <x:c r="H878" t="n">
        <x:v>16421.32</x:v>
      </x:c>
      <x:c r="I878" t="n">
        <x:v>10496.15</x:v>
      </x:c>
      <x:c r="J878" s="22" t="n">
        <x:v>0.36082178533759773</x:v>
      </x:c>
      <x:c r="K878" s="22" t="n">
        <x:v>0.0121</x:v>
      </x:c>
      <x:c r="L878" t="n">
        <x:v>33</x:v>
      </x:c>
      <x:c r="M878" t="str">
        <x:v>成交</x:v>
      </x:c>
      <x:c r="N878" s="20" t="n">
        <x:v>46079</x:v>
      </x:c>
      <x:c r="O878"/>
    </x:row>
    <x:row r="879" ht="20" customHeight="1">
      <x:c r="A879" t="str">
        <x:v>Q00878</x:v>
      </x:c>
      <x:c r="B879" s="20" t="n">
        <x:v>46077</x:v>
      </x:c>
      <x:c r="C879" t="str">
        <x:v>AUT-013</x:v>
      </x:c>
      <x:c r="D879" t="str">
        <x:v>S01</x:v>
      </x:c>
      <x:c r="E879" t="str">
        <x:v>AUTO-KN-A</x:v>
      </x:c>
      <x:c r="F879" t="str">
        <x:v>汽車精密零組件</x:v>
      </x:c>
      <x:c r="G879" t="n">
        <x:v>7000</x:v>
      </x:c>
      <x:c r="H879" t="n">
        <x:v>2910.03</x:v>
      </x:c>
      <x:c r="I879" t="n">
        <x:v>2265.38</x:v>
      </x:c>
      <x:c r="J879" s="22" t="n">
        <x:v>0.22152692583925254</x:v>
      </x:c>
      <x:c r="K879" s="22" t="n">
        <x:v>0.1314</x:v>
      </x:c>
      <x:c r="L879" t="n">
        <x:v>17</x:v>
      </x:c>
      <x:c r="M879" t="str">
        <x:v>成交</x:v>
      </x:c>
      <x:c r="N879" s="20" t="n">
        <x:v>46080</x:v>
      </x:c>
      <x:c r="O879"/>
    </x:row>
    <x:row r="880" ht="20" customHeight="1">
      <x:c r="A880" t="str">
        <x:v>Q00879</x:v>
      </x:c>
      <x:c r="B880" s="20" t="n">
        <x:v>46069</x:v>
      </x:c>
      <x:c r="C880" t="str">
        <x:v>SEM-007</x:v>
      </x:c>
      <x:c r="D880" t="str">
        <x:v>S03</x:v>
      </x:c>
      <x:c r="E880" t="str">
        <x:v>MECH-STG-B</x:v>
      </x:c>
      <x:c r="F880" t="str">
        <x:v>機電／自動化模組</x:v>
      </x:c>
      <x:c r="G880" t="n">
        <x:v>20</x:v>
      </x:c>
      <x:c r="H880" t="n">
        <x:v>186514.56</x:v>
      </x:c>
      <x:c r="I880" t="n">
        <x:v>146657.24</x:v>
      </x:c>
      <x:c r="J880" s="22" t="n">
        <x:v>0.21369548843800723</x:v>
      </x:c>
      <x:c r="K880" s="22" t="n">
        <x:v>0.106</x:v>
      </x:c>
      <x:c r="L880" t="n">
        <x:v>49</x:v>
      </x:c>
      <x:c r="M880" t="str">
        <x:v>未成交</x:v>
      </x:c>
      <x:c r="N880" s="20" t="n">
        <x:v>46072</x:v>
      </x:c>
      <x:c r="O880" t="str">
        <x:v>規格</x:v>
      </x:c>
    </x:row>
    <x:row r="881" ht="20" customHeight="1">
      <x:c r="A881" t="str">
        <x:v>Q00880</x:v>
      </x:c>
      <x:c r="B881" s="20" t="n">
        <x:v>46063</x:v>
      </x:c>
      <x:c r="C881" t="str">
        <x:v>EMS-005</x:v>
      </x:c>
      <x:c r="D881" t="str">
        <x:v>S01</x:v>
      </x:c>
      <x:c r="E881" t="str">
        <x:v>PM-BRG-B</x:v>
      </x:c>
      <x:c r="F881" t="str">
        <x:v>精密金屬加工件</x:v>
      </x:c>
      <x:c r="G881" t="n">
        <x:v>800</x:v>
      </x:c>
      <x:c r="H881" t="n">
        <x:v>7955.72</x:v>
      </x:c>
      <x:c r="I881" t="n">
        <x:v>5304.78</x:v>
      </x:c>
      <x:c r="J881" s="22" t="n">
        <x:v>0.33321182746501893</x:v>
      </x:c>
      <x:c r="K881" s="22" t="n">
        <x:v>0.0494</x:v>
      </x:c>
      <x:c r="L881" t="n">
        <x:v>22</x:v>
      </x:c>
      <x:c r="M881" t="str">
        <x:v>成交</x:v>
      </x:c>
      <x:c r="N881" s="20" t="n">
        <x:v>46074</x:v>
      </x:c>
      <x:c r="O881"/>
    </x:row>
    <x:row r="882" ht="20" customHeight="1">
      <x:c r="A882" t="str">
        <x:v>Q00881</x:v>
      </x:c>
      <x:c r="B882" s="20" t="n">
        <x:v>46054</x:v>
      </x:c>
      <x:c r="C882" t="str">
        <x:v>AUT-012</x:v>
      </x:c>
      <x:c r="D882" t="str">
        <x:v>S06</x:v>
      </x:c>
      <x:c r="E882" t="str">
        <x:v>AUTO-KN-A</x:v>
      </x:c>
      <x:c r="F882" t="str">
        <x:v>汽車精密零組件</x:v>
      </x:c>
      <x:c r="G882" t="n">
        <x:v>3000</x:v>
      </x:c>
      <x:c r="H882" t="n">
        <x:v>3049.42</x:v>
      </x:c>
      <x:c r="I882" t="n">
        <x:v>2268.93</x:v>
      </x:c>
      <x:c r="J882" s="22" t="n">
        <x:v>0.2559470325504523</x:v>
      </x:c>
      <x:c r="K882" s="22" t="n">
        <x:v>0.0912</x:v>
      </x:c>
      <x:c r="L882" t="n">
        <x:v>22</x:v>
      </x:c>
      <x:c r="M882" t="str">
        <x:v>成交</x:v>
      </x:c>
      <x:c r="N882" s="20" t="n">
        <x:v>46061</x:v>
      </x:c>
      <x:c r="O882"/>
    </x:row>
    <x:row r="883" ht="20" customHeight="1">
      <x:c r="A883" t="str">
        <x:v>Q00882</x:v>
      </x:c>
      <x:c r="B883" s="20" t="n">
        <x:v>46064</x:v>
      </x:c>
      <x:c r="C883" t="str">
        <x:v>IAT-009</x:v>
      </x:c>
      <x:c r="D883" t="str">
        <x:v>S04</x:v>
      </x:c>
      <x:c r="E883" t="str">
        <x:v>MECH-STG-A</x:v>
      </x:c>
      <x:c r="F883" t="str">
        <x:v>機電／自動化模組</x:v>
      </x:c>
      <x:c r="G883" t="n">
        <x:v>10</x:v>
      </x:c>
      <x:c r="H883" t="n">
        <x:v>133713.72</x:v>
      </x:c>
      <x:c r="I883" t="n">
        <x:v>102104.96</x:v>
      </x:c>
      <x:c r="J883" s="22" t="n">
        <x:v>0.23639129926233443</x:v>
      </x:c>
      <x:c r="K883" s="22" t="n">
        <x:v>0.0755</x:v>
      </x:c>
      <x:c r="L883" t="n">
        <x:v>34</x:v>
      </x:c>
      <x:c r="M883" t="str">
        <x:v>成交</x:v>
      </x:c>
      <x:c r="N883" s="20" t="n">
        <x:v>46076</x:v>
      </x:c>
      <x:c r="O883"/>
    </x:row>
    <x:row r="884" ht="20" customHeight="1">
      <x:c r="A884" t="str">
        <x:v>Q00883</x:v>
      </x:c>
      <x:c r="B884" s="20" t="n">
        <x:v>46081</x:v>
      </x:c>
      <x:c r="C884" t="str">
        <x:v>AFT-001</x:v>
      </x:c>
      <x:c r="D884" t="str">
        <x:v>S05</x:v>
      </x:c>
      <x:c r="E884" t="str">
        <x:v>PM-VAC-B</x:v>
      </x:c>
      <x:c r="F884" t="str">
        <x:v>精密金屬加工件</x:v>
      </x:c>
      <x:c r="G884" t="n">
        <x:v>300</x:v>
      </x:c>
      <x:c r="H884" t="n">
        <x:v>21714.65</x:v>
      </x:c>
      <x:c r="I884" t="n">
        <x:v>15658.31</x:v>
      </x:c>
      <x:c r="J884" s="22" t="n">
        <x:v>0.27890571572647965</x:v>
      </x:c>
      <x:c r="K884" s="22" t="n">
        <x:v>0.0621</x:v>
      </x:c>
      <x:c r="L884" t="n">
        <x:v>28</x:v>
      </x:c>
      <x:c r="M884" t="str">
        <x:v>未成交</x:v>
      </x:c>
      <x:c r="N884" s="20" t="n">
        <x:v>46085</x:v>
      </x:c>
      <x:c r="O884" t="str">
        <x:v>專案取消</x:v>
      </x:c>
    </x:row>
    <x:row r="885" ht="20" customHeight="1">
      <x:c r="A885" t="str">
        <x:v>Q00884</x:v>
      </x:c>
      <x:c r="B885" s="20" t="n">
        <x:v>46055</x:v>
      </x:c>
      <x:c r="C885" t="str">
        <x:v>SEM-002</x:v>
      </x:c>
      <x:c r="D885" t="str">
        <x:v>S02</x:v>
      </x:c>
      <x:c r="E885" t="str">
        <x:v>MECH-CON-A</x:v>
      </x:c>
      <x:c r="F885" t="str">
        <x:v>機電／自動化模組</x:v>
      </x:c>
      <x:c r="G885" t="n">
        <x:v>30</x:v>
      </x:c>
      <x:c r="H885" t="n">
        <x:v>114958.05</x:v>
      </x:c>
      <x:c r="I885" t="n">
        <x:v>84127.1</x:v>
      </x:c>
      <x:c r="J885" s="22" t="n">
        <x:v>0.26819304955155376</x:v>
      </x:c>
      <x:c r="K885" s="22" t="n">
        <x:v>0.0169</x:v>
      </x:c>
      <x:c r="L885" t="n">
        <x:v>30</x:v>
      </x:c>
      <x:c r="M885" t="str">
        <x:v>未成交</x:v>
      </x:c>
      <x:c r="N885" s="20" t="n">
        <x:v>46066</x:v>
      </x:c>
      <x:c r="O885" t="str">
        <x:v>價格</x:v>
      </x:c>
    </x:row>
    <x:row r="886" ht="20" customHeight="1">
      <x:c r="A886" t="str">
        <x:v>Q00885</x:v>
      </x:c>
      <x:c r="B886" s="20" t="n">
        <x:v>46069</x:v>
      </x:c>
      <x:c r="C886" t="str">
        <x:v>IAT-007</x:v>
      </x:c>
      <x:c r="D886" t="str">
        <x:v>S04</x:v>
      </x:c>
      <x:c r="E886" t="str">
        <x:v>AUTO-BS-B</x:v>
      </x:c>
      <x:c r="F886" t="str">
        <x:v>汽車精密零組件</x:v>
      </x:c>
      <x:c r="G886" t="n">
        <x:v>10000</x:v>
      </x:c>
      <x:c r="H886" t="n">
        <x:v>923.45</x:v>
      </x:c>
      <x:c r="I886" t="n">
        <x:v>642.51</x:v>
      </x:c>
      <x:c r="J886" s="22" t="n">
        <x:v>0.30422870756402626</x:v>
      </x:c>
      <x:c r="K886" s="22" t="n">
        <x:v>0.0265</x:v>
      </x:c>
      <x:c r="L886" t="n">
        <x:v>11</x:v>
      </x:c>
      <x:c r="M886" t="str">
        <x:v>成交</x:v>
      </x:c>
      <x:c r="N886" s="20" t="n">
        <x:v>46076</x:v>
      </x:c>
      <x:c r="O886"/>
    </x:row>
    <x:row r="887" ht="20" customHeight="1">
      <x:c r="A887" t="str">
        <x:v>Q00886</x:v>
      </x:c>
      <x:c r="B887" s="20" t="n">
        <x:v>46078</x:v>
      </x:c>
      <x:c r="C887" t="str">
        <x:v>IAT-007</x:v>
      </x:c>
      <x:c r="D887" t="str">
        <x:v>S04</x:v>
      </x:c>
      <x:c r="E887" t="str">
        <x:v>MECH-CON-B</x:v>
      </x:c>
      <x:c r="F887" t="str">
        <x:v>機電／自動化模組</x:v>
      </x:c>
      <x:c r="G887" t="n">
        <x:v>20</x:v>
      </x:c>
      <x:c r="H887" t="n">
        <x:v>154481.88</x:v>
      </x:c>
      <x:c r="I887" t="n">
        <x:v>115920.24</x:v>
      </x:c>
      <x:c r="J887" s="22" t="n">
        <x:v>0.24961917863764993</x:v>
      </x:c>
      <x:c r="K887" s="22" t="n">
        <x:v>0.0525</x:v>
      </x:c>
      <x:c r="L887" t="n">
        <x:v>34</x:v>
      </x:c>
      <x:c r="M887" t="str">
        <x:v>成交</x:v>
      </x:c>
      <x:c r="N887" s="20" t="n">
        <x:v>46085</x:v>
      </x:c>
      <x:c r="O887"/>
    </x:row>
    <x:row r="888" ht="20" customHeight="1">
      <x:c r="A888" t="str">
        <x:v>Q00887</x:v>
      </x:c>
      <x:c r="B888" s="20" t="n">
        <x:v>46069</x:v>
      </x:c>
      <x:c r="C888" t="str">
        <x:v>AUT-001</x:v>
      </x:c>
      <x:c r="D888" t="str">
        <x:v>S01</x:v>
      </x:c>
      <x:c r="E888" t="str">
        <x:v>AUTO-MH-A</x:v>
      </x:c>
      <x:c r="F888" t="str">
        <x:v>汽車精密零組件</x:v>
      </x:c>
      <x:c r="G888" t="n">
        <x:v>13000</x:v>
      </x:c>
      <x:c r="H888" t="n">
        <x:v>2443.32</x:v>
      </x:c>
      <x:c r="I888" t="n">
        <x:v>1953.21</x:v>
      </x:c>
      <x:c r="J888" s="22" t="n">
        <x:v>0.2005918176906832</x:v>
      </x:c>
      <x:c r="K888" s="22" t="n">
        <x:v>0.0782</x:v>
      </x:c>
      <x:c r="L888" t="n">
        <x:v>17</x:v>
      </x:c>
      <x:c r="M888" t="str">
        <x:v>成交</x:v>
      </x:c>
      <x:c r="N888" s="20" t="n">
        <x:v>46072</x:v>
      </x:c>
      <x:c r="O888"/>
    </x:row>
    <x:row r="889" ht="20" customHeight="1">
      <x:c r="A889" t="str">
        <x:v>Q00888</x:v>
      </x:c>
      <x:c r="B889" s="20" t="n">
        <x:v>46060</x:v>
      </x:c>
      <x:c r="C889" t="str">
        <x:v>IAT-003</x:v>
      </x:c>
      <x:c r="D889" t="str">
        <x:v>S04</x:v>
      </x:c>
      <x:c r="E889" t="str">
        <x:v>PM-BRG-B</x:v>
      </x:c>
      <x:c r="F889" t="str">
        <x:v>精密金屬加工件</x:v>
      </x:c>
      <x:c r="G889" t="n">
        <x:v>500</x:v>
      </x:c>
      <x:c r="H889" t="n">
        <x:v>7755.62</x:v>
      </x:c>
      <x:c r="I889" t="n">
        <x:v>5423.01</x:v>
      </x:c>
      <x:c r="J889" s="22" t="n">
        <x:v>0.3007638331945092</x:v>
      </x:c>
      <x:c r="K889" s="22" t="n">
        <x:v>0.0712</x:v>
      </x:c>
      <x:c r="L889" t="n">
        <x:v>23</x:v>
      </x:c>
      <x:c r="M889" t="str">
        <x:v>成交</x:v>
      </x:c>
      <x:c r="N889" s="20" t="n">
        <x:v>46065</x:v>
      </x:c>
      <x:c r="O889"/>
    </x:row>
    <x:row r="890" ht="20" customHeight="1">
      <x:c r="A890" t="str">
        <x:v>Q00889</x:v>
      </x:c>
      <x:c r="B890" s="20" t="n">
        <x:v>46055</x:v>
      </x:c>
      <x:c r="C890" t="str">
        <x:v>SEM-006</x:v>
      </x:c>
      <x:c r="D890" t="str">
        <x:v>S06</x:v>
      </x:c>
      <x:c r="E890" t="str">
        <x:v>PM-VAC-A</x:v>
      </x:c>
      <x:c r="F890" t="str">
        <x:v>精密金屬加工件</x:v>
      </x:c>
      <x:c r="G890" t="n">
        <x:v>500</x:v>
      </x:c>
      <x:c r="H890" t="n">
        <x:v>16624.05</x:v>
      </x:c>
      <x:c r="I890" t="n">
        <x:v>10651.06</x:v>
      </x:c>
      <x:c r="J890" s="22" t="n">
        <x:v>0.3592981253064085</x:v>
      </x:c>
      <x:c r="K890" s="22" t="n">
        <x:v>0.0252</x:v>
      </x:c>
      <x:c r="L890" t="n">
        <x:v>31</x:v>
      </x:c>
      <x:c r="M890" t="str">
        <x:v>未成交</x:v>
      </x:c>
      <x:c r="N890" s="20" t="n">
        <x:v>46058</x:v>
      </x:c>
      <x:c r="O890" t="str">
        <x:v>規格</x:v>
      </x:c>
    </x:row>
    <x:row r="891" ht="20" customHeight="1">
      <x:c r="A891" t="str">
        <x:v>Q00890</x:v>
      </x:c>
      <x:c r="B891" s="20" t="n">
        <x:v>46067</x:v>
      </x:c>
      <x:c r="C891" t="str">
        <x:v>AUT-014</x:v>
      </x:c>
      <x:c r="D891" t="str">
        <x:v>S06</x:v>
      </x:c>
      <x:c r="E891" t="str">
        <x:v>MECH-CON-B</x:v>
      </x:c>
      <x:c r="F891" t="str">
        <x:v>機電／自動化模組</x:v>
      </x:c>
      <x:c r="G891" t="n">
        <x:v>40</x:v>
      </x:c>
      <x:c r="H891" t="n">
        <x:v>159749.72</x:v>
      </x:c>
      <x:c r="I891" t="n">
        <x:v>118059.7</x:v>
      </x:c>
      <x:c r="J891" s="22" t="n">
        <x:v>0.2609708486500008</x:v>
      </x:c>
      <x:c r="K891" s="22" t="n">
        <x:v>0.0398</x:v>
      </x:c>
      <x:c r="L891" t="n">
        <x:v>45</x:v>
      </x:c>
      <x:c r="M891" t="str">
        <x:v>未成交</x:v>
      </x:c>
      <x:c r="N891" s="20" t="n">
        <x:v>46072</x:v>
      </x:c>
      <x:c r="O891" t="str">
        <x:v>規格</x:v>
      </x:c>
    </x:row>
    <x:row r="892" ht="20" customHeight="1">
      <x:c r="A892" t="str">
        <x:v>Q00891</x:v>
      </x:c>
      <x:c r="B892" s="20" t="n">
        <x:v>46072</x:v>
      </x:c>
      <x:c r="C892" t="str">
        <x:v>AUT-010</x:v>
      </x:c>
      <x:c r="D892" t="str">
        <x:v>S05</x:v>
      </x:c>
      <x:c r="E892" t="str">
        <x:v>AUTO-FL-B</x:v>
      </x:c>
      <x:c r="F892" t="str">
        <x:v>汽車精密零組件</x:v>
      </x:c>
      <x:c r="G892" t="n">
        <x:v>13000</x:v>
      </x:c>
      <x:c r="H892" t="n">
        <x:v>1380.86</x:v>
      </x:c>
      <x:c r="I892" t="n">
        <x:v>1203.28</x:v>
      </x:c>
      <x:c r="J892" s="22" t="n">
        <x:v>0.12860101675767271</x:v>
      </x:c>
      <x:c r="K892" s="22" t="n">
        <x:v>0.1601</x:v>
      </x:c>
      <x:c r="L892" t="n">
        <x:v>18</x:v>
      </x:c>
      <x:c r="M892" t="str">
        <x:v>未成交</x:v>
      </x:c>
      <x:c r="N892" s="20" t="n">
        <x:v>46075</x:v>
      </x:c>
      <x:c r="O892" t="str">
        <x:v>規格</x:v>
      </x:c>
    </x:row>
    <x:row r="893" ht="20" customHeight="1">
      <x:c r="A893" t="str">
        <x:v>Q00892</x:v>
      </x:c>
      <x:c r="B893" s="20" t="n">
        <x:v>46074</x:v>
      </x:c>
      <x:c r="C893" t="str">
        <x:v>AFT-008</x:v>
      </x:c>
      <x:c r="D893" t="str">
        <x:v>S04</x:v>
      </x:c>
      <x:c r="E893" t="str">
        <x:v>AUTO-FL-A</x:v>
      </x:c>
      <x:c r="F893" t="str">
        <x:v>汽車精密零組件</x:v>
      </x:c>
      <x:c r="G893" t="n">
        <x:v>5000</x:v>
      </x:c>
      <x:c r="H893" t="n">
        <x:v>1294.75</x:v>
      </x:c>
      <x:c r="I893" t="n">
        <x:v>976.59</x:v>
      </x:c>
      <x:c r="J893" s="22" t="n">
        <x:v>0.2457308360687391</x:v>
      </x:c>
      <x:c r="K893" s="22" t="n">
        <x:v>0.0651</x:v>
      </x:c>
      <x:c r="L893" t="n">
        <x:v>17</x:v>
      </x:c>
      <x:c r="M893" t="str">
        <x:v>成交</x:v>
      </x:c>
      <x:c r="N893" s="20" t="n">
        <x:v>46080</x:v>
      </x:c>
      <x:c r="O893"/>
    </x:row>
    <x:row r="894" ht="20" customHeight="1">
      <x:c r="A894" t="str">
        <x:v>Q00893</x:v>
      </x:c>
      <x:c r="B894" s="20" t="n">
        <x:v>46072</x:v>
      </x:c>
      <x:c r="C894" t="str">
        <x:v>AFT-001</x:v>
      </x:c>
      <x:c r="D894" t="str">
        <x:v>S05</x:v>
      </x:c>
      <x:c r="E894" t="str">
        <x:v>AUTO-MH-A</x:v>
      </x:c>
      <x:c r="F894" t="str">
        <x:v>汽車精密零組件</x:v>
      </x:c>
      <x:c r="G894" t="n">
        <x:v>5000</x:v>
      </x:c>
      <x:c r="H894" t="n">
        <x:v>2483.09</x:v>
      </x:c>
      <x:c r="I894" t="n">
        <x:v>1939.51</x:v>
      </x:c>
      <x:c r="J894" s="22" t="n">
        <x:v>0.21891272567647574</x:v>
      </x:c>
      <x:c r="K894" s="22" t="n">
        <x:v>0.0841</x:v>
      </x:c>
      <x:c r="L894" t="n">
        <x:v>16</x:v>
      </x:c>
      <x:c r="M894" t="str">
        <x:v>成交</x:v>
      </x:c>
      <x:c r="N894" s="20" t="n">
        <x:v>46077</x:v>
      </x:c>
      <x:c r="O894"/>
    </x:row>
    <x:row r="895" ht="20" customHeight="1">
      <x:c r="A895" t="str">
        <x:v>Q00894</x:v>
      </x:c>
      <x:c r="B895" s="20" t="n">
        <x:v>46078</x:v>
      </x:c>
      <x:c r="C895" t="str">
        <x:v>AFT-002</x:v>
      </x:c>
      <x:c r="D895" t="str">
        <x:v>S04</x:v>
      </x:c>
      <x:c r="E895" t="str">
        <x:v>AUTO-MH-B</x:v>
      </x:c>
      <x:c r="F895" t="str">
        <x:v>汽車精密零組件</x:v>
      </x:c>
      <x:c r="G895" t="n">
        <x:v>10000</x:v>
      </x:c>
      <x:c r="H895" t="n">
        <x:v>3091.97</x:v>
      </x:c>
      <x:c r="I895" t="n">
        <x:v>2278.65</x:v>
      </x:c>
      <x:c r="J895" s="22" t="n">
        <x:v>0.2630426556531919</x:v>
      </x:c>
      <x:c r="K895" s="22" t="n">
        <x:v>0.0335</x:v>
      </x:c>
      <x:c r="L895" t="n">
        <x:v>24</x:v>
      </x:c>
      <x:c r="M895" t="str">
        <x:v>成交</x:v>
      </x:c>
      <x:c r="N895" s="20" t="n">
        <x:v>46088</x:v>
      </x:c>
      <x:c r="O895"/>
    </x:row>
    <x:row r="896" ht="20" customHeight="1">
      <x:c r="A896" t="str">
        <x:v>Q00895</x:v>
      </x:c>
      <x:c r="B896" s="20" t="n">
        <x:v>46056</x:v>
      </x:c>
      <x:c r="C896" t="str">
        <x:v>IAT-007</x:v>
      </x:c>
      <x:c r="D896" t="str">
        <x:v>S04</x:v>
      </x:c>
      <x:c r="E896" t="str">
        <x:v>AUTO-BS-B</x:v>
      </x:c>
      <x:c r="F896" t="str">
        <x:v>汽車精密零組件</x:v>
      </x:c>
      <x:c r="G896" t="n">
        <x:v>7000</x:v>
      </x:c>
      <x:c r="H896" t="n">
        <x:v>843.17</x:v>
      </x:c>
      <x:c r="I896" t="n">
        <x:v>647.48</x:v>
      </x:c>
      <x:c r="J896" s="22" t="n">
        <x:v>0.23208842819360265</x:v>
      </x:c>
      <x:c r="K896" s="22" t="n">
        <x:v>0.1364</x:v>
      </x:c>
      <x:c r="L896" t="n">
        <x:v>15</x:v>
      </x:c>
      <x:c r="M896" t="str">
        <x:v>未成交</x:v>
      </x:c>
      <x:c r="N896" s="20" t="n">
        <x:v>46067</x:v>
      </x:c>
      <x:c r="O896" t="str">
        <x:v>交期</x:v>
      </x:c>
    </x:row>
    <x:row r="897" ht="20" customHeight="1">
      <x:c r="A897" t="str">
        <x:v>Q00896</x:v>
      </x:c>
      <x:c r="B897" s="20" t="n">
        <x:v>46075</x:v>
      </x:c>
      <x:c r="C897" t="str">
        <x:v>IAT-007</x:v>
      </x:c>
      <x:c r="D897" t="str">
        <x:v>S04</x:v>
      </x:c>
      <x:c r="E897" t="str">
        <x:v>MECH-STG-A</x:v>
      </x:c>
      <x:c r="F897" t="str">
        <x:v>機電／自動化模組</x:v>
      </x:c>
      <x:c r="G897" t="n">
        <x:v>10</x:v>
      </x:c>
      <x:c r="H897" t="n">
        <x:v>135521.94</x:v>
      </x:c>
      <x:c r="I897" t="n">
        <x:v>103982.39</x:v>
      </x:c>
      <x:c r="J897" s="22" t="n">
        <x:v>0.2327265238381328</x:v>
      </x:c>
      <x:c r="K897" s="22" t="n">
        <x:v>0.0517</x:v>
      </x:c>
      <x:c r="L897" t="n">
        <x:v>30</x:v>
      </x:c>
      <x:c r="M897" t="str">
        <x:v>未成交</x:v>
      </x:c>
      <x:c r="N897" s="20" t="n">
        <x:v>46086</x:v>
      </x:c>
      <x:c r="O897" t="str">
        <x:v>交期</x:v>
      </x:c>
    </x:row>
    <x:row r="898" ht="20" customHeight="1">
      <x:c r="A898" t="str">
        <x:v>Q00897</x:v>
      </x:c>
      <x:c r="B898" s="20" t="n">
        <x:v>46081</x:v>
      </x:c>
      <x:c r="C898" t="str">
        <x:v>IAT-009</x:v>
      </x:c>
      <x:c r="D898" t="str">
        <x:v>S04</x:v>
      </x:c>
      <x:c r="E898" t="str">
        <x:v>MECH-CON-A</x:v>
      </x:c>
      <x:c r="F898" t="str">
        <x:v>機電／自動化模組</x:v>
      </x:c>
      <x:c r="G898" t="n">
        <x:v>30</x:v>
      </x:c>
      <x:c r="H898" t="n">
        <x:v>104612.62</x:v>
      </x:c>
      <x:c r="I898" t="n">
        <x:v>85298.68</x:v>
      </x:c>
      <x:c r="J898" s="22" t="n">
        <x:v>0.18462342306310656</x:v>
      </x:c>
      <x:c r="K898" s="22" t="n">
        <x:v>0.1252</x:v>
      </x:c>
      <x:c r="L898" t="n">
        <x:v>32</x:v>
      </x:c>
      <x:c r="M898" t="str">
        <x:v>成交</x:v>
      </x:c>
      <x:c r="N898" s="20" t="n">
        <x:v>46090</x:v>
      </x:c>
      <x:c r="O898"/>
    </x:row>
    <x:row r="899" ht="20" customHeight="1">
      <x:c r="A899" t="str">
        <x:v>Q00898</x:v>
      </x:c>
      <x:c r="B899" s="20" t="n">
        <x:v>46061</x:v>
      </x:c>
      <x:c r="C899" t="str">
        <x:v>AUT-006</x:v>
      </x:c>
      <x:c r="D899" t="str">
        <x:v>S03</x:v>
      </x:c>
      <x:c r="E899" t="str">
        <x:v>PM-VAC-A</x:v>
      </x:c>
      <x:c r="F899" t="str">
        <x:v>精密金屬加工件</x:v>
      </x:c>
      <x:c r="G899" t="n">
        <x:v>300</x:v>
      </x:c>
      <x:c r="H899" t="n">
        <x:v>16453.49</x:v>
      </x:c>
      <x:c r="I899" t="n">
        <x:v>10722.76</x:v>
      </x:c>
      <x:c r="J899" s="22" t="n">
        <x:v>0.3482987499916432</x:v>
      </x:c>
      <x:c r="K899" s="22" t="n">
        <x:v>0.0347</x:v>
      </x:c>
      <x:c r="L899" t="n">
        <x:v>21</x:v>
      </x:c>
      <x:c r="M899" t="str">
        <x:v>成交</x:v>
      </x:c>
      <x:c r="N899" s="20" t="n">
        <x:v>46066</x:v>
      </x:c>
      <x:c r="O899"/>
    </x:row>
    <x:row r="900" ht="20" customHeight="1">
      <x:c r="A900" t="str">
        <x:v>Q00899</x:v>
      </x:c>
      <x:c r="B900" s="20" t="n">
        <x:v>46112</x:v>
      </x:c>
      <x:c r="C900" t="str">
        <x:v>IAT-006</x:v>
      </x:c>
      <x:c r="D900" t="str">
        <x:v>S01</x:v>
      </x:c>
      <x:c r="E900" t="str">
        <x:v>PM-SUS-B</x:v>
      </x:c>
      <x:c r="F900" t="str">
        <x:v>精密金屬加工件</x:v>
      </x:c>
      <x:c r="G900" t="n">
        <x:v>1600</x:v>
      </x:c>
      <x:c r="H900" t="n">
        <x:v>15403.5</x:v>
      </x:c>
      <x:c r="I900" t="n">
        <x:v>11209.33</x:v>
      </x:c>
      <x:c r="J900" s="22" t="n">
        <x:v>0.2722868179309897</x:v>
      </x:c>
      <x:c r="K900" s="22" t="n">
        <x:v>0.0386</x:v>
      </x:c>
      <x:c r="L900" t="n">
        <x:v>26</x:v>
      </x:c>
      <x:c r="M900" t="str">
        <x:v>成交</x:v>
      </x:c>
      <x:c r="N900" s="20" t="n">
        <x:v>46118</x:v>
      </x:c>
      <x:c r="O900"/>
    </x:row>
    <x:row r="901" ht="20" customHeight="1">
      <x:c r="A901" t="str">
        <x:v>Q00900</x:v>
      </x:c>
      <x:c r="B901" s="20" t="n">
        <x:v>46087</x:v>
      </x:c>
      <x:c r="C901" t="str">
        <x:v>SEM-004</x:v>
      </x:c>
      <x:c r="D901" t="str">
        <x:v>S02</x:v>
      </x:c>
      <x:c r="E901" t="str">
        <x:v>SEMI-CHB-A</x:v>
      </x:c>
      <x:c r="F901" t="str">
        <x:v>半導體設備零組件</x:v>
      </x:c>
      <x:c r="G901" t="n">
        <x:v>60</x:v>
      </x:c>
      <x:c r="H901" t="n">
        <x:v>94980.73</x:v>
      </x:c>
      <x:c r="I901" t="n">
        <x:v>69310.71</x:v>
      </x:c>
      <x:c r="J901" s="22" t="n">
        <x:v>0.2702655580768856</x:v>
      </x:c>
      <x:c r="K901" s="22" t="n">
        <x:v>0.0401</x:v>
      </x:c>
      <x:c r="L901" t="n">
        <x:v>33</x:v>
      </x:c>
      <x:c r="M901" t="str">
        <x:v>未成交</x:v>
      </x:c>
      <x:c r="N901" s="20" t="n">
        <x:v>46092</x:v>
      </x:c>
      <x:c r="O901" t="str">
        <x:v>競品</x:v>
      </x:c>
    </x:row>
    <x:row r="902" ht="20" customHeight="1">
      <x:c r="A902" t="str">
        <x:v>Q00901</x:v>
      </x:c>
      <x:c r="B902" s="20" t="n">
        <x:v>46102</x:v>
      </x:c>
      <x:c r="C902" t="str">
        <x:v>AUT-005</x:v>
      </x:c>
      <x:c r="D902" t="str">
        <x:v>S04</x:v>
      </x:c>
      <x:c r="E902" t="str">
        <x:v>AUTO-BRK-A</x:v>
      </x:c>
      <x:c r="F902" t="str">
        <x:v>汽車精密零組件</x:v>
      </x:c>
      <x:c r="G902" t="n">
        <x:v>13000</x:v>
      </x:c>
      <x:c r="H902" t="n">
        <x:v>1810.82</x:v>
      </x:c>
      <x:c r="I902" t="n">
        <x:v>1379.06</x:v>
      </x:c>
      <x:c r="J902" s="22" t="n">
        <x:v>0.23843341690504855</x:v>
      </x:c>
      <x:c r="K902" s="22" t="n">
        <x:v>0.0386</x:v>
      </x:c>
      <x:c r="L902" t="n">
        <x:v>15</x:v>
      </x:c>
      <x:c r="M902" t="str">
        <x:v>未成交</x:v>
      </x:c>
      <x:c r="N902" s="20" t="n">
        <x:v>46110</x:v>
      </x:c>
      <x:c r="O902" t="str">
        <x:v>規格</x:v>
      </x:c>
    </x:row>
    <x:row r="903" ht="20" customHeight="1">
      <x:c r="A903" t="str">
        <x:v>Q00902</x:v>
      </x:c>
      <x:c r="B903" s="20" t="n">
        <x:v>46095</x:v>
      </x:c>
      <x:c r="C903" t="str">
        <x:v>IAT-004</x:v>
      </x:c>
      <x:c r="D903" t="str">
        <x:v>S05</x:v>
      </x:c>
      <x:c r="E903" t="str">
        <x:v>SEMI-CHB-A</x:v>
      </x:c>
      <x:c r="F903" t="str">
        <x:v>半導體設備零組件</x:v>
      </x:c>
      <x:c r="G903" t="n">
        <x:v>80</x:v>
      </x:c>
      <x:c r="H903" t="n">
        <x:v>92877.4</x:v>
      </x:c>
      <x:c r="I903" t="n">
        <x:v>69090.2</x:v>
      </x:c>
      <x:c r="J903" s="22" t="n">
        <x:v>0.25611397390538493</x:v>
      </x:c>
      <x:c r="K903" s="22" t="n">
        <x:v>0.0567</x:v>
      </x:c>
      <x:c r="L903" t="n">
        <x:v>50</x:v>
      </x:c>
      <x:c r="M903" t="str">
        <x:v>成交</x:v>
      </x:c>
      <x:c r="N903" s="20" t="n">
        <x:v>46103</x:v>
      </x:c>
      <x:c r="O903"/>
    </x:row>
    <x:row r="904" ht="20" customHeight="1">
      <x:c r="A904" t="str">
        <x:v>Q00903</x:v>
      </x:c>
      <x:c r="B904" s="20" t="n">
        <x:v>46102</x:v>
      </x:c>
      <x:c r="C904" t="str">
        <x:v>IAT-003</x:v>
      </x:c>
      <x:c r="D904" t="str">
        <x:v>S04</x:v>
      </x:c>
      <x:c r="E904" t="str">
        <x:v>AUTO-MH-A</x:v>
      </x:c>
      <x:c r="F904" t="str">
        <x:v>汽車精密零組件</x:v>
      </x:c>
      <x:c r="G904" t="n">
        <x:v>13000</x:v>
      </x:c>
      <x:c r="H904" t="n">
        <x:v>2426.08</x:v>
      </x:c>
      <x:c r="I904" t="n">
        <x:v>2046.69</x:v>
      </x:c>
      <x:c r="J904" s="22" t="n">
        <x:v>0.1563798390819758</x:v>
      </x:c>
      <x:c r="K904" s="22" t="n">
        <x:v>0.0983</x:v>
      </x:c>
      <x:c r="L904" t="n">
        <x:v>20</x:v>
      </x:c>
      <x:c r="M904" t="str">
        <x:v>未成交</x:v>
      </x:c>
      <x:c r="N904" s="20" t="n">
        <x:v>46108</x:v>
      </x:c>
      <x:c r="O904" t="str">
        <x:v>競品</x:v>
      </x:c>
    </x:row>
    <x:row r="905" ht="20" customHeight="1">
      <x:c r="A905" t="str">
        <x:v>Q00904</x:v>
      </x:c>
      <x:c r="B905" s="20" t="n">
        <x:v>46095</x:v>
      </x:c>
      <x:c r="C905" t="str">
        <x:v>SEM-008</x:v>
      </x:c>
      <x:c r="D905" t="str">
        <x:v>S04</x:v>
      </x:c>
      <x:c r="E905" t="str">
        <x:v>PM-ALB-A</x:v>
      </x:c>
      <x:c r="F905" t="str">
        <x:v>精密金屬加工件</x:v>
      </x:c>
      <x:c r="G905" t="n">
        <x:v>1200</x:v>
      </x:c>
      <x:c r="H905" t="n">
        <x:v>10874.58</x:v>
      </x:c>
      <x:c r="I905" t="n">
        <x:v>8415.26</x:v>
      </x:c>
      <x:c r="J905" s="22" t="n">
        <x:v>0.22615310200485902</x:v>
      </x:c>
      <x:c r="K905" s="22" t="n">
        <x:v>0.0693</x:v>
      </x:c>
      <x:c r="L905" t="n">
        <x:v>28</x:v>
      </x:c>
      <x:c r="M905" t="str">
        <x:v>未成交</x:v>
      </x:c>
      <x:c r="N905" s="20" t="n">
        <x:v>46106</x:v>
      </x:c>
      <x:c r="O905" t="str">
        <x:v>競品</x:v>
      </x:c>
    </x:row>
    <x:row r="906" ht="20" customHeight="1">
      <x:c r="A906" t="str">
        <x:v>Q00905</x:v>
      </x:c>
      <x:c r="B906" s="20" t="n">
        <x:v>46087</x:v>
      </x:c>
      <x:c r="C906" t="str">
        <x:v>AFT-004</x:v>
      </x:c>
      <x:c r="D906" t="str">
        <x:v>S02</x:v>
      </x:c>
      <x:c r="E906" t="str">
        <x:v>PM-ALB-B</x:v>
      </x:c>
      <x:c r="F906" t="str">
        <x:v>精密金屬加工件</x:v>
      </x:c>
      <x:c r="G906" t="n">
        <x:v>1600</x:v>
      </x:c>
      <x:c r="H906" t="n">
        <x:v>14577.31</x:v>
      </x:c>
      <x:c r="I906" t="n">
        <x:v>11677.39</x:v>
      </x:c>
      <x:c r="J906" s="22" t="n">
        <x:v>0.19893382249537125</x:v>
      </x:c>
      <x:c r="K906" s="22" t="n">
        <x:v>0.1248</x:v>
      </x:c>
      <x:c r="L906" t="n">
        <x:v>30</x:v>
      </x:c>
      <x:c r="M906" t="str">
        <x:v>未成交</x:v>
      </x:c>
      <x:c r="N906" s="20" t="n">
        <x:v>46092</x:v>
      </x:c>
      <x:c r="O906" t="str">
        <x:v>規格</x:v>
      </x:c>
    </x:row>
    <x:row r="907" ht="20" customHeight="1">
      <x:c r="A907" t="str">
        <x:v>Q00906</x:v>
      </x:c>
      <x:c r="B907" s="20" t="n">
        <x:v>46093</x:v>
      </x:c>
      <x:c r="C907" t="str">
        <x:v>AFT-004</x:v>
      </x:c>
      <x:c r="D907" t="str">
        <x:v>S02</x:v>
      </x:c>
      <x:c r="E907" t="str">
        <x:v>AUTO-FL-A</x:v>
      </x:c>
      <x:c r="F907" t="str">
        <x:v>汽車精密零組件</x:v>
      </x:c>
      <x:c r="G907" t="n">
        <x:v>13000</x:v>
      </x:c>
      <x:c r="H907" t="n">
        <x:v>1308.69</x:v>
      </x:c>
      <x:c r="I907" t="n">
        <x:v>990.41</x:v>
      </x:c>
      <x:c r="J907" s="22" t="n">
        <x:v>0.24320503709816693</x:v>
      </x:c>
      <x:c r="K907" s="22" t="n">
        <x:v>0.0666</x:v>
      </x:c>
      <x:c r="L907" t="n">
        <x:v>16</x:v>
      </x:c>
      <x:c r="M907" t="str">
        <x:v>成交</x:v>
      </x:c>
      <x:c r="N907" s="20" t="n">
        <x:v>46103</x:v>
      </x:c>
      <x:c r="O907"/>
    </x:row>
    <x:row r="908" ht="20" customHeight="1">
      <x:c r="A908" t="str">
        <x:v>Q00907</x:v>
      </x:c>
      <x:c r="B908" s="20" t="n">
        <x:v>46111</x:v>
      </x:c>
      <x:c r="C908" t="str">
        <x:v>SEM-002</x:v>
      </x:c>
      <x:c r="D908" t="str">
        <x:v>S02</x:v>
      </x:c>
      <x:c r="E908" t="str">
        <x:v>SEMI-CHB-A</x:v>
      </x:c>
      <x:c r="F908" t="str">
        <x:v>半導體設備零組件</x:v>
      </x:c>
      <x:c r="G908" t="n">
        <x:v>160</x:v>
      </x:c>
      <x:c r="H908" t="n">
        <x:v>86650.86</x:v>
      </x:c>
      <x:c r="I908" t="n">
        <x:v>69056.2</x:v>
      </x:c>
      <x:c r="J908" s="22" t="n">
        <x:v>0.2030523413154815</x:v>
      </x:c>
      <x:c r="K908" s="22" t="n">
        <x:v>0.1034</x:v>
      </x:c>
      <x:c r="L908" t="n">
        <x:v>48</x:v>
      </x:c>
      <x:c r="M908" t="str">
        <x:v>未成交</x:v>
      </x:c>
      <x:c r="N908" s="20" t="n">
        <x:v>46118</x:v>
      </x:c>
      <x:c r="O908" t="str">
        <x:v>規格</x:v>
      </x:c>
    </x:row>
    <x:row r="909" ht="20" customHeight="1">
      <x:c r="A909" t="str">
        <x:v>Q00908</x:v>
      </x:c>
      <x:c r="B909" s="20" t="n">
        <x:v>46093</x:v>
      </x:c>
      <x:c r="C909" t="str">
        <x:v>AUT-006</x:v>
      </x:c>
      <x:c r="D909" t="str">
        <x:v>S03</x:v>
      </x:c>
      <x:c r="E909" t="str">
        <x:v>PM-SUS-A</x:v>
      </x:c>
      <x:c r="F909" t="str">
        <x:v>精密金屬加工件</x:v>
      </x:c>
      <x:c r="G909" t="n">
        <x:v>1600</x:v>
      </x:c>
      <x:c r="H909" t="n">
        <x:v>10737.63</x:v>
      </x:c>
      <x:c r="I909" t="n">
        <x:v>7752.49</x:v>
      </x:c>
      <x:c r="J909" s="22" t="n">
        <x:v>0.2780073442649821</x:v>
      </x:c>
      <x:c r="K909" s="22" t="n">
        <x:v>0.0509</x:v>
      </x:c>
      <x:c r="L909" t="n">
        <x:v>24</x:v>
      </x:c>
      <x:c r="M909" t="str">
        <x:v>成交</x:v>
      </x:c>
      <x:c r="N909" s="20" t="n">
        <x:v>46098</x:v>
      </x:c>
      <x:c r="O909"/>
    </x:row>
    <x:row r="910" ht="20" customHeight="1">
      <x:c r="A910" t="str">
        <x:v>Q00909</x:v>
      </x:c>
      <x:c r="B910" s="20" t="n">
        <x:v>46110</x:v>
      </x:c>
      <x:c r="C910" t="str">
        <x:v>AUT-012</x:v>
      </x:c>
      <x:c r="D910" t="str">
        <x:v>S06</x:v>
      </x:c>
      <x:c r="E910" t="str">
        <x:v>PM-VAC-B</x:v>
      </x:c>
      <x:c r="F910" t="str">
        <x:v>精密金屬加工件</x:v>
      </x:c>
      <x:c r="G910" t="n">
        <x:v>1200</x:v>
      </x:c>
      <x:c r="H910" t="n">
        <x:v>20379.17</x:v>
      </x:c>
      <x:c r="I910" t="n">
        <x:v>15802.86</x:v>
      </x:c>
      <x:c r="J910" s="22" t="n">
        <x:v>0.2245582131166283</x:v>
      </x:c>
      <x:c r="K910" s="22" t="n">
        <x:v>0.1462</x:v>
      </x:c>
      <x:c r="L910" t="n">
        <x:v>37</x:v>
      </x:c>
      <x:c r="M910" t="str">
        <x:v>成交</x:v>
      </x:c>
      <x:c r="N910" s="20" t="n">
        <x:v>46122</x:v>
      </x:c>
      <x:c r="O910"/>
    </x:row>
    <x:row r="911" ht="20" customHeight="1">
      <x:c r="A911" t="str">
        <x:v>Q00910</x:v>
      </x:c>
      <x:c r="B911" s="20" t="n">
        <x:v>46093</x:v>
      </x:c>
      <x:c r="C911" t="str">
        <x:v>EMS-003</x:v>
      </x:c>
      <x:c r="D911" t="str">
        <x:v>S05</x:v>
      </x:c>
      <x:c r="E911" t="str">
        <x:v>MECH-STG-B</x:v>
      </x:c>
      <x:c r="F911" t="str">
        <x:v>機電／自動化模組</x:v>
      </x:c>
      <x:c r="G911" t="n">
        <x:v>10</x:v>
      </x:c>
      <x:c r="H911" t="n">
        <x:v>194736.57</x:v>
      </x:c>
      <x:c r="I911" t="n">
        <x:v>155653.04</x:v>
      </x:c>
      <x:c r="J911" s="22" t="n">
        <x:v>0.200699488544961</x:v>
      </x:c>
      <x:c r="K911" s="22" t="n">
        <x:v>0.0501</x:v>
      </x:c>
      <x:c r="L911" t="n">
        <x:v>52</x:v>
      </x:c>
      <x:c r="M911" t="str">
        <x:v>未成交</x:v>
      </x:c>
      <x:c r="N911" s="20" t="n">
        <x:v>46102</x:v>
      </x:c>
      <x:c r="O911" t="str">
        <x:v>交期</x:v>
      </x:c>
    </x:row>
    <x:row r="912" ht="20" customHeight="1">
      <x:c r="A912" t="str">
        <x:v>Q00911</x:v>
      </x:c>
      <x:c r="B912" s="20" t="n">
        <x:v>46103</x:v>
      </x:c>
      <x:c r="C912" t="str">
        <x:v>AUT-010</x:v>
      </x:c>
      <x:c r="D912" t="str">
        <x:v>S05</x:v>
      </x:c>
      <x:c r="E912" t="str">
        <x:v>AUTO-BS-A</x:v>
      </x:c>
      <x:c r="F912" t="str">
        <x:v>汽車精密零組件</x:v>
      </x:c>
      <x:c r="G912" t="n">
        <x:v>13000</x:v>
      </x:c>
      <x:c r="H912" t="n">
        <x:v>692.51</x:v>
      </x:c>
      <x:c r="I912" t="n">
        <x:v>538.75</x:v>
      </x:c>
      <x:c r="J912" s="22" t="n">
        <x:v>0.22203289483184357</x:v>
      </x:c>
      <x:c r="K912" s="22" t="n">
        <x:v>0.1461</x:v>
      </x:c>
      <x:c r="L912" t="n">
        <x:v>11</x:v>
      </x:c>
      <x:c r="M912" t="str">
        <x:v>成交</x:v>
      </x:c>
      <x:c r="N912" s="20" t="n">
        <x:v>46111</x:v>
      </x:c>
      <x:c r="O912"/>
    </x:row>
    <x:row r="913" ht="20" customHeight="1">
      <x:c r="A913" t="str">
        <x:v>Q00912</x:v>
      </x:c>
      <x:c r="B913" s="20" t="n">
        <x:v>46098</x:v>
      </x:c>
      <x:c r="C913" t="str">
        <x:v>AUT-013</x:v>
      </x:c>
      <x:c r="D913" t="str">
        <x:v>S01</x:v>
      </x:c>
      <x:c r="E913" t="str">
        <x:v>AUTO-BS-B</x:v>
      </x:c>
      <x:c r="F913" t="str">
        <x:v>汽車精密零組件</x:v>
      </x:c>
      <x:c r="G913" t="n">
        <x:v>10000</x:v>
      </x:c>
      <x:c r="H913" t="n">
        <x:v>861.56</x:v>
      </x:c>
      <x:c r="I913" t="n">
        <x:v>675.99</x:v>
      </x:c>
      <x:c r="J913" s="22" t="n">
        <x:v>0.21538836529086766</x:v>
      </x:c>
      <x:c r="K913" s="22" t="n">
        <x:v>0.1136</x:v>
      </x:c>
      <x:c r="L913" t="n">
        <x:v>16</x:v>
      </x:c>
      <x:c r="M913" t="str">
        <x:v>成交</x:v>
      </x:c>
      <x:c r="N913" s="20" t="n">
        <x:v>46102</x:v>
      </x:c>
      <x:c r="O913"/>
    </x:row>
    <x:row r="914" ht="20" customHeight="1">
      <x:c r="A914" t="str">
        <x:v>Q00913</x:v>
      </x:c>
      <x:c r="B914" s="20" t="n">
        <x:v>46089</x:v>
      </x:c>
      <x:c r="C914" t="str">
        <x:v>IAT-007</x:v>
      </x:c>
      <x:c r="D914" t="str">
        <x:v>S04</x:v>
      </x:c>
      <x:c r="E914" t="str">
        <x:v>SEMI-WH-A</x:v>
      </x:c>
      <x:c r="F914" t="str">
        <x:v>半導體設備零組件</x:v>
      </x:c>
      <x:c r="G914" t="n">
        <x:v>80</x:v>
      </x:c>
      <x:c r="H914" t="n">
        <x:v>116203.08</x:v>
      </x:c>
      <x:c r="I914" t="n">
        <x:v>90118.95</x:v>
      </x:c>
      <x:c r="J914" s="22" t="n">
        <x:v>0.22447021197716965</x:v>
      </x:c>
      <x:c r="K914" s="22" t="n">
        <x:v>0.0379</x:v>
      </x:c>
      <x:c r="L914" t="n">
        <x:v>41</x:v>
      </x:c>
      <x:c r="M914" t="str">
        <x:v>成交</x:v>
      </x:c>
      <x:c r="N914" s="20" t="n">
        <x:v>46101</x:v>
      </x:c>
      <x:c r="O914"/>
    </x:row>
    <x:row r="915" ht="20" customHeight="1">
      <x:c r="A915" t="str">
        <x:v>Q00914</x:v>
      </x:c>
      <x:c r="B915" s="20" t="n">
        <x:v>46097</x:v>
      </x:c>
      <x:c r="C915" t="str">
        <x:v>AFT-001</x:v>
      </x:c>
      <x:c r="D915" t="str">
        <x:v>S05</x:v>
      </x:c>
      <x:c r="E915" t="str">
        <x:v>PM-ALB-B</x:v>
      </x:c>
      <x:c r="F915" t="str">
        <x:v>精密金屬加工件</x:v>
      </x:c>
      <x:c r="G915" t="n">
        <x:v>1200</x:v>
      </x:c>
      <x:c r="H915" t="n">
        <x:v>15922.62</x:v>
      </x:c>
      <x:c r="I915" t="n">
        <x:v>12042.97</x:v>
      </x:c>
      <x:c r="J915" s="22" t="n">
        <x:v>0.2436565087906388</x:v>
      </x:c>
      <x:c r="K915" s="22" t="n">
        <x:v>0.0468</x:v>
      </x:c>
      <x:c r="L915" t="n">
        <x:v>23</x:v>
      </x:c>
      <x:c r="M915" t="str">
        <x:v>成交</x:v>
      </x:c>
      <x:c r="N915" s="20" t="n">
        <x:v>46105</x:v>
      </x:c>
      <x:c r="O915"/>
    </x:row>
    <x:row r="916" ht="20" customHeight="1">
      <x:c r="A916" t="str">
        <x:v>Q00915</x:v>
      </x:c>
      <x:c r="B916" s="20" t="n">
        <x:v>46101</x:v>
      </x:c>
      <x:c r="C916" t="str">
        <x:v>AUT-014</x:v>
      </x:c>
      <x:c r="D916" t="str">
        <x:v>S06</x:v>
      </x:c>
      <x:c r="E916" t="str">
        <x:v>PM-ALB-B</x:v>
      </x:c>
      <x:c r="F916" t="str">
        <x:v>精密金屬加工件</x:v>
      </x:c>
      <x:c r="G916" t="n">
        <x:v>1600</x:v>
      </x:c>
      <x:c r="H916" t="n">
        <x:v>16318.72</x:v>
      </x:c>
      <x:c r="I916" t="n">
        <x:v>12125.69</x:v>
      </x:c>
      <x:c r="J916" s="22" t="n">
        <x:v>0.25694601047140947</x:v>
      </x:c>
      <x:c r="K916" s="22" t="n">
        <x:v>0.0476</x:v>
      </x:c>
      <x:c r="L916" t="n">
        <x:v>29</x:v>
      </x:c>
      <x:c r="M916" t="str">
        <x:v>成交</x:v>
      </x:c>
      <x:c r="N916" s="20" t="n">
        <x:v>46109</x:v>
      </x:c>
      <x:c r="O916"/>
    </x:row>
    <x:row r="917" ht="20" customHeight="1">
      <x:c r="A917" t="str">
        <x:v>Q00916</x:v>
      </x:c>
      <x:c r="B917" s="20" t="n">
        <x:v>46100</x:v>
      </x:c>
      <x:c r="C917" t="str">
        <x:v>EMS-004</x:v>
      </x:c>
      <x:c r="D917" t="str">
        <x:v>S03</x:v>
      </x:c>
      <x:c r="E917" t="str">
        <x:v>SEMI-CHB-B</x:v>
      </x:c>
      <x:c r="F917" t="str">
        <x:v>半導體設備零組件</x:v>
      </x:c>
      <x:c r="G917" t="n">
        <x:v>120</x:v>
      </x:c>
      <x:c r="H917" t="n">
        <x:v>148805.7</x:v>
      </x:c>
      <x:c r="I917" t="n">
        <x:v>109246.79</x:v>
      </x:c>
      <x:c r="J917" s="22" t="n">
        <x:v>0.26584270629418105</x:v>
      </x:c>
      <x:c r="K917" s="22" t="n">
        <x:v>0.01</x:v>
      </x:c>
      <x:c r="L917" t="n">
        <x:v>40</x:v>
      </x:c>
      <x:c r="M917" t="str">
        <x:v>成交</x:v>
      </x:c>
      <x:c r="N917" s="20" t="n">
        <x:v>46107</x:v>
      </x:c>
      <x:c r="O917"/>
    </x:row>
    <x:row r="918" ht="20" customHeight="1">
      <x:c r="A918" t="str">
        <x:v>Q00917</x:v>
      </x:c>
      <x:c r="B918" s="20" t="n">
        <x:v>46086</x:v>
      </x:c>
      <x:c r="C918" t="str">
        <x:v>IAT-003</x:v>
      </x:c>
      <x:c r="D918" t="str">
        <x:v>S04</x:v>
      </x:c>
      <x:c r="E918" t="str">
        <x:v>AUTO-BRK-B</x:v>
      </x:c>
      <x:c r="F918" t="str">
        <x:v>汽車精密零組件</x:v>
      </x:c>
      <x:c r="G918" t="n">
        <x:v>5000</x:v>
      </x:c>
      <x:c r="H918" t="n">
        <x:v>2208.67</x:v>
      </x:c>
      <x:c r="I918" t="n">
        <x:v>1726.37</x:v>
      </x:c>
      <x:c r="J918" s="22" t="n">
        <x:v>0.21836670937713654</x:v>
      </x:c>
      <x:c r="K918" s="22" t="n">
        <x:v>0.0146</x:v>
      </x:c>
      <x:c r="L918" t="n">
        <x:v>21</x:v>
      </x:c>
      <x:c r="M918" t="str">
        <x:v>成交</x:v>
      </x:c>
      <x:c r="N918" s="20" t="n">
        <x:v>46091</x:v>
      </x:c>
      <x:c r="O918"/>
    </x:row>
    <x:row r="919" ht="20" customHeight="1">
      <x:c r="A919" t="str">
        <x:v>Q00918</x:v>
      </x:c>
      <x:c r="B919" s="20" t="n">
        <x:v>46094</x:v>
      </x:c>
      <x:c r="C919" t="str">
        <x:v>AUT-001</x:v>
      </x:c>
      <x:c r="D919" t="str">
        <x:v>S01</x:v>
      </x:c>
      <x:c r="E919" t="str">
        <x:v>AUTO-FL-B</x:v>
      </x:c>
      <x:c r="F919" t="str">
        <x:v>汽車精密零組件</x:v>
      </x:c>
      <x:c r="G919" t="n">
        <x:v>7000</x:v>
      </x:c>
      <x:c r="H919" t="n">
        <x:v>1392.73</x:v>
      </x:c>
      <x:c r="I919" t="n">
        <x:v>1195.95</x:v>
      </x:c>
      <x:c r="J919" s="22" t="n">
        <x:v>0.14129084603620226</x:v>
      </x:c>
      <x:c r="K919" s="22" t="n">
        <x:v>0.1341</x:v>
      </x:c>
      <x:c r="L919" t="n">
        <x:v>18</x:v>
      </x:c>
      <x:c r="M919" t="str">
        <x:v>成交</x:v>
      </x:c>
      <x:c r="N919" s="20" t="n">
        <x:v>46103</x:v>
      </x:c>
      <x:c r="O919"/>
    </x:row>
    <x:row r="920" ht="20" customHeight="1">
      <x:c r="A920" t="str">
        <x:v>Q00919</x:v>
      </x:c>
      <x:c r="B920" s="20" t="n">
        <x:v>46099</x:v>
      </x:c>
      <x:c r="C920" t="str">
        <x:v>AFT-007</x:v>
      </x:c>
      <x:c r="D920" t="str">
        <x:v>S04</x:v>
      </x:c>
      <x:c r="E920" t="str">
        <x:v>AUTO-BRK-A</x:v>
      </x:c>
      <x:c r="F920" t="str">
        <x:v>汽車精密零組件</x:v>
      </x:c>
      <x:c r="G920" t="n">
        <x:v>13000</x:v>
      </x:c>
      <x:c r="H920" t="n">
        <x:v>1754.51</x:v>
      </x:c>
      <x:c r="I920" t="n">
        <x:v>1343.64</x:v>
      </x:c>
      <x:c r="J920" s="22" t="n">
        <x:v>0.23417934352041306</x:v>
      </x:c>
      <x:c r="K920" s="22" t="n">
        <x:v>0.0636</x:v>
      </x:c>
      <x:c r="L920" t="n">
        <x:v>15</x:v>
      </x:c>
      <x:c r="M920" t="str">
        <x:v>未成交</x:v>
      </x:c>
      <x:c r="N920" s="20" t="n">
        <x:v>46102</x:v>
      </x:c>
      <x:c r="O920" t="str">
        <x:v>價格</x:v>
      </x:c>
    </x:row>
    <x:row r="921" ht="20" customHeight="1">
      <x:c r="A921" t="str">
        <x:v>Q00920</x:v>
      </x:c>
      <x:c r="B921" s="20" t="n">
        <x:v>46099</x:v>
      </x:c>
      <x:c r="C921" t="str">
        <x:v>AFT-001</x:v>
      </x:c>
      <x:c r="D921" t="str">
        <x:v>S05</x:v>
      </x:c>
      <x:c r="E921" t="str">
        <x:v>AUTO-FL-B</x:v>
      </x:c>
      <x:c r="F921" t="str">
        <x:v>汽車精密零組件</x:v>
      </x:c>
      <x:c r="G921" t="n">
        <x:v>13000</x:v>
      </x:c>
      <x:c r="H921" t="n">
        <x:v>1522.89</x:v>
      </x:c>
      <x:c r="I921" t="n">
        <x:v>1216.28</x:v>
      </x:c>
      <x:c r="J921" s="22" t="n">
        <x:v>0.20133430516977596</x:v>
      </x:c>
      <x:c r="K921" s="22" t="n">
        <x:v>0.0759</x:v>
      </x:c>
      <x:c r="L921" t="n">
        <x:v>18</x:v>
      </x:c>
      <x:c r="M921" t="str">
        <x:v>成交</x:v>
      </x:c>
      <x:c r="N921" s="20" t="n">
        <x:v>46106</x:v>
      </x:c>
      <x:c r="O921"/>
    </x:row>
    <x:row r="922" ht="20" customHeight="1">
      <x:c r="A922" t="str">
        <x:v>Q00921</x:v>
      </x:c>
      <x:c r="B922" s="20" t="n">
        <x:v>46088</x:v>
      </x:c>
      <x:c r="C922" t="str">
        <x:v>SEM-010</x:v>
      </x:c>
      <x:c r="D922" t="str">
        <x:v>S01</x:v>
      </x:c>
      <x:c r="E922" t="str">
        <x:v>PM-VAC-B</x:v>
      </x:c>
      <x:c r="F922" t="str">
        <x:v>精密金屬加工件</x:v>
      </x:c>
      <x:c r="G922" t="n">
        <x:v>500</x:v>
      </x:c>
      <x:c r="H922" t="n">
        <x:v>22210.62</x:v>
      </x:c>
      <x:c r="I922" t="n">
        <x:v>15818.3</x:v>
      </x:c>
      <x:c r="J922" s="22" t="n">
        <x:v>0.28780466281445544</x:v>
      </x:c>
      <x:c r="K922" s="22" t="n">
        <x:v>0.0518</x:v>
      </x:c>
      <x:c r="L922" t="n">
        <x:v>30</x:v>
      </x:c>
      <x:c r="M922" t="str">
        <x:v>成交</x:v>
      </x:c>
      <x:c r="N922" s="20" t="n">
        <x:v>46093</x:v>
      </x:c>
      <x:c r="O922"/>
    </x:row>
    <x:row r="923" ht="20" customHeight="1">
      <x:c r="A923" t="str">
        <x:v>Q00922</x:v>
      </x:c>
      <x:c r="B923" s="20" t="n">
        <x:v>46105</x:v>
      </x:c>
      <x:c r="C923" t="str">
        <x:v>AUT-009</x:v>
      </x:c>
      <x:c r="D923" t="str">
        <x:v>S04</x:v>
      </x:c>
      <x:c r="E923" t="str">
        <x:v>PM-BRG-A</x:v>
      </x:c>
      <x:c r="F923" t="str">
        <x:v>精密金屬加工件</x:v>
      </x:c>
      <x:c r="G923" t="n">
        <x:v>800</x:v>
      </x:c>
      <x:c r="H923" t="n">
        <x:v>6541.42</x:v>
      </x:c>
      <x:c r="I923" t="n">
        <x:v>4544.54</x:v>
      </x:c>
      <x:c r="J923" s="22" t="n">
        <x:v>0.30526705210795213</x:v>
      </x:c>
      <x:c r="K923" s="22" t="n">
        <x:v>0.0974</x:v>
      </x:c>
      <x:c r="L923" t="n">
        <x:v>16</x:v>
      </x:c>
      <x:c r="M923" t="str">
        <x:v>未成交</x:v>
      </x:c>
      <x:c r="N923" s="20" t="n">
        <x:v>46114</x:v>
      </x:c>
      <x:c r="O923" t="str">
        <x:v>價格</x:v>
      </x:c>
    </x:row>
    <x:row r="924" ht="20" customHeight="1">
      <x:c r="A924" t="str">
        <x:v>Q00923</x:v>
      </x:c>
      <x:c r="B924" s="20" t="n">
        <x:v>46086</x:v>
      </x:c>
      <x:c r="C924" t="str">
        <x:v>IAT-003</x:v>
      </x:c>
      <x:c r="D924" t="str">
        <x:v>S04</x:v>
      </x:c>
      <x:c r="E924" t="str">
        <x:v>AUTO-BS-B</x:v>
      </x:c>
      <x:c r="F924" t="str">
        <x:v>汽車精密零組件</x:v>
      </x:c>
      <x:c r="G924" t="n">
        <x:v>5000</x:v>
      </x:c>
      <x:c r="H924" t="n">
        <x:v>912.55</x:v>
      </x:c>
      <x:c r="I924" t="n">
        <x:v>651.18</x:v>
      </x:c>
      <x:c r="J924" s="22" t="n">
        <x:v>0.28641718262013044</x:v>
      </x:c>
      <x:c r="K924" s="22" t="n">
        <x:v>0.0389</x:v>
      </x:c>
      <x:c r="L924" t="n">
        <x:v>16</x:v>
      </x:c>
      <x:c r="M924" t="str">
        <x:v>成交</x:v>
      </x:c>
      <x:c r="N924" s="20" t="n">
        <x:v>46092</x:v>
      </x:c>
      <x:c r="O924"/>
    </x:row>
    <x:row r="925" ht="20" customHeight="1">
      <x:c r="A925" t="str">
        <x:v>Q00924</x:v>
      </x:c>
      <x:c r="B925" s="20" t="n">
        <x:v>46090</x:v>
      </x:c>
      <x:c r="C925" t="str">
        <x:v>IAT-005</x:v>
      </x:c>
      <x:c r="D925" t="str">
        <x:v>S02</x:v>
      </x:c>
      <x:c r="E925" t="str">
        <x:v>AUTO-FL-B</x:v>
      </x:c>
      <x:c r="F925" t="str">
        <x:v>汽車精密零組件</x:v>
      </x:c>
      <x:c r="G925" t="n">
        <x:v>10000</x:v>
      </x:c>
      <x:c r="H925" t="n">
        <x:v>1384.62</x:v>
      </x:c>
      <x:c r="I925" t="n">
        <x:v>1145.24</x:v>
      </x:c>
      <x:c r="J925" s="22" t="n">
        <x:v>0.17288497927229124</x:v>
      </x:c>
      <x:c r="K925" s="22" t="n">
        <x:v>0.1464</x:v>
      </x:c>
      <x:c r="L925" t="n">
        <x:v>14</x:v>
      </x:c>
      <x:c r="M925" t="str">
        <x:v>未成交</x:v>
      </x:c>
      <x:c r="N925" s="20" t="n">
        <x:v>46099</x:v>
      </x:c>
      <x:c r="O925" t="str">
        <x:v>專案取消</x:v>
      </x:c>
    </x:row>
    <x:row r="926" ht="20" customHeight="1">
      <x:c r="A926" t="str">
        <x:v>Q00925</x:v>
      </x:c>
      <x:c r="B926" s="20" t="n">
        <x:v>46082</x:v>
      </x:c>
      <x:c r="C926" t="str">
        <x:v>SEM-005</x:v>
      </x:c>
      <x:c r="D926" t="str">
        <x:v>S06</x:v>
      </x:c>
      <x:c r="E926" t="str">
        <x:v>MECH-CON-B</x:v>
      </x:c>
      <x:c r="F926" t="str">
        <x:v>機電／自動化模組</x:v>
      </x:c>
      <x:c r="G926" t="n">
        <x:v>40</x:v>
      </x:c>
      <x:c r="H926" t="n">
        <x:v>158014.25</x:v>
      </x:c>
      <x:c r="I926" t="n">
        <x:v>120856.19</x:v>
      </x:c>
      <x:c r="J926" s="22" t="n">
        <x:v>0.23515638621200302</x:v>
      </x:c>
      <x:c r="K926" s="22" t="n">
        <x:v>0.0429</x:v>
      </x:c>
      <x:c r="L926" t="n">
        <x:v>39</x:v>
      </x:c>
      <x:c r="M926" t="str">
        <x:v>未成交</x:v>
      </x:c>
      <x:c r="N926" s="20" t="n">
        <x:v>46088</x:v>
      </x:c>
      <x:c r="O926" t="str">
        <x:v>專案取消</x:v>
      </x:c>
    </x:row>
    <x:row r="927" ht="20" customHeight="1">
      <x:c r="A927" t="str">
        <x:v>Q00926</x:v>
      </x:c>
      <x:c r="B927" s="20" t="n">
        <x:v>46123</x:v>
      </x:c>
      <x:c r="C927" t="str">
        <x:v>AFT-004</x:v>
      </x:c>
      <x:c r="D927" t="str">
        <x:v>S02</x:v>
      </x:c>
      <x:c r="E927" t="str">
        <x:v>AUTO-BS-A</x:v>
      </x:c>
      <x:c r="F927" t="str">
        <x:v>汽車精密零組件</x:v>
      </x:c>
      <x:c r="G927" t="n">
        <x:v>13000</x:v>
      </x:c>
      <x:c r="H927" t="n">
        <x:v>773.44</x:v>
      </x:c>
      <x:c r="I927" t="n">
        <x:v>557.61</x:v>
      </x:c>
      <x:c r="J927" s="22" t="n">
        <x:v>0.2790520273065784</x:v>
      </x:c>
      <x:c r="K927" s="22" t="n">
        <x:v>0.0449</x:v>
      </x:c>
      <x:c r="L927" t="n">
        <x:v>15</x:v>
      </x:c>
      <x:c r="M927" t="str">
        <x:v>未成交</x:v>
      </x:c>
      <x:c r="N927" s="20" t="n">
        <x:v>46126</x:v>
      </x:c>
      <x:c r="O927" t="str">
        <x:v>價格</x:v>
      </x:c>
    </x:row>
    <x:row r="928" ht="20" customHeight="1">
      <x:c r="A928" t="str">
        <x:v>Q00927</x:v>
      </x:c>
      <x:c r="B928" s="20" t="n">
        <x:v>46126</x:v>
      </x:c>
      <x:c r="C928" t="str">
        <x:v>AUT-003</x:v>
      </x:c>
      <x:c r="D928" t="str">
        <x:v>S03</x:v>
      </x:c>
      <x:c r="E928" t="str">
        <x:v>MECH-CON-B</x:v>
      </x:c>
      <x:c r="F928" t="str">
        <x:v>機電／自動化模組</x:v>
      </x:c>
      <x:c r="G928" t="n">
        <x:v>50</x:v>
      </x:c>
      <x:c r="H928" t="n">
        <x:v>161972.8</x:v>
      </x:c>
      <x:c r="I928" t="n">
        <x:v>119589.44</x:v>
      </x:c>
      <x:c r="J928" s="22" t="n">
        <x:v>0.26166961366352864</x:v>
      </x:c>
      <x:c r="K928" s="22" t="n">
        <x:v>0.0246</x:v>
      </x:c>
      <x:c r="L928" t="n">
        <x:v>38</x:v>
      </x:c>
      <x:c r="M928" t="str">
        <x:v>成交</x:v>
      </x:c>
      <x:c r="N928" s="20" t="n">
        <x:v>46129</x:v>
      </x:c>
      <x:c r="O928"/>
    </x:row>
    <x:row r="929" ht="20" customHeight="1">
      <x:c r="A929" t="str">
        <x:v>Q00928</x:v>
      </x:c>
      <x:c r="B929" s="20" t="n">
        <x:v>46126</x:v>
      </x:c>
      <x:c r="C929" t="str">
        <x:v>EMS-003</x:v>
      </x:c>
      <x:c r="D929" t="str">
        <x:v>S05</x:v>
      </x:c>
      <x:c r="E929" t="str">
        <x:v>AUTO-BRK-A</x:v>
      </x:c>
      <x:c r="F929" t="str">
        <x:v>汽車精密零組件</x:v>
      </x:c>
      <x:c r="G929" t="n">
        <x:v>3000</x:v>
      </x:c>
      <x:c r="H929" t="n">
        <x:v>1637.95</x:v>
      </x:c>
      <x:c r="I929" t="n">
        <x:v>1417.71</x:v>
      </x:c>
      <x:c r="J929" s="22" t="n">
        <x:v>0.13446075887542355</x:v>
      </x:c>
      <x:c r="K929" s="22" t="n">
        <x:v>0.1028</x:v>
      </x:c>
      <x:c r="L929" t="n">
        <x:v>14</x:v>
      </x:c>
      <x:c r="M929" t="str">
        <x:v>未成交</x:v>
      </x:c>
      <x:c r="N929" s="20" t="n">
        <x:v>46136</x:v>
      </x:c>
      <x:c r="O929" t="str">
        <x:v>競品</x:v>
      </x:c>
    </x:row>
    <x:row r="930" ht="20" customHeight="1">
      <x:c r="A930" t="str">
        <x:v>Q00929</x:v>
      </x:c>
      <x:c r="B930" s="20" t="n">
        <x:v>46138</x:v>
      </x:c>
      <x:c r="C930" t="str">
        <x:v>EMS-007</x:v>
      </x:c>
      <x:c r="D930" t="str">
        <x:v>S04</x:v>
      </x:c>
      <x:c r="E930" t="str">
        <x:v>PM-BRG-B</x:v>
      </x:c>
      <x:c r="F930" t="str">
        <x:v>精密金屬加工件</x:v>
      </x:c>
      <x:c r="G930" t="n">
        <x:v>500</x:v>
      </x:c>
      <x:c r="H930" t="n">
        <x:v>8081.6</x:v>
      </x:c>
      <x:c r="I930" t="n">
        <x:v>5261.85</x:v>
      </x:c>
      <x:c r="J930" s="22" t="n">
        <x:v>0.3489098693328054</x:v>
      </x:c>
      <x:c r="K930" s="22" t="n">
        <x:v>0.0476</x:v>
      </x:c>
      <x:c r="L930" t="n">
        <x:v>25</x:v>
      </x:c>
      <x:c r="M930" t="str">
        <x:v>成交</x:v>
      </x:c>
      <x:c r="N930" s="20" t="n">
        <x:v>46147</x:v>
      </x:c>
      <x:c r="O930"/>
    </x:row>
    <x:row r="931" ht="20" customHeight="1">
      <x:c r="A931" t="str">
        <x:v>Q00930</x:v>
      </x:c>
      <x:c r="B931" s="20" t="n">
        <x:v>46119</x:v>
      </x:c>
      <x:c r="C931" t="str">
        <x:v>IAT-010</x:v>
      </x:c>
      <x:c r="D931" t="str">
        <x:v>S04</x:v>
      </x:c>
      <x:c r="E931" t="str">
        <x:v>AUTO-BS-A</x:v>
      </x:c>
      <x:c r="F931" t="str">
        <x:v>汽車精密零組件</x:v>
      </x:c>
      <x:c r="G931" t="n">
        <x:v>13000</x:v>
      </x:c>
      <x:c r="H931" t="n">
        <x:v>777.99</x:v>
      </x:c>
      <x:c r="I931" t="n">
        <x:v>550.16</x:v>
      </x:c>
      <x:c r="J931" s="22" t="n">
        <x:v>0.2928443810331753</x:v>
      </x:c>
      <x:c r="K931" s="22" t="n">
        <x:v>0.0439</x:v>
      </x:c>
      <x:c r="L931" t="n">
        <x:v>14</x:v>
      </x:c>
      <x:c r="M931" t="str">
        <x:v>成交</x:v>
      </x:c>
      <x:c r="N931" s="20" t="n">
        <x:v>46122</x:v>
      </x:c>
      <x:c r="O931"/>
    </x:row>
    <x:row r="932" ht="20" customHeight="1">
      <x:c r="A932" t="str">
        <x:v>Q00931</x:v>
      </x:c>
      <x:c r="B932" s="20" t="n">
        <x:v>46125</x:v>
      </x:c>
      <x:c r="C932" t="str">
        <x:v>AUT-002</x:v>
      </x:c>
      <x:c r="D932" t="str">
        <x:v>S04</x:v>
      </x:c>
      <x:c r="E932" t="str">
        <x:v>AUTO-KN-A</x:v>
      </x:c>
      <x:c r="F932" t="str">
        <x:v>汽車精密零組件</x:v>
      </x:c>
      <x:c r="G932" t="n">
        <x:v>7000</x:v>
      </x:c>
      <x:c r="H932" t="n">
        <x:v>3181.78</x:v>
      </x:c>
      <x:c r="I932" t="n">
        <x:v>2186.93</x:v>
      </x:c>
      <x:c r="J932" s="22" t="n">
        <x:v>0.31267089490788186</x:v>
      </x:c>
      <x:c r="K932" s="22" t="n">
        <x:v>0.0538</x:v>
      </x:c>
      <x:c r="L932" t="n">
        <x:v>25</x:v>
      </x:c>
      <x:c r="M932" t="str">
        <x:v>成交</x:v>
      </x:c>
      <x:c r="N932" s="20" t="n">
        <x:v>46129</x:v>
      </x:c>
      <x:c r="O932"/>
    </x:row>
    <x:row r="933" ht="20" customHeight="1">
      <x:c r="A933" t="str">
        <x:v>Q00932</x:v>
      </x:c>
      <x:c r="B933" s="20" t="n">
        <x:v>46142</x:v>
      </x:c>
      <x:c r="C933" t="str">
        <x:v>IAT-008</x:v>
      </x:c>
      <x:c r="D933" t="str">
        <x:v>S01</x:v>
      </x:c>
      <x:c r="E933" t="str">
        <x:v>MECH-CON-A</x:v>
      </x:c>
      <x:c r="F933" t="str">
        <x:v>機電／自動化模組</x:v>
      </x:c>
      <x:c r="G933" t="n">
        <x:v>40</x:v>
      </x:c>
      <x:c r="H933" t="n">
        <x:v>114139.74</x:v>
      </x:c>
      <x:c r="I933" t="n">
        <x:v>84752.57</x:v>
      </x:c>
      <x:c r="J933" s="22" t="n">
        <x:v>0.2574665931427564</x:v>
      </x:c>
      <x:c r="K933" s="22" t="n">
        <x:v>0.0446</x:v>
      </x:c>
      <x:c r="L933" t="n">
        <x:v>39</x:v>
      </x:c>
      <x:c r="M933" t="str">
        <x:v>成交</x:v>
      </x:c>
      <x:c r="N933" s="20" t="n">
        <x:v>46151</x:v>
      </x:c>
      <x:c r="O933"/>
    </x:row>
    <x:row r="934" ht="20" customHeight="1">
      <x:c r="A934" t="str">
        <x:v>Q00933</x:v>
      </x:c>
      <x:c r="B934" s="20" t="n">
        <x:v>46138</x:v>
      </x:c>
      <x:c r="C934" t="str">
        <x:v>AUT-014</x:v>
      </x:c>
      <x:c r="D934" t="str">
        <x:v>S06</x:v>
      </x:c>
      <x:c r="E934" t="str">
        <x:v>AUTO-BS-B</x:v>
      </x:c>
      <x:c r="F934" t="str">
        <x:v>汽車精密零組件</x:v>
      </x:c>
      <x:c r="G934" t="n">
        <x:v>7000</x:v>
      </x:c>
      <x:c r="H934" t="n">
        <x:v>937.62</x:v>
      </x:c>
      <x:c r="I934" t="n">
        <x:v>650.4</x:v>
      </x:c>
      <x:c r="J934" s="22" t="n">
        <x:v>0.30632878991489093</x:v>
      </x:c>
      <x:c r="K934" s="22" t="n">
        <x:v>0.0281</x:v>
      </x:c>
      <x:c r="L934" t="n">
        <x:v>12</x:v>
      </x:c>
      <x:c r="M934" t="str">
        <x:v>成交</x:v>
      </x:c>
      <x:c r="N934" s="20" t="n">
        <x:v>46147</x:v>
      </x:c>
      <x:c r="O934"/>
    </x:row>
    <x:row r="935" ht="20" customHeight="1">
      <x:c r="A935" t="str">
        <x:v>Q00934</x:v>
      </x:c>
      <x:c r="B935" s="20" t="n">
        <x:v>46114</x:v>
      </x:c>
      <x:c r="C935" t="str">
        <x:v>IAT-001</x:v>
      </x:c>
      <x:c r="D935" t="str">
        <x:v>S05</x:v>
      </x:c>
      <x:c r="E935" t="str">
        <x:v>AUTO-KN-B</x:v>
      </x:c>
      <x:c r="F935" t="str">
        <x:v>汽車精密零組件</x:v>
      </x:c>
      <x:c r="G935" t="n">
        <x:v>10000</x:v>
      </x:c>
      <x:c r="H935" t="n">
        <x:v>3871.75</x:v>
      </x:c>
      <x:c r="I935" t="n">
        <x:v>2551.11</x:v>
      </x:c>
      <x:c r="J935" s="22" t="n">
        <x:v>0.34109640343513914</x:v>
      </x:c>
      <x:c r="K935" s="22" t="n">
        <x:v>0.0186</x:v>
      </x:c>
      <x:c r="L935" t="n">
        <x:v>22</x:v>
      </x:c>
      <x:c r="M935" t="str">
        <x:v>未成交</x:v>
      </x:c>
      <x:c r="N935" s="20" t="n">
        <x:v>46117</x:v>
      </x:c>
      <x:c r="O935" t="str">
        <x:v>競品</x:v>
      </x:c>
    </x:row>
    <x:row r="936" ht="20" customHeight="1">
      <x:c r="A936" t="str">
        <x:v>Q00935</x:v>
      </x:c>
      <x:c r="B936" s="20" t="n">
        <x:v>46138</x:v>
      </x:c>
      <x:c r="C936" t="str">
        <x:v>AUT-008</x:v>
      </x:c>
      <x:c r="D936" t="str">
        <x:v>S01</x:v>
      </x:c>
      <x:c r="E936" t="str">
        <x:v>AUTO-KN-A</x:v>
      </x:c>
      <x:c r="F936" t="str">
        <x:v>汽車精密零組件</x:v>
      </x:c>
      <x:c r="G936" t="n">
        <x:v>3000</x:v>
      </x:c>
      <x:c r="H936" t="n">
        <x:v>3295.84</x:v>
      </x:c>
      <x:c r="I936" t="n">
        <x:v>2156.25</x:v>
      </x:c>
      <x:c r="J936" s="22" t="n">
        <x:v>0.3457661779698044</x:v>
      </x:c>
      <x:c r="K936" s="22" t="n">
        <x:v>0.0279</x:v>
      </x:c>
      <x:c r="L936" t="n">
        <x:v>18</x:v>
      </x:c>
      <x:c r="M936" t="str">
        <x:v>未成交</x:v>
      </x:c>
      <x:c r="N936" s="20" t="n">
        <x:v>46143</x:v>
      </x:c>
      <x:c r="O936" t="str">
        <x:v>專案取消</x:v>
      </x:c>
    </x:row>
    <x:row r="937" ht="20" customHeight="1">
      <x:c r="A937" t="str">
        <x:v>Q00936</x:v>
      </x:c>
      <x:c r="B937" s="20" t="n">
        <x:v>46140</x:v>
      </x:c>
      <x:c r="C937" t="str">
        <x:v>AUT-008</x:v>
      </x:c>
      <x:c r="D937" t="str">
        <x:v>S01</x:v>
      </x:c>
      <x:c r="E937" t="str">
        <x:v>AUTO-MH-A</x:v>
      </x:c>
      <x:c r="F937" t="str">
        <x:v>汽車精密零組件</x:v>
      </x:c>
      <x:c r="G937" t="n">
        <x:v>7000</x:v>
      </x:c>
      <x:c r="H937" t="n">
        <x:v>2495.86</x:v>
      </x:c>
      <x:c r="I937" t="n">
        <x:v>2035.54</x:v>
      </x:c>
      <x:c r="J937" s="22" t="n">
        <x:v>0.1844334217464121</x:v>
      </x:c>
      <x:c r="K937" s="22" t="n">
        <x:v>0.0638</x:v>
      </x:c>
      <x:c r="L937" t="n">
        <x:v>21</x:v>
      </x:c>
      <x:c r="M937" t="str">
        <x:v>未成交</x:v>
      </x:c>
      <x:c r="N937" s="20" t="n">
        <x:v>46144</x:v>
      </x:c>
      <x:c r="O937" t="str">
        <x:v>價格</x:v>
      </x:c>
    </x:row>
    <x:row r="938" ht="20" customHeight="1">
      <x:c r="A938" t="str">
        <x:v>Q00937</x:v>
      </x:c>
      <x:c r="B938" s="20" t="n">
        <x:v>46130</x:v>
      </x:c>
      <x:c r="C938" t="str">
        <x:v>AUT-006</x:v>
      </x:c>
      <x:c r="D938" t="str">
        <x:v>S03</x:v>
      </x:c>
      <x:c r="E938" t="str">
        <x:v>PM-BRG-B</x:v>
      </x:c>
      <x:c r="F938" t="str">
        <x:v>精密金屬加工件</x:v>
      </x:c>
      <x:c r="G938" t="n">
        <x:v>1600</x:v>
      </x:c>
      <x:c r="H938" t="n">
        <x:v>7976.75</x:v>
      </x:c>
      <x:c r="I938" t="n">
        <x:v>5354.47</x:v>
      </x:c>
      <x:c r="J938" s="22" t="n">
        <x:v>0.32874040179271</x:v>
      </x:c>
      <x:c r="K938" s="22" t="n">
        <x:v>0.0412</x:v>
      </x:c>
      <x:c r="L938" t="n">
        <x:v>24</x:v>
      </x:c>
      <x:c r="M938" t="str">
        <x:v>成交</x:v>
      </x:c>
      <x:c r="N938" s="20" t="n">
        <x:v>46138</x:v>
      </x:c>
      <x:c r="O938"/>
    </x:row>
    <x:row r="939" ht="20" customHeight="1">
      <x:c r="A939" t="str">
        <x:v>Q00938</x:v>
      </x:c>
      <x:c r="B939" s="20" t="n">
        <x:v>46115</x:v>
      </x:c>
      <x:c r="C939" t="str">
        <x:v>AFT-001</x:v>
      </x:c>
      <x:c r="D939" t="str">
        <x:v>S05</x:v>
      </x:c>
      <x:c r="E939" t="str">
        <x:v>AUTO-FL-A</x:v>
      </x:c>
      <x:c r="F939" t="str">
        <x:v>汽車精密零組件</x:v>
      </x:c>
      <x:c r="G939" t="n">
        <x:v>3000</x:v>
      </x:c>
      <x:c r="H939" t="n">
        <x:v>1323.39</x:v>
      </x:c>
      <x:c r="I939" t="n">
        <x:v>993.66</x:v>
      </x:c>
      <x:c r="J939" s="22" t="n">
        <x:v>0.24915557772085334</x:v>
      </x:c>
      <x:c r="K939" s="22" t="n">
        <x:v>0.046</x:v>
      </x:c>
      <x:c r="L939" t="n">
        <x:v>15</x:v>
      </x:c>
      <x:c r="M939" t="str">
        <x:v>成交</x:v>
      </x:c>
      <x:c r="N939" s="20" t="n">
        <x:v>46125</x:v>
      </x:c>
      <x:c r="O939"/>
    </x:row>
    <x:row r="940" ht="20" customHeight="1">
      <x:c r="A940" t="str">
        <x:v>Q00939</x:v>
      </x:c>
      <x:c r="B940" s="20" t="n">
        <x:v>46141</x:v>
      </x:c>
      <x:c r="C940" t="str">
        <x:v>EMS-006</x:v>
      </x:c>
      <x:c r="D940" t="str">
        <x:v>S03</x:v>
      </x:c>
      <x:c r="E940" t="str">
        <x:v>PM-BRG-B</x:v>
      </x:c>
      <x:c r="F940" t="str">
        <x:v>精密金屬加工件</x:v>
      </x:c>
      <x:c r="G940" t="n">
        <x:v>800</x:v>
      </x:c>
      <x:c r="H940" t="n">
        <x:v>7681.26</x:v>
      </x:c>
      <x:c r="I940" t="n">
        <x:v>5413.31</x:v>
      </x:c>
      <x:c r="J940" s="22" t="n">
        <x:v>0.29525754889171824</x:v>
      </x:c>
      <x:c r="K940" s="22" t="n">
        <x:v>0.0968</x:v>
      </x:c>
      <x:c r="L940" t="n">
        <x:v>17</x:v>
      </x:c>
      <x:c r="M940" t="str">
        <x:v>未成交</x:v>
      </x:c>
      <x:c r="N940" s="20" t="n">
        <x:v>46149</x:v>
      </x:c>
      <x:c r="O940" t="str">
        <x:v>交期</x:v>
      </x:c>
    </x:row>
    <x:row r="941" ht="20" customHeight="1">
      <x:c r="A941" t="str">
        <x:v>Q00940</x:v>
      </x:c>
      <x:c r="B941" s="20" t="n">
        <x:v>46132</x:v>
      </x:c>
      <x:c r="C941" t="str">
        <x:v>IAT-007</x:v>
      </x:c>
      <x:c r="D941" t="str">
        <x:v>S04</x:v>
      </x:c>
      <x:c r="E941" t="str">
        <x:v>PM-VAC-A</x:v>
      </x:c>
      <x:c r="F941" t="str">
        <x:v>精密金屬加工件</x:v>
      </x:c>
      <x:c r="G941" t="n">
        <x:v>800</x:v>
      </x:c>
      <x:c r="H941" t="n">
        <x:v>16042.92</x:v>
      </x:c>
      <x:c r="I941" t="n">
        <x:v>10930.36</x:v>
      </x:c>
      <x:c r="J941" s="22" t="n">
        <x:v>0.3186801405230469</x:v>
      </x:c>
      <x:c r="K941" s="22" t="n">
        <x:v>0.0541</x:v>
      </x:c>
      <x:c r="L941" t="n">
        <x:v>29</x:v>
      </x:c>
      <x:c r="M941" t="str">
        <x:v>未成交</x:v>
      </x:c>
      <x:c r="N941" s="20" t="n">
        <x:v>46135</x:v>
      </x:c>
      <x:c r="O941" t="str">
        <x:v>交期</x:v>
      </x:c>
    </x:row>
    <x:row r="942" ht="20" customHeight="1">
      <x:c r="A942" t="str">
        <x:v>Q00941</x:v>
      </x:c>
      <x:c r="B942" s="20" t="n">
        <x:v>46129</x:v>
      </x:c>
      <x:c r="C942" t="str">
        <x:v>IAT-003</x:v>
      </x:c>
      <x:c r="D942" t="str">
        <x:v>S04</x:v>
      </x:c>
      <x:c r="E942" t="str">
        <x:v>AUTO-BS-A</x:v>
      </x:c>
      <x:c r="F942" t="str">
        <x:v>汽車精密零組件</x:v>
      </x:c>
      <x:c r="G942" t="n">
        <x:v>3000</x:v>
      </x:c>
      <x:c r="H942" t="n">
        <x:v>787.65</x:v>
      </x:c>
      <x:c r="I942" t="n">
        <x:v>560.91</x:v>
      </x:c>
      <x:c r="J942" s="22" t="n">
        <x:v>0.28786897733765</x:v>
      </x:c>
      <x:c r="K942" s="22" t="n">
        <x:v>0.0357</x:v>
      </x:c>
      <x:c r="L942" t="n">
        <x:v>13</x:v>
      </x:c>
      <x:c r="M942" t="str">
        <x:v>未成交</x:v>
      </x:c>
      <x:c r="N942" s="20" t="n">
        <x:v>46133</x:v>
      </x:c>
      <x:c r="O942" t="str">
        <x:v>規格</x:v>
      </x:c>
    </x:row>
    <x:row r="943" ht="20" customHeight="1">
      <x:c r="A943" t="str">
        <x:v>Q00942</x:v>
      </x:c>
      <x:c r="B943" s="20" t="n">
        <x:v>46139</x:v>
      </x:c>
      <x:c r="C943" t="str">
        <x:v>EMS-003</x:v>
      </x:c>
      <x:c r="D943" t="str">
        <x:v>S05</x:v>
      </x:c>
      <x:c r="E943" t="str">
        <x:v>AUTO-MH-B</x:v>
      </x:c>
      <x:c r="F943" t="str">
        <x:v>汽車精密零組件</x:v>
      </x:c>
      <x:c r="G943" t="n">
        <x:v>10000</x:v>
      </x:c>
      <x:c r="H943" t="n">
        <x:v>2910.83</x:v>
      </x:c>
      <x:c r="I943" t="n">
        <x:v>2321.05</x:v>
      </x:c>
      <x:c r="J943" s="22" t="n">
        <x:v>0.20261574877268673</x:v>
      </x:c>
      <x:c r="K943" s="22" t="n">
        <x:v>0.0642</x:v>
      </x:c>
      <x:c r="L943" t="n">
        <x:v>19</x:v>
      </x:c>
      <x:c r="M943" t="str">
        <x:v>未成交</x:v>
      </x:c>
      <x:c r="N943" s="20" t="n">
        <x:v>46146</x:v>
      </x:c>
      <x:c r="O943" t="str">
        <x:v>競品</x:v>
      </x:c>
    </x:row>
    <x:row r="944" ht="20" customHeight="1">
      <x:c r="A944" t="str">
        <x:v>Q00943</x:v>
      </x:c>
      <x:c r="B944" s="20" t="n">
        <x:v>46132</x:v>
      </x:c>
      <x:c r="C944" t="str">
        <x:v>AFT-007</x:v>
      </x:c>
      <x:c r="D944" t="str">
        <x:v>S04</x:v>
      </x:c>
      <x:c r="E944" t="str">
        <x:v>PM-ALB-A</x:v>
      </x:c>
      <x:c r="F944" t="str">
        <x:v>精密金屬加工件</x:v>
      </x:c>
      <x:c r="G944" t="n">
        <x:v>500</x:v>
      </x:c>
      <x:c r="H944" t="n">
        <x:v>11584.61</x:v>
      </x:c>
      <x:c r="I944" t="n">
        <x:v>7877.87</x:v>
      </x:c>
      <x:c r="J944" s="22" t="n">
        <x:v>0.31997106505959205</x:v>
      </x:c>
      <x:c r="K944" s="22" t="n">
        <x:v>0.0268</x:v>
      </x:c>
      <x:c r="L944" t="n">
        <x:v>22</x:v>
      </x:c>
      <x:c r="M944" t="str">
        <x:v>成交</x:v>
      </x:c>
      <x:c r="N944" s="20" t="n">
        <x:v>46140</x:v>
      </x:c>
      <x:c r="O944"/>
    </x:row>
    <x:row r="945" ht="20" customHeight="1">
      <x:c r="A945" t="str">
        <x:v>Q00944</x:v>
      </x:c>
      <x:c r="B945" s="20" t="n">
        <x:v>46118</x:v>
      </x:c>
      <x:c r="C945" t="str">
        <x:v>SEM-007</x:v>
      </x:c>
      <x:c r="D945" t="str">
        <x:v>S03</x:v>
      </x:c>
      <x:c r="E945" t="str">
        <x:v>MECH-STG-A</x:v>
      </x:c>
      <x:c r="F945" t="str">
        <x:v>機電／自動化模組</x:v>
      </x:c>
      <x:c r="G945" t="n">
        <x:v>10</x:v>
      </x:c>
      <x:c r="H945" t="n">
        <x:v>143501.63</x:v>
      </x:c>
      <x:c r="I945" t="n">
        <x:v>102784.07</x:v>
      </x:c>
      <x:c r="J945" s="22" t="n">
        <x:v>0.28374283971547914</x:v>
      </x:c>
      <x:c r="K945" s="22" t="n">
        <x:v>0.0254</x:v>
      </x:c>
      <x:c r="L945" t="n">
        <x:v>41</x:v>
      </x:c>
      <x:c r="M945" t="str">
        <x:v>成交</x:v>
      </x:c>
      <x:c r="N945" s="20" t="n">
        <x:v>46129</x:v>
      </x:c>
      <x:c r="O945"/>
    </x:row>
    <x:row r="946" ht="20" customHeight="1">
      <x:c r="A946" t="str">
        <x:v>Q00945</x:v>
      </x:c>
      <x:c r="B946" s="20" t="n">
        <x:v>46142</x:v>
      </x:c>
      <x:c r="C946" t="str">
        <x:v>SEM-002</x:v>
      </x:c>
      <x:c r="D946" t="str">
        <x:v>S02</x:v>
      </x:c>
      <x:c r="E946" t="str">
        <x:v>SEMI-CHB-B</x:v>
      </x:c>
      <x:c r="F946" t="str">
        <x:v>半導體設備零組件</x:v>
      </x:c>
      <x:c r="G946" t="n">
        <x:v>40</x:v>
      </x:c>
      <x:c r="H946" t="n">
        <x:v>134396.53</x:v>
      </x:c>
      <x:c r="I946" t="n">
        <x:v>109491.33</x:v>
      </x:c>
      <x:c r="J946" s="22" t="n">
        <x:v>0.18531133207085032</x:v>
      </x:c>
      <x:c r="K946" s="22" t="n">
        <x:v>0.0989</x:v>
      </x:c>
      <x:c r="L946" t="n">
        <x:v>56</x:v>
      </x:c>
      <x:c r="M946" t="str">
        <x:v>成交</x:v>
      </x:c>
      <x:c r="N946" s="20" t="n">
        <x:v>46151</x:v>
      </x:c>
      <x:c r="O946"/>
    </x:row>
    <x:row r="947" ht="20" customHeight="1">
      <x:c r="A947" t="str">
        <x:v>Q00946</x:v>
      </x:c>
      <x:c r="B947" s="20" t="n">
        <x:v>46122</x:v>
      </x:c>
      <x:c r="C947" t="str">
        <x:v>AUT-010</x:v>
      </x:c>
      <x:c r="D947" t="str">
        <x:v>S05</x:v>
      </x:c>
      <x:c r="E947" t="str">
        <x:v>AUTO-FL-A</x:v>
      </x:c>
      <x:c r="F947" t="str">
        <x:v>汽車精密零組件</x:v>
      </x:c>
      <x:c r="G947" t="n">
        <x:v>13000</x:v>
      </x:c>
      <x:c r="H947" t="n">
        <x:v>1235.71</x:v>
      </x:c>
      <x:c r="I947" t="n">
        <x:v>983.5</x:v>
      </x:c>
      <x:c r="J947" s="22" t="n">
        <x:v>0.20410128590041354</x:v>
      </x:c>
      <x:c r="K947" s="22" t="n">
        <x:v>0.1023</x:v>
      </x:c>
      <x:c r="L947" t="n">
        <x:v>17</x:v>
      </x:c>
      <x:c r="M947" t="str">
        <x:v>未成交</x:v>
      </x:c>
      <x:c r="N947" s="20" t="n">
        <x:v>46131</x:v>
      </x:c>
      <x:c r="O947" t="str">
        <x:v>規格</x:v>
      </x:c>
    </x:row>
    <x:row r="948" ht="20" customHeight="1">
      <x:c r="A948" t="str">
        <x:v>Q00947</x:v>
      </x:c>
      <x:c r="B948" s="20" t="n">
        <x:v>46117</x:v>
      </x:c>
      <x:c r="C948" t="str">
        <x:v>AFT-007</x:v>
      </x:c>
      <x:c r="D948" t="str">
        <x:v>S04</x:v>
      </x:c>
      <x:c r="E948" t="str">
        <x:v>PM-VAC-B</x:v>
      </x:c>
      <x:c r="F948" t="str">
        <x:v>精密金屬加工件</x:v>
      </x:c>
      <x:c r="G948" t="n">
        <x:v>300</x:v>
      </x:c>
      <x:c r="H948" t="n">
        <x:v>22222.71</x:v>
      </x:c>
      <x:c r="I948" t="n">
        <x:v>15329.74</x:v>
      </x:c>
      <x:c r="J948" s="22" t="n">
        <x:v>0.3101768416183265</x:v>
      </x:c>
      <x:c r="K948" s="22" t="n">
        <x:v>0.0576</x:v>
      </x:c>
      <x:c r="L948" t="n">
        <x:v>33</x:v>
      </x:c>
      <x:c r="M948" t="str">
        <x:v>成交</x:v>
      </x:c>
      <x:c r="N948" s="20" t="n">
        <x:v>46127</x:v>
      </x:c>
      <x:c r="O948"/>
    </x:row>
    <x:row r="949" ht="20" customHeight="1">
      <x:c r="A949" t="str">
        <x:v>Q00948</x:v>
      </x:c>
      <x:c r="B949" s="20" t="n">
        <x:v>46134</x:v>
      </x:c>
      <x:c r="C949" t="str">
        <x:v>SEM-008</x:v>
      </x:c>
      <x:c r="D949" t="str">
        <x:v>S04</x:v>
      </x:c>
      <x:c r="E949" t="str">
        <x:v>SEMI-WH-A</x:v>
      </x:c>
      <x:c r="F949" t="str">
        <x:v>半導體設備零組件</x:v>
      </x:c>
      <x:c r="G949" t="n">
        <x:v>120</x:v>
      </x:c>
      <x:c r="H949" t="n">
        <x:v>109811.5</x:v>
      </x:c>
      <x:c r="I949" t="n">
        <x:v>90344.75</x:v>
      </x:c>
      <x:c r="J949" s="22" t="n">
        <x:v>0.1772742381262436</x:v>
      </x:c>
      <x:c r="K949" s="22" t="n">
        <x:v>0.0741</x:v>
      </x:c>
      <x:c r="L949" t="n">
        <x:v>51</x:v>
      </x:c>
      <x:c r="M949" t="str">
        <x:v>成交</x:v>
      </x:c>
      <x:c r="N949" s="20" t="n">
        <x:v>46142</x:v>
      </x:c>
      <x:c r="O949"/>
    </x:row>
    <x:row r="950" ht="20" customHeight="1">
      <x:c r="A950" t="str">
        <x:v>Q00949</x:v>
      </x:c>
      <x:c r="B950" s="20" t="n">
        <x:v>46129</x:v>
      </x:c>
      <x:c r="C950" t="str">
        <x:v>EMS-001</x:v>
      </x:c>
      <x:c r="D950" t="str">
        <x:v>S02</x:v>
      </x:c>
      <x:c r="E950" t="str">
        <x:v>AUTO-BS-A</x:v>
      </x:c>
      <x:c r="F950" t="str">
        <x:v>汽車精密零組件</x:v>
      </x:c>
      <x:c r="G950" t="n">
        <x:v>3000</x:v>
      </x:c>
      <x:c r="H950" t="n">
        <x:v>792.13</x:v>
      </x:c>
      <x:c r="I950" t="n">
        <x:v>545.18</x:v>
      </x:c>
      <x:c r="J950" s="22" t="n">
        <x:v>0.3117543837501421</x:v>
      </x:c>
      <x:c r="K950" s="22" t="n">
        <x:v>0.0446</x:v>
      </x:c>
      <x:c r="L950" t="n">
        <x:v>14</x:v>
      </x:c>
      <x:c r="M950" t="str">
        <x:v>未成交</x:v>
      </x:c>
      <x:c r="N950" s="20" t="n">
        <x:v>46132</x:v>
      </x:c>
      <x:c r="O950" t="str">
        <x:v>規格</x:v>
      </x:c>
    </x:row>
    <x:row r="951" ht="20" customHeight="1">
      <x:c r="A951" t="str">
        <x:v>Q00950</x:v>
      </x:c>
      <x:c r="B951" s="20" t="n">
        <x:v>46122</x:v>
      </x:c>
      <x:c r="C951" t="str">
        <x:v>IAT-005</x:v>
      </x:c>
      <x:c r="D951" t="str">
        <x:v>S02</x:v>
      </x:c>
      <x:c r="E951" t="str">
        <x:v>PM-ALB-A</x:v>
      </x:c>
      <x:c r="F951" t="str">
        <x:v>精密金屬加工件</x:v>
      </x:c>
      <x:c r="G951" t="n">
        <x:v>1200</x:v>
      </x:c>
      <x:c r="H951" t="n">
        <x:v>10546.74</x:v>
      </x:c>
      <x:c r="I951" t="n">
        <x:v>7986.25</x:v>
      </x:c>
      <x:c r="J951" s="22" t="n">
        <x:v>0.24277549271149187</x:v>
      </x:c>
      <x:c r="K951" s="22" t="n">
        <x:v>0.1164</x:v>
      </x:c>
      <x:c r="L951" t="n">
        <x:v>18</x:v>
      </x:c>
      <x:c r="M951" t="str">
        <x:v>成交</x:v>
      </x:c>
      <x:c r="N951" s="20" t="n">
        <x:v>46129</x:v>
      </x:c>
      <x:c r="O951"/>
    </x:row>
    <x:row r="952" ht="20" customHeight="1">
      <x:c r="A952" t="str">
        <x:v>Q00951</x:v>
      </x:c>
      <x:c r="B952" s="20" t="n">
        <x:v>46125</x:v>
      </x:c>
      <x:c r="C952" t="str">
        <x:v>IAT-001</x:v>
      </x:c>
      <x:c r="D952" t="str">
        <x:v>S05</x:v>
      </x:c>
      <x:c r="E952" t="str">
        <x:v>AUTO-MH-B</x:v>
      </x:c>
      <x:c r="F952" t="str">
        <x:v>汽車精密零組件</x:v>
      </x:c>
      <x:c r="G952" t="n">
        <x:v>10000</x:v>
      </x:c>
      <x:c r="H952" t="n">
        <x:v>2965.8</x:v>
      </x:c>
      <x:c r="I952" t="n">
        <x:v>2281.79</x:v>
      </x:c>
      <x:c r="J952" s="22" t="n">
        <x:v>0.23063254433879565</x:v>
      </x:c>
      <x:c r="K952" s="22" t="n">
        <x:v>0.0684</x:v>
      </x:c>
      <x:c r="L952" t="n">
        <x:v>24</x:v>
      </x:c>
      <x:c r="M952" t="str">
        <x:v>未成交</x:v>
      </x:c>
      <x:c r="N952" s="20" t="n">
        <x:v>46129</x:v>
      </x:c>
      <x:c r="O952" t="str">
        <x:v>交期</x:v>
      </x:c>
    </x:row>
    <x:row r="953" ht="20" customHeight="1">
      <x:c r="A953" t="str">
        <x:v>Q00952</x:v>
      </x:c>
      <x:c r="B953" s="20" t="n">
        <x:v>46171</x:v>
      </x:c>
      <x:c r="C953" t="str">
        <x:v>AUT-006</x:v>
      </x:c>
      <x:c r="D953" t="str">
        <x:v>S03</x:v>
      </x:c>
      <x:c r="E953" t="str">
        <x:v>PM-BRG-B</x:v>
      </x:c>
      <x:c r="F953" t="str">
        <x:v>精密金屬加工件</x:v>
      </x:c>
      <x:c r="G953" t="n">
        <x:v>1600</x:v>
      </x:c>
      <x:c r="H953" t="n">
        <x:v>7882.5</x:v>
      </x:c>
      <x:c r="I953" t="n">
        <x:v>5348.78</x:v>
      </x:c>
      <x:c r="J953" s="22" t="n">
        <x:v>0.32143609261021255</x:v>
      </x:c>
      <x:c r="K953" s="22" t="n">
        <x:v>0.0629</x:v>
      </x:c>
      <x:c r="L953" t="n">
        <x:v>18</x:v>
      </x:c>
      <x:c r="M953" t="str">
        <x:v>成交</x:v>
      </x:c>
      <x:c r="N953" s="20" t="n">
        <x:v>46174</x:v>
      </x:c>
      <x:c r="O953"/>
    </x:row>
    <x:row r="954" ht="20" customHeight="1">
      <x:c r="A954" t="str">
        <x:v>Q00953</x:v>
      </x:c>
      <x:c r="B954" s="20" t="n">
        <x:v>46169</x:v>
      </x:c>
      <x:c r="C954" t="str">
        <x:v>IAT-004</x:v>
      </x:c>
      <x:c r="D954" t="str">
        <x:v>S05</x:v>
      </x:c>
      <x:c r="E954" t="str">
        <x:v>AUTO-BRK-B</x:v>
      </x:c>
      <x:c r="F954" t="str">
        <x:v>汽車精密零組件</x:v>
      </x:c>
      <x:c r="G954" t="n">
        <x:v>5000</x:v>
      </x:c>
      <x:c r="H954" t="n">
        <x:v>2172.93</x:v>
      </x:c>
      <x:c r="I954" t="n">
        <x:v>1709.14</x:v>
      </x:c>
      <x:c r="J954" s="22" t="n">
        <x:v>0.2134399175307073</x:v>
      </x:c>
      <x:c r="K954" s="22" t="n">
        <x:v>0.039</x:v>
      </x:c>
      <x:c r="L954" t="n">
        <x:v>17</x:v>
      </x:c>
      <x:c r="M954" t="str">
        <x:v>成交</x:v>
      </x:c>
      <x:c r="N954" s="20" t="n">
        <x:v>46173</x:v>
      </x:c>
      <x:c r="O954"/>
    </x:row>
    <x:row r="955" ht="20" customHeight="1">
      <x:c r="A955" t="str">
        <x:v>Q00954</x:v>
      </x:c>
      <x:c r="B955" s="20" t="n">
        <x:v>46145</x:v>
      </x:c>
      <x:c r="C955" t="str">
        <x:v>IAT-006</x:v>
      </x:c>
      <x:c r="D955" t="str">
        <x:v>S01</x:v>
      </x:c>
      <x:c r="E955" t="str">
        <x:v>PM-ALB-B</x:v>
      </x:c>
      <x:c r="F955" t="str">
        <x:v>精密金屬加工件</x:v>
      </x:c>
      <x:c r="G955" t="n">
        <x:v>800</x:v>
      </x:c>
      <x:c r="H955" t="n">
        <x:v>16083.94</x:v>
      </x:c>
      <x:c r="I955" t="n">
        <x:v>11732.99</x:v>
      </x:c>
      <x:c r="J955" s="22" t="n">
        <x:v>0.27051518471220365</x:v>
      </x:c>
      <x:c r="K955" s="22" t="n">
        <x:v>0.0545</x:v>
      </x:c>
      <x:c r="L955" t="n">
        <x:v>22</x:v>
      </x:c>
      <x:c r="M955" t="str">
        <x:v>未成交</x:v>
      </x:c>
      <x:c r="N955" s="20" t="n">
        <x:v>46153</x:v>
      </x:c>
      <x:c r="O955" t="str">
        <x:v>專案取消</x:v>
      </x:c>
    </x:row>
    <x:row r="956" ht="20" customHeight="1">
      <x:c r="A956" t="str">
        <x:v>Q00955</x:v>
      </x:c>
      <x:c r="B956" s="20" t="n">
        <x:v>46160</x:v>
      </x:c>
      <x:c r="C956" t="str">
        <x:v>AUT-008</x:v>
      </x:c>
      <x:c r="D956" t="str">
        <x:v>S01</x:v>
      </x:c>
      <x:c r="E956" t="str">
        <x:v>PM-SUS-B</x:v>
      </x:c>
      <x:c r="F956" t="str">
        <x:v>精密金屬加工件</x:v>
      </x:c>
      <x:c r="G956" t="n">
        <x:v>500</x:v>
      </x:c>
      <x:c r="H956" t="n">
        <x:v>13626.17</x:v>
      </x:c>
      <x:c r="I956" t="n">
        <x:v>11288.7</x:v>
      </x:c>
      <x:c r="J956" s="22" t="n">
        <x:v>0.17154270055342033</x:v>
      </x:c>
      <x:c r="K956" s="22" t="n">
        <x:v>0.1325</x:v>
      </x:c>
      <x:c r="L956" t="n">
        <x:v>30</x:v>
      </x:c>
      <x:c r="M956" t="str">
        <x:v>未成交</x:v>
      </x:c>
      <x:c r="N956" s="20" t="n">
        <x:v>46167</x:v>
      </x:c>
      <x:c r="O956" t="str">
        <x:v>價格</x:v>
      </x:c>
    </x:row>
    <x:row r="957" ht="20" customHeight="1">
      <x:c r="A957" t="str">
        <x:v>Q00956</x:v>
      </x:c>
      <x:c r="B957" s="20" t="n">
        <x:v>46147</x:v>
      </x:c>
      <x:c r="C957" t="str">
        <x:v>AUT-002</x:v>
      </x:c>
      <x:c r="D957" t="str">
        <x:v>S04</x:v>
      </x:c>
      <x:c r="E957" t="str">
        <x:v>PM-BRG-A</x:v>
      </x:c>
      <x:c r="F957" t="str">
        <x:v>精密金屬加工件</x:v>
      </x:c>
      <x:c r="G957" t="n">
        <x:v>300</x:v>
      </x:c>
      <x:c r="H957" t="n">
        <x:v>6652.68</x:v>
      </x:c>
      <x:c r="I957" t="n">
        <x:v>4525.07</x:v>
      </x:c>
      <x:c r="J957" s="22" t="n">
        <x:v>0.3198124665548321</x:v>
      </x:c>
      <x:c r="K957" s="22" t="n">
        <x:v>0.0828</x:v>
      </x:c>
      <x:c r="L957" t="n">
        <x:v>16</x:v>
      </x:c>
      <x:c r="M957" t="str">
        <x:v>未成交</x:v>
      </x:c>
      <x:c r="N957" s="20" t="n">
        <x:v>46151</x:v>
      </x:c>
      <x:c r="O957" t="str">
        <x:v>專案取消</x:v>
      </x:c>
    </x:row>
    <x:row r="958" ht="20" customHeight="1">
      <x:c r="A958" t="str">
        <x:v>Q00957</x:v>
      </x:c>
      <x:c r="B958" s="20" t="n">
        <x:v>46171</x:v>
      </x:c>
      <x:c r="C958" t="str">
        <x:v>SEM-006</x:v>
      </x:c>
      <x:c r="D958" t="str">
        <x:v>S06</x:v>
      </x:c>
      <x:c r="E958" t="str">
        <x:v>PM-ALB-B</x:v>
      </x:c>
      <x:c r="F958" t="str">
        <x:v>精密金屬加工件</x:v>
      </x:c>
      <x:c r="G958" t="n">
        <x:v>800</x:v>
      </x:c>
      <x:c r="H958" t="n">
        <x:v>15352</x:v>
      </x:c>
      <x:c r="I958" t="n">
        <x:v>11832</x:v>
      </x:c>
      <x:c r="J958" s="22" t="n">
        <x:v>0.2292860865033872</x:v>
      </x:c>
      <x:c r="K958" s="22" t="n">
        <x:v>0.0758</x:v>
      </x:c>
      <x:c r="L958" t="n">
        <x:v>33</x:v>
      </x:c>
      <x:c r="M958" t="str">
        <x:v>成交</x:v>
      </x:c>
      <x:c r="N958" s="20" t="n">
        <x:v>46180</x:v>
      </x:c>
      <x:c r="O958"/>
    </x:row>
    <x:row r="959" ht="20" customHeight="1">
      <x:c r="A959" t="str">
        <x:v>Q00958</x:v>
      </x:c>
      <x:c r="B959" s="20" t="n">
        <x:v>46144</x:v>
      </x:c>
      <x:c r="C959" t="str">
        <x:v>AFT-005</x:v>
      </x:c>
      <x:c r="D959" t="str">
        <x:v>S05</x:v>
      </x:c>
      <x:c r="E959" t="str">
        <x:v>AUTO-BRK-A</x:v>
      </x:c>
      <x:c r="F959" t="str">
        <x:v>汽車精密零組件</x:v>
      </x:c>
      <x:c r="G959" t="n">
        <x:v>3000</x:v>
      </x:c>
      <x:c r="H959" t="n">
        <x:v>1744.31</x:v>
      </x:c>
      <x:c r="I959" t="n">
        <x:v>1402.55</x:v>
      </x:c>
      <x:c r="J959" s="22" t="n">
        <x:v>0.19592847601630445</x:v>
      </x:c>
      <x:c r="K959" s="22" t="n">
        <x:v>0.0566</x:v>
      </x:c>
      <x:c r="L959" t="n">
        <x:v>13</x:v>
      </x:c>
      <x:c r="M959" t="str">
        <x:v>成交</x:v>
      </x:c>
      <x:c r="N959" s="20" t="n">
        <x:v>46147</x:v>
      </x:c>
      <x:c r="O959"/>
    </x:row>
    <x:row r="960" ht="20" customHeight="1">
      <x:c r="A960" t="str">
        <x:v>Q00959</x:v>
      </x:c>
      <x:c r="B960" s="20" t="n">
        <x:v>46162</x:v>
      </x:c>
      <x:c r="C960" t="str">
        <x:v>EMS-002</x:v>
      </x:c>
      <x:c r="D960" t="str">
        <x:v>S05</x:v>
      </x:c>
      <x:c r="E960" t="str">
        <x:v>SEMI-WH-A</x:v>
      </x:c>
      <x:c r="F960" t="str">
        <x:v>半導體設備零組件</x:v>
      </x:c>
      <x:c r="G960" t="n">
        <x:v>40</x:v>
      </x:c>
      <x:c r="H960" t="n">
        <x:v>105990.13</x:v>
      </x:c>
      <x:c r="I960" t="n">
        <x:v>89580.62</x:v>
      </x:c>
      <x:c r="J960" s="22" t="n">
        <x:v>0.15482111400372855</x:v>
      </x:c>
      <x:c r="K960" s="22" t="n">
        <x:v>0.1196</x:v>
      </x:c>
      <x:c r="L960" t="n">
        <x:v>43</x:v>
      </x:c>
      <x:c r="M960" t="str">
        <x:v>未成交</x:v>
      </x:c>
      <x:c r="N960" s="20" t="n">
        <x:v>46169</x:v>
      </x:c>
      <x:c r="O960" t="str">
        <x:v>專案取消</x:v>
      </x:c>
    </x:row>
    <x:row r="961" ht="20" customHeight="1">
      <x:c r="A961" t="str">
        <x:v>Q00960</x:v>
      </x:c>
      <x:c r="B961" s="20" t="n">
        <x:v>46152</x:v>
      </x:c>
      <x:c r="C961" t="str">
        <x:v>AFT-003</x:v>
      </x:c>
      <x:c r="D961" t="str">
        <x:v>S01</x:v>
      </x:c>
      <x:c r="E961" t="str">
        <x:v>PM-BRG-B</x:v>
      </x:c>
      <x:c r="F961" t="str">
        <x:v>精密金屬加工件</x:v>
      </x:c>
      <x:c r="G961" t="n">
        <x:v>300</x:v>
      </x:c>
      <x:c r="H961" t="n">
        <x:v>7568.67</x:v>
      </x:c>
      <x:c r="I961" t="n">
        <x:v>5362.44</x:v>
      </x:c>
      <x:c r="J961" s="22" t="n">
        <x:v>0.2914950711287453</x:v>
      </x:c>
      <x:c r="K961" s="22" t="n">
        <x:v>0.1062</x:v>
      </x:c>
      <x:c r="L961" t="n">
        <x:v>21</x:v>
      </x:c>
      <x:c r="M961" t="str">
        <x:v>未成交</x:v>
      </x:c>
      <x:c r="N961" s="20" t="n">
        <x:v>46164</x:v>
      </x:c>
      <x:c r="O961" t="str">
        <x:v>專案取消</x:v>
      </x:c>
    </x:row>
    <x:row r="962" ht="20" customHeight="1">
      <x:c r="A962" t="str">
        <x:v>Q00961</x:v>
      </x:c>
      <x:c r="B962" s="20" t="n">
        <x:v>46149</x:v>
      </x:c>
      <x:c r="C962" t="str">
        <x:v>EMS-006</x:v>
      </x:c>
      <x:c r="D962" t="str">
        <x:v>S03</x:v>
      </x:c>
      <x:c r="E962" t="str">
        <x:v>AUTO-FL-B</x:v>
      </x:c>
      <x:c r="F962" t="str">
        <x:v>汽車精密零組件</x:v>
      </x:c>
      <x:c r="G962" t="n">
        <x:v>7000</x:v>
      </x:c>
      <x:c r="H962" t="n">
        <x:v>1433.2</x:v>
      </x:c>
      <x:c r="I962" t="n">
        <x:v>1159.8</x:v>
      </x:c>
      <x:c r="J962" s="22" t="n">
        <x:v>0.1907619313424505</x:v>
      </x:c>
      <x:c r="K962" s="22" t="n">
        <x:v>0.1128</x:v>
      </x:c>
      <x:c r="L962" t="n">
        <x:v>15</x:v>
      </x:c>
      <x:c r="M962" t="str">
        <x:v>未成交</x:v>
      </x:c>
      <x:c r="N962" s="20" t="n">
        <x:v>46159</x:v>
      </x:c>
      <x:c r="O962" t="str">
        <x:v>專案取消</x:v>
      </x:c>
    </x:row>
    <x:row r="963" ht="20" customHeight="1">
      <x:c r="A963" t="str">
        <x:v>Q00962</x:v>
      </x:c>
      <x:c r="B963" s="20" t="n">
        <x:v>46157</x:v>
      </x:c>
      <x:c r="C963" t="str">
        <x:v>EMS-003</x:v>
      </x:c>
      <x:c r="D963" t="str">
        <x:v>S05</x:v>
      </x:c>
      <x:c r="E963" t="str">
        <x:v>AUTO-FL-A</x:v>
      </x:c>
      <x:c r="F963" t="str">
        <x:v>汽車精密零組件</x:v>
      </x:c>
      <x:c r="G963" t="n">
        <x:v>10000</x:v>
      </x:c>
      <x:c r="H963" t="n">
        <x:v>1330.71</x:v>
      </x:c>
      <x:c r="I963" t="n">
        <x:v>1007.19</x:v>
      </x:c>
      <x:c r="J963" s="22" t="n">
        <x:v>0.24311833532475144</x:v>
      </x:c>
      <x:c r="K963" s="22" t="n">
        <x:v>0.0331</x:v>
      </x:c>
      <x:c r="L963" t="n">
        <x:v>17</x:v>
      </x:c>
      <x:c r="M963" t="str">
        <x:v>成交</x:v>
      </x:c>
      <x:c r="N963" s="20" t="n">
        <x:v>46163</x:v>
      </x:c>
      <x:c r="O963"/>
    </x:row>
    <x:row r="964" ht="20" customHeight="1">
      <x:c r="A964" t="str">
        <x:v>Q00963</x:v>
      </x:c>
      <x:c r="B964" s="20" t="n">
        <x:v>46157</x:v>
      </x:c>
      <x:c r="C964" t="str">
        <x:v>AUT-009</x:v>
      </x:c>
      <x:c r="D964" t="str">
        <x:v>S04</x:v>
      </x:c>
      <x:c r="E964" t="str">
        <x:v>AUTO-FL-B</x:v>
      </x:c>
      <x:c r="F964" t="str">
        <x:v>汽車精密零組件</x:v>
      </x:c>
      <x:c r="G964" t="n">
        <x:v>13000</x:v>
      </x:c>
      <x:c r="H964" t="n">
        <x:v>1498.91</x:v>
      </x:c>
      <x:c r="I964" t="n">
        <x:v>1150.4</x:v>
      </x:c>
      <x:c r="J964" s="22" t="n">
        <x:v>0.2325089565083961</x:v>
      </x:c>
      <x:c r="K964" s="22" t="n">
        <x:v>0.0626</x:v>
      </x:c>
      <x:c r="L964" t="n">
        <x:v>16</x:v>
      </x:c>
      <x:c r="M964" t="str">
        <x:v>未成交</x:v>
      </x:c>
      <x:c r="N964" s="20" t="n">
        <x:v>46169</x:v>
      </x:c>
      <x:c r="O964" t="str">
        <x:v>規格</x:v>
      </x:c>
    </x:row>
    <x:row r="965" ht="20" customHeight="1">
      <x:c r="A965" t="str">
        <x:v>Q00964</x:v>
      </x:c>
      <x:c r="B965" s="20" t="n">
        <x:v>46154</x:v>
      </x:c>
      <x:c r="C965" t="str">
        <x:v>IAT-001</x:v>
      </x:c>
      <x:c r="D965" t="str">
        <x:v>S05</x:v>
      </x:c>
      <x:c r="E965" t="str">
        <x:v>AUTO-FL-B</x:v>
      </x:c>
      <x:c r="F965" t="str">
        <x:v>汽車精密零組件</x:v>
      </x:c>
      <x:c r="G965" t="n">
        <x:v>10000</x:v>
      </x:c>
      <x:c r="H965" t="n">
        <x:v>1411.44</x:v>
      </x:c>
      <x:c r="I965" t="n">
        <x:v>1214.46</x:v>
      </x:c>
      <x:c r="J965" s="22" t="n">
        <x:v>0.1395595987077028</x:v>
      </x:c>
      <x:c r="K965" s="22" t="n">
        <x:v>0.1289</x:v>
      </x:c>
      <x:c r="L965" t="n">
        <x:v>16</x:v>
      </x:c>
      <x:c r="M965" t="str">
        <x:v>未成交</x:v>
      </x:c>
      <x:c r="N965" s="20" t="n">
        <x:v>46166</x:v>
      </x:c>
      <x:c r="O965" t="str">
        <x:v>競品</x:v>
      </x:c>
    </x:row>
    <x:row r="966" ht="20" customHeight="1">
      <x:c r="A966" t="str">
        <x:v>Q00965</x:v>
      </x:c>
      <x:c r="B966" s="20" t="n">
        <x:v>46162</x:v>
      </x:c>
      <x:c r="C966" t="str">
        <x:v>IAT-006</x:v>
      </x:c>
      <x:c r="D966" t="str">
        <x:v>S01</x:v>
      </x:c>
      <x:c r="E966" t="str">
        <x:v>AUTO-FL-A</x:v>
      </x:c>
      <x:c r="F966" t="str">
        <x:v>汽車精密零組件</x:v>
      </x:c>
      <x:c r="G966" t="n">
        <x:v>10000</x:v>
      </x:c>
      <x:c r="H966" t="n">
        <x:v>1323.4</x:v>
      </x:c>
      <x:c r="I966" t="n">
        <x:v>981.35</x:v>
      </x:c>
      <x:c r="J966" s="22" t="n">
        <x:v>0.2584630497204171</x:v>
      </x:c>
      <x:c r="K966" s="22" t="n">
        <x:v>0.0299</x:v>
      </x:c>
      <x:c r="L966" t="n">
        <x:v>14</x:v>
      </x:c>
      <x:c r="M966" t="str">
        <x:v>成交</x:v>
      </x:c>
      <x:c r="N966" s="20" t="n">
        <x:v>46172</x:v>
      </x:c>
      <x:c r="O966"/>
    </x:row>
    <x:row r="967" ht="20" customHeight="1">
      <x:c r="A967" t="str">
        <x:v>Q00966</x:v>
      </x:c>
      <x:c r="B967" s="20" t="n">
        <x:v>46156</x:v>
      </x:c>
      <x:c r="C967" t="str">
        <x:v>AUT-012</x:v>
      </x:c>
      <x:c r="D967" t="str">
        <x:v>S06</x:v>
      </x:c>
      <x:c r="E967" t="str">
        <x:v>PM-SUS-A</x:v>
      </x:c>
      <x:c r="F967" t="str">
        <x:v>精密金屬加工件</x:v>
      </x:c>
      <x:c r="G967" t="n">
        <x:v>1200</x:v>
      </x:c>
      <x:c r="H967" t="n">
        <x:v>9532.14</x:v>
      </x:c>
      <x:c r="I967" t="n">
        <x:v>7476.92</x:v>
      </x:c>
      <x:c r="J967" s="22" t="n">
        <x:v>0.21560950636478268</x:v>
      </x:c>
      <x:c r="K967" s="22" t="n">
        <x:v>0.148</x:v>
      </x:c>
      <x:c r="L967" t="n">
        <x:v>26</x:v>
      </x:c>
      <x:c r="M967" t="str">
        <x:v>成交</x:v>
      </x:c>
      <x:c r="N967" s="20" t="n">
        <x:v>46168</x:v>
      </x:c>
      <x:c r="O967"/>
    </x:row>
    <x:row r="968" ht="20" customHeight="1">
      <x:c r="A968" t="str">
        <x:v>Q00967</x:v>
      </x:c>
      <x:c r="B968" s="20" t="n">
        <x:v>46165</x:v>
      </x:c>
      <x:c r="C968" t="str">
        <x:v>SEM-010</x:v>
      </x:c>
      <x:c r="D968" t="str">
        <x:v>S01</x:v>
      </x:c>
      <x:c r="E968" t="str">
        <x:v>MECH-CON-B</x:v>
      </x:c>
      <x:c r="F968" t="str">
        <x:v>機電／自動化模組</x:v>
      </x:c>
      <x:c r="G968" t="n">
        <x:v>20</x:v>
      </x:c>
      <x:c r="H968" t="n">
        <x:v>145017.7</x:v>
      </x:c>
      <x:c r="I968" t="n">
        <x:v>116766.81</x:v>
      </x:c>
      <x:c r="J968" s="22" t="n">
        <x:v>0.19480994388960804</x:v>
      </x:c>
      <x:c r="K968" s="22" t="n">
        <x:v>0.1113</x:v>
      </x:c>
      <x:c r="L968" t="n">
        <x:v>36</x:v>
      </x:c>
      <x:c r="M968" t="str">
        <x:v>成交</x:v>
      </x:c>
      <x:c r="N968" s="20" t="n">
        <x:v>46171</x:v>
      </x:c>
      <x:c r="O968"/>
    </x:row>
    <x:row r="969" ht="20" customHeight="1">
      <x:c r="A969" t="str">
        <x:v>Q00968</x:v>
      </x:c>
      <x:c r="B969" s="20" t="n">
        <x:v>46155</x:v>
      </x:c>
      <x:c r="C969" t="str">
        <x:v>AFT-005</x:v>
      </x:c>
      <x:c r="D969" t="str">
        <x:v>S05</x:v>
      </x:c>
      <x:c r="E969" t="str">
        <x:v>AUTO-FL-B</x:v>
      </x:c>
      <x:c r="F969" t="str">
        <x:v>汽車精密零組件</x:v>
      </x:c>
      <x:c r="G969" t="n">
        <x:v>7000</x:v>
      </x:c>
      <x:c r="H969" t="n">
        <x:v>1533.9</x:v>
      </x:c>
      <x:c r="I969" t="n">
        <x:v>1215.45</x:v>
      </x:c>
      <x:c r="J969" s="22" t="n">
        <x:v>0.20760805789164877</x:v>
      </x:c>
      <x:c r="K969" s="22" t="n">
        <x:v>0.0536</x:v>
      </x:c>
      <x:c r="L969" t="n">
        <x:v>16</x:v>
      </x:c>
      <x:c r="M969" t="str">
        <x:v>未成交</x:v>
      </x:c>
      <x:c r="N969" s="20" t="n">
        <x:v>46160</x:v>
      </x:c>
      <x:c r="O969" t="str">
        <x:v>交期</x:v>
      </x:c>
    </x:row>
    <x:row r="970" ht="20" customHeight="1">
      <x:c r="A970" t="str">
        <x:v>Q00969</x:v>
      </x:c>
      <x:c r="B970" s="20" t="n">
        <x:v>46158</x:v>
      </x:c>
      <x:c r="C970" t="str">
        <x:v>SEM-006</x:v>
      </x:c>
      <x:c r="D970" t="str">
        <x:v>S06</x:v>
      </x:c>
      <x:c r="E970" t="str">
        <x:v>PM-ALB-B</x:v>
      </x:c>
      <x:c r="F970" t="str">
        <x:v>精密金屬加工件</x:v>
      </x:c>
      <x:c r="G970" t="n">
        <x:v>1200</x:v>
      </x:c>
      <x:c r="H970" t="n">
        <x:v>16095.1</x:v>
      </x:c>
      <x:c r="I970" t="n">
        <x:v>12081.78</x:v>
      </x:c>
      <x:c r="J970" s="22" t="n">
        <x:v>0.24935042342079264</x:v>
      </x:c>
      <x:c r="K970" s="22" t="n">
        <x:v>0.0495</x:v>
      </x:c>
      <x:c r="L970" t="n">
        <x:v>34</x:v>
      </x:c>
      <x:c r="M970" t="str">
        <x:v>成交</x:v>
      </x:c>
      <x:c r="N970" s="20" t="n">
        <x:v>46165</x:v>
      </x:c>
      <x:c r="O970"/>
    </x:row>
    <x:row r="971" ht="20" customHeight="1">
      <x:c r="A971" t="str">
        <x:v>Q00970</x:v>
      </x:c>
      <x:c r="B971" s="20" t="n">
        <x:v>46148</x:v>
      </x:c>
      <x:c r="C971" t="str">
        <x:v>AUT-012</x:v>
      </x:c>
      <x:c r="D971" t="str">
        <x:v>S06</x:v>
      </x:c>
      <x:c r="E971" t="str">
        <x:v>PM-BRG-B</x:v>
      </x:c>
      <x:c r="F971" t="str">
        <x:v>精密金屬加工件</x:v>
      </x:c>
      <x:c r="G971" t="n">
        <x:v>300</x:v>
      </x:c>
      <x:c r="H971" t="n">
        <x:v>7852.66</x:v>
      </x:c>
      <x:c r="I971" t="n">
        <x:v>5511.08</x:v>
      </x:c>
      <x:c r="J971" s="22" t="n">
        <x:v>0.2981894033359397</x:v>
      </x:c>
      <x:c r="K971" s="22" t="n">
        <x:v>0.0771</x:v>
      </x:c>
      <x:c r="L971" t="n">
        <x:v>23</x:v>
      </x:c>
      <x:c r="M971" t="str">
        <x:v>未成交</x:v>
      </x:c>
      <x:c r="N971" s="20" t="n">
        <x:v>46154</x:v>
      </x:c>
      <x:c r="O971" t="str">
        <x:v>規格</x:v>
      </x:c>
    </x:row>
    <x:row r="972" ht="20" customHeight="1">
      <x:c r="A972" t="str">
        <x:v>Q00971</x:v>
      </x:c>
      <x:c r="B972" s="20" t="n">
        <x:v>46143</x:v>
      </x:c>
      <x:c r="C972" t="str">
        <x:v>IAT-007</x:v>
      </x:c>
      <x:c r="D972" t="str">
        <x:v>S04</x:v>
      </x:c>
      <x:c r="E972" t="str">
        <x:v>PM-SUS-A</x:v>
      </x:c>
      <x:c r="F972" t="str">
        <x:v>精密金屬加工件</x:v>
      </x:c>
      <x:c r="G972" t="n">
        <x:v>300</x:v>
      </x:c>
      <x:c r="H972" t="n">
        <x:v>9612.11</x:v>
      </x:c>
      <x:c r="I972" t="n">
        <x:v>7726.33</x:v>
      </x:c>
      <x:c r="J972" s="22" t="n">
        <x:v>0.19618793376272228</x:v>
      </x:c>
      <x:c r="K972" s="22" t="n">
        <x:v>0.1556</x:v>
      </x:c>
      <x:c r="L972" t="n">
        <x:v>18</x:v>
      </x:c>
      <x:c r="M972" t="str">
        <x:v>未成交</x:v>
      </x:c>
      <x:c r="N972" s="20" t="n">
        <x:v>46154</x:v>
      </x:c>
      <x:c r="O972" t="str">
        <x:v>規格</x:v>
      </x:c>
    </x:row>
    <x:row r="973" ht="20" customHeight="1">
      <x:c r="A973" t="str">
        <x:v>Q00972</x:v>
      </x:c>
      <x:c r="B973" s="20" t="n">
        <x:v>46152</x:v>
      </x:c>
      <x:c r="C973" t="str">
        <x:v>AUT-006</x:v>
      </x:c>
      <x:c r="D973" t="str">
        <x:v>S03</x:v>
      </x:c>
      <x:c r="E973" t="str">
        <x:v>PM-VAC-A</x:v>
      </x:c>
      <x:c r="F973" t="str">
        <x:v>精密金屬加工件</x:v>
      </x:c>
      <x:c r="G973" t="n">
        <x:v>500</x:v>
      </x:c>
      <x:c r="H973" t="n">
        <x:v>15529.16</x:v>
      </x:c>
      <x:c r="I973" t="n">
        <x:v>11020.81</x:v>
      </x:c>
      <x:c r="J973" s="22" t="n">
        <x:v>0.2903151232906352</x:v>
      </x:c>
      <x:c r="K973" s="22" t="n">
        <x:v>0.0748</x:v>
      </x:c>
      <x:c r="L973" t="n">
        <x:v>27</x:v>
      </x:c>
      <x:c r="M973" t="str">
        <x:v>未成交</x:v>
      </x:c>
      <x:c r="N973" s="20" t="n">
        <x:v>46160</x:v>
      </x:c>
      <x:c r="O973" t="str">
        <x:v>規格</x:v>
      </x:c>
    </x:row>
    <x:row r="974" ht="20" customHeight="1">
      <x:c r="A974" t="str">
        <x:v>Q00973</x:v>
      </x:c>
      <x:c r="B974" s="20" t="n">
        <x:v>46158</x:v>
      </x:c>
      <x:c r="C974" t="str">
        <x:v>EMS-005</x:v>
      </x:c>
      <x:c r="D974" t="str">
        <x:v>S01</x:v>
      </x:c>
      <x:c r="E974" t="str">
        <x:v>SEMI-CHB-B</x:v>
      </x:c>
      <x:c r="F974" t="str">
        <x:v>半導體設備零組件</x:v>
      </x:c>
      <x:c r="G974" t="n">
        <x:v>40</x:v>
      </x:c>
      <x:c r="H974" t="n">
        <x:v>144816.14</x:v>
      </x:c>
      <x:c r="I974" t="n">
        <x:v>110363.31</x:v>
      </x:c>
      <x:c r="J974" s="22" t="n">
        <x:v>0.23790739070935057</x:v>
      </x:c>
      <x:c r="K974" s="22" t="n">
        <x:v>0.0243</x:v>
      </x:c>
      <x:c r="L974" t="n">
        <x:v>52</x:v>
      </x:c>
      <x:c r="M974" t="str">
        <x:v>成交</x:v>
      </x:c>
      <x:c r="N974" s="20" t="n">
        <x:v>46161</x:v>
      </x:c>
      <x:c r="O974"/>
    </x:row>
    <x:row r="975" ht="20" customHeight="1">
      <x:c r="A975" t="str">
        <x:v>Q00974</x:v>
      </x:c>
      <x:c r="B975" s="20" t="n">
        <x:v>46162</x:v>
      </x:c>
      <x:c r="C975" t="str">
        <x:v>AFT-008</x:v>
      </x:c>
      <x:c r="D975" t="str">
        <x:v>S04</x:v>
      </x:c>
      <x:c r="E975" t="str">
        <x:v>AUTO-BS-A</x:v>
      </x:c>
      <x:c r="F975" t="str">
        <x:v>汽車精密零組件</x:v>
      </x:c>
      <x:c r="G975" t="n">
        <x:v>10000</x:v>
      </x:c>
      <x:c r="H975" t="n">
        <x:v>767.76</x:v>
      </x:c>
      <x:c r="I975" t="n">
        <x:v>550.92</x:v>
      </x:c>
      <x:c r="J975" s="22" t="n">
        <x:v>0.282432010003126</x:v>
      </x:c>
      <x:c r="K975" s="22" t="n">
        <x:v>0.0507</x:v>
      </x:c>
      <x:c r="L975" t="n">
        <x:v>13</x:v>
      </x:c>
      <x:c r="M975" t="str">
        <x:v>成交</x:v>
      </x:c>
      <x:c r="N975" s="20" t="n">
        <x:v>46171</x:v>
      </x:c>
      <x:c r="O975"/>
    </x:row>
    <x:row r="976" ht="20" customHeight="1">
      <x:c r="A976" t="str">
        <x:v>Q00975</x:v>
      </x:c>
      <x:c r="B976" s="20" t="n">
        <x:v>46157</x:v>
      </x:c>
      <x:c r="C976" t="str">
        <x:v>AUT-005</x:v>
      </x:c>
      <x:c r="D976" t="str">
        <x:v>S04</x:v>
      </x:c>
      <x:c r="E976" t="str">
        <x:v>AUTO-FL-A</x:v>
      </x:c>
      <x:c r="F976" t="str">
        <x:v>汽車精密零組件</x:v>
      </x:c>
      <x:c r="G976" t="n">
        <x:v>3000</x:v>
      </x:c>
      <x:c r="H976" t="n">
        <x:v>1238.76</x:v>
      </x:c>
      <x:c r="I976" t="n">
        <x:v>979.51</x:v>
      </x:c>
      <x:c r="J976" s="22" t="n">
        <x:v>0.20928186250766895</x:v>
      </x:c>
      <x:c r="K976" s="22" t="n">
        <x:v>0.1003</x:v>
      </x:c>
      <x:c r="L976" t="n">
        <x:v>13</x:v>
      </x:c>
      <x:c r="M976" t="str">
        <x:v>未成交</x:v>
      </x:c>
      <x:c r="N976" s="20" t="n">
        <x:v>46164</x:v>
      </x:c>
      <x:c r="O976" t="str">
        <x:v>競品</x:v>
      </x:c>
    </x:row>
    <x:row r="977" ht="20" customHeight="1">
      <x:c r="A977" t="str">
        <x:v>Q00976</x:v>
      </x:c>
      <x:c r="B977" s="20" t="n">
        <x:v>46143</x:v>
      </x:c>
      <x:c r="C977" t="str">
        <x:v>EMS-001</x:v>
      </x:c>
      <x:c r="D977" t="str">
        <x:v>S02</x:v>
      </x:c>
      <x:c r="E977" t="str">
        <x:v>PM-ALB-B</x:v>
      </x:c>
      <x:c r="F977" t="str">
        <x:v>精密金屬加工件</x:v>
      </x:c>
      <x:c r="G977" t="n">
        <x:v>1600</x:v>
      </x:c>
      <x:c r="H977" t="n">
        <x:v>16052.92</x:v>
      </x:c>
      <x:c r="I977" t="n">
        <x:v>11668.06</x:v>
      </x:c>
      <x:c r="J977" s="22" t="n">
        <x:v>0.2731503053650053</x:v>
      </x:c>
      <x:c r="K977" s="22" t="n">
        <x:v>0.0306</x:v>
      </x:c>
      <x:c r="L977" t="n">
        <x:v>31</x:v>
      </x:c>
      <x:c r="M977" t="str">
        <x:v>成交</x:v>
      </x:c>
      <x:c r="N977" s="20" t="n">
        <x:v>46153</x:v>
      </x:c>
      <x:c r="O977"/>
    </x:row>
    <x:row r="978" ht="20" customHeight="1">
      <x:c r="A978" t="str">
        <x:v>Q00977</x:v>
      </x:c>
      <x:c r="B978" s="20" t="n">
        <x:v>46172</x:v>
      </x:c>
      <x:c r="C978" t="str">
        <x:v>EMS-003</x:v>
      </x:c>
      <x:c r="D978" t="str">
        <x:v>S05</x:v>
      </x:c>
      <x:c r="E978" t="str">
        <x:v>AUTO-BRK-A</x:v>
      </x:c>
      <x:c r="F978" t="str">
        <x:v>汽車精密零組件</x:v>
      </x:c>
      <x:c r="G978" t="n">
        <x:v>7000</x:v>
      </x:c>
      <x:c r="H978" t="n">
        <x:v>1652.88</x:v>
      </x:c>
      <x:c r="I978" t="n">
        <x:v>1344.89</x:v>
      </x:c>
      <x:c r="J978" s="22" t="n">
        <x:v>0.1863353661487827</x:v>
      </x:c>
      <x:c r="K978" s="22" t="n">
        <x:v>0.0943</x:v>
      </x:c>
      <x:c r="L978" t="n">
        <x:v>18</x:v>
      </x:c>
      <x:c r="M978" t="str">
        <x:v>成交</x:v>
      </x:c>
      <x:c r="N978" s="20" t="n">
        <x:v>46184</x:v>
      </x:c>
      <x:c r="O978"/>
    </x:row>
    <x:row r="979" ht="20" customHeight="1">
      <x:c r="A979" t="str">
        <x:v>Q00978</x:v>
      </x:c>
      <x:c r="B979" s="20" t="n">
        <x:v>46147</x:v>
      </x:c>
      <x:c r="C979" t="str">
        <x:v>AFT-006</x:v>
      </x:c>
      <x:c r="D979" t="str">
        <x:v>S01</x:v>
      </x:c>
      <x:c r="E979" t="str">
        <x:v>AUTO-BRK-B</x:v>
      </x:c>
      <x:c r="F979" t="str">
        <x:v>汽車精密零組件</x:v>
      </x:c>
      <x:c r="G979" t="n">
        <x:v>13000</x:v>
      </x:c>
      <x:c r="H979" t="n">
        <x:v>2182.32</x:v>
      </x:c>
      <x:c r="I979" t="n">
        <x:v>1617.48</x:v>
      </x:c>
      <x:c r="J979" s="22" t="n">
        <x:v>0.2588254701418674</x:v>
      </x:c>
      <x:c r="K979" s="22" t="n">
        <x:v>0.0456</x:v>
      </x:c>
      <x:c r="L979" t="n">
        <x:v>21</x:v>
      </x:c>
      <x:c r="M979" t="str">
        <x:v>未成交</x:v>
      </x:c>
      <x:c r="N979" s="20" t="n">
        <x:v>46152</x:v>
      </x:c>
      <x:c r="O979" t="str">
        <x:v>競品</x:v>
      </x:c>
    </x:row>
    <x:row r="980" ht="20" customHeight="1">
      <x:c r="A980" t="str">
        <x:v>Q00979</x:v>
      </x:c>
      <x:c r="B980" s="20" t="n">
        <x:v>46162</x:v>
      </x:c>
      <x:c r="C980" t="str">
        <x:v>AUT-007</x:v>
      </x:c>
      <x:c r="D980" t="str">
        <x:v>S04</x:v>
      </x:c>
      <x:c r="E980" t="str">
        <x:v>PM-VAC-B</x:v>
      </x:c>
      <x:c r="F980" t="str">
        <x:v>精密金屬加工件</x:v>
      </x:c>
      <x:c r="G980" t="n">
        <x:v>1600</x:v>
      </x:c>
      <x:c r="H980" t="n">
        <x:v>22158.24</x:v>
      </x:c>
      <x:c r="I980" t="n">
        <x:v>15152.35</x:v>
      </x:c>
      <x:c r="J980" s="22" t="n">
        <x:v>0.316175382160316</x:v>
      </x:c>
      <x:c r="K980" s="22" t="n">
        <x:v>0.0586</x:v>
      </x:c>
      <x:c r="L980" t="n">
        <x:v>31</x:v>
      </x:c>
      <x:c r="M980" t="str">
        <x:v>成交</x:v>
      </x:c>
      <x:c r="N980" s="20" t="n">
        <x:v>46167</x:v>
      </x:c>
      <x:c r="O980"/>
    </x:row>
    <x:row r="981" ht="20" customHeight="1">
      <x:c r="A981" t="str">
        <x:v>Q00980</x:v>
      </x:c>
      <x:c r="B981" s="20" t="n">
        <x:v>46143</x:v>
      </x:c>
      <x:c r="C981" t="str">
        <x:v>EMS-006</x:v>
      </x:c>
      <x:c r="D981" t="str">
        <x:v>S03</x:v>
      </x:c>
      <x:c r="E981" t="str">
        <x:v>AUTO-KN-B</x:v>
      </x:c>
      <x:c r="F981" t="str">
        <x:v>汽車精密零組件</x:v>
      </x:c>
      <x:c r="G981" t="n">
        <x:v>3000</x:v>
      </x:c>
      <x:c r="H981" t="n">
        <x:v>3539.67</x:v>
      </x:c>
      <x:c r="I981" t="n">
        <x:v>2513.47</x:v>
      </x:c>
      <x:c r="J981" s="22" t="n">
        <x:v>0.28991403153401313</x:v>
      </x:c>
      <x:c r="K981" s="22" t="n">
        <x:v>0.1058</x:v>
      </x:c>
      <x:c r="L981" t="n">
        <x:v>26</x:v>
      </x:c>
      <x:c r="M981" t="str">
        <x:v>未成交</x:v>
      </x:c>
      <x:c r="N981" s="20" t="n">
        <x:v>46149</x:v>
      </x:c>
      <x:c r="O981" t="str">
        <x:v>競品</x:v>
      </x:c>
    </x:row>
    <x:row r="982" ht="20" customHeight="1">
      <x:c r="A982" t="str">
        <x:v>Q00981</x:v>
      </x:c>
      <x:c r="B982" s="20" t="n">
        <x:v>46145</x:v>
      </x:c>
      <x:c r="C982" t="str">
        <x:v>AUT-002</x:v>
      </x:c>
      <x:c r="D982" t="str">
        <x:v>S04</x:v>
      </x:c>
      <x:c r="E982" t="str">
        <x:v>MECH-STG-B</x:v>
      </x:c>
      <x:c r="F982" t="str">
        <x:v>機電／自動化模組</x:v>
      </x:c>
      <x:c r="G982" t="n">
        <x:v>20</x:v>
      </x:c>
      <x:c r="H982" t="n">
        <x:v>187284.22</x:v>
      </x:c>
      <x:c r="I982" t="n">
        <x:v>149789.59</x:v>
      </x:c>
      <x:c r="J982" s="22" t="n">
        <x:v>0.20020175752126904</x:v>
      </x:c>
      <x:c r="K982" s="22" t="n">
        <x:v>0.0794</x:v>
      </x:c>
      <x:c r="L982" t="n">
        <x:v>53</x:v>
      </x:c>
      <x:c r="M982" t="str">
        <x:v>未成交</x:v>
      </x:c>
      <x:c r="N982" s="20" t="n">
        <x:v>46151</x:v>
      </x:c>
      <x:c r="O982" t="str">
        <x:v>價格</x:v>
      </x:c>
    </x:row>
    <x:row r="983" ht="20" customHeight="1">
      <x:c r="A983" t="str">
        <x:v>Q00982</x:v>
      </x:c>
      <x:c r="B983" s="20" t="n">
        <x:v>46172</x:v>
      </x:c>
      <x:c r="C983" t="str">
        <x:v>SEM-006</x:v>
      </x:c>
      <x:c r="D983" t="str">
        <x:v>S06</x:v>
      </x:c>
      <x:c r="E983" t="str">
        <x:v>SEMI-CHB-A</x:v>
      </x:c>
      <x:c r="F983" t="str">
        <x:v>半導體設備零組件</x:v>
      </x:c>
      <x:c r="G983" t="n">
        <x:v>160</x:v>
      </x:c>
      <x:c r="H983" t="n">
        <x:v>96596.95</x:v>
      </x:c>
      <x:c r="I983" t="n">
        <x:v>70578.79</x:v>
      </x:c>
      <x:c r="J983" s="22" t="n">
        <x:v>0.2693476346820475</x:v>
      </x:c>
      <x:c r="K983" s="22" t="n">
        <x:v>0.0206</x:v>
      </x:c>
      <x:c r="L983" t="n">
        <x:v>38</x:v>
      </x:c>
      <x:c r="M983" t="str">
        <x:v>成交</x:v>
      </x:c>
      <x:c r="N983" s="20" t="n">
        <x:v>46183</x:v>
      </x:c>
      <x:c r="O983"/>
    </x:row>
    <x:row r="984" ht="20" customHeight="1">
      <x:c r="A984" t="str">
        <x:v>Q00983</x:v>
      </x:c>
      <x:c r="B984" s="20" t="n">
        <x:v>46159</x:v>
      </x:c>
      <x:c r="C984" t="str">
        <x:v>AUT-013</x:v>
      </x:c>
      <x:c r="D984" t="str">
        <x:v>S01</x:v>
      </x:c>
      <x:c r="E984" t="str">
        <x:v>MECH-CON-A</x:v>
      </x:c>
      <x:c r="F984" t="str">
        <x:v>機電／自動化模組</x:v>
      </x:c>
      <x:c r="G984" t="n">
        <x:v>20</x:v>
      </x:c>
      <x:c r="H984" t="n">
        <x:v>106072.77</x:v>
      </x:c>
      <x:c r="I984" t="n">
        <x:v>81884.24</x:v>
      </x:c>
      <x:c r="J984" s="22" t="n">
        <x:v>0.22803712960451583</x:v>
      </x:c>
      <x:c r="K984" s="22" t="n">
        <x:v>0.1059</x:v>
      </x:c>
      <x:c r="L984" t="n">
        <x:v>29</x:v>
      </x:c>
      <x:c r="M984" t="str">
        <x:v>成交</x:v>
      </x:c>
      <x:c r="N984" s="20" t="n">
        <x:v>46166</x:v>
      </x:c>
      <x:c r="O984"/>
    </x:row>
    <x:row r="985" ht="20" customHeight="1">
      <x:c r="A985" t="str">
        <x:v>Q00984</x:v>
      </x:c>
      <x:c r="B985" s="20" t="n">
        <x:v>46202</x:v>
      </x:c>
      <x:c r="C985" t="str">
        <x:v>EMS-003</x:v>
      </x:c>
      <x:c r="D985" t="str">
        <x:v>S05</x:v>
      </x:c>
      <x:c r="E985" t="str">
        <x:v>AUTO-BS-B</x:v>
      </x:c>
      <x:c r="F985" t="str">
        <x:v>汽車精密零組件</x:v>
      </x:c>
      <x:c r="G985" t="n">
        <x:v>5000</x:v>
      </x:c>
      <x:c r="H985" t="n">
        <x:v>924.43</x:v>
      </x:c>
      <x:c r="I985" t="n">
        <x:v>672.56</x:v>
      </x:c>
      <x:c r="J985" s="22" t="n">
        <x:v>0.27245978603031057</x:v>
      </x:c>
      <x:c r="K985" s="22" t="n">
        <x:v>0.0412</x:v>
      </x:c>
      <x:c r="L985" t="n">
        <x:v>15</x:v>
      </x:c>
      <x:c r="M985" t="str">
        <x:v>成交</x:v>
      </x:c>
      <x:c r="N985" s="20" t="n">
        <x:v>46213</x:v>
      </x:c>
      <x:c r="O985"/>
    </x:row>
    <x:row r="986" ht="20" customHeight="1">
      <x:c r="A986" t="str">
        <x:v>Q00985</x:v>
      </x:c>
      <x:c r="B986" s="20" t="n">
        <x:v>46203</x:v>
      </x:c>
      <x:c r="C986" t="str">
        <x:v>AUT-012</x:v>
      </x:c>
      <x:c r="D986" t="str">
        <x:v>S06</x:v>
      </x:c>
      <x:c r="E986" t="str">
        <x:v>AUTO-KN-B</x:v>
      </x:c>
      <x:c r="F986" t="str">
        <x:v>汽車精密零組件</x:v>
      </x:c>
      <x:c r="G986" t="n">
        <x:v>7000</x:v>
      </x:c>
      <x:c r="H986" t="n">
        <x:v>3650.16</x:v>
      </x:c>
      <x:c r="I986" t="n">
        <x:v>2668.64</x:v>
      </x:c>
      <x:c r="J986" s="22" t="n">
        <x:v>0.2688978017401977</x:v>
      </x:c>
      <x:c r="K986" s="22" t="n">
        <x:v>0.0891</x:v>
      </x:c>
      <x:c r="L986" t="n">
        <x:v>23</x:v>
      </x:c>
      <x:c r="M986" t="str">
        <x:v>成交</x:v>
      </x:c>
      <x:c r="N986" s="20" t="n">
        <x:v>46208</x:v>
      </x:c>
      <x:c r="O986"/>
    </x:row>
    <x:row r="987" ht="20" customHeight="1">
      <x:c r="A987" t="str">
        <x:v>Q00986</x:v>
      </x:c>
      <x:c r="B987" s="20" t="n">
        <x:v>46195</x:v>
      </x:c>
      <x:c r="C987" t="str">
        <x:v>EMS-005</x:v>
      </x:c>
      <x:c r="D987" t="str">
        <x:v>S01</x:v>
      </x:c>
      <x:c r="E987" t="str">
        <x:v>PM-SUS-A</x:v>
      </x:c>
      <x:c r="F987" t="str">
        <x:v>精密金屬加工件</x:v>
      </x:c>
      <x:c r="G987" t="n">
        <x:v>1600</x:v>
      </x:c>
      <x:c r="H987" t="n">
        <x:v>11017.6</x:v>
      </x:c>
      <x:c r="I987" t="n">
        <x:v>7414.4</x:v>
      </x:c>
      <x:c r="J987" s="22" t="n">
        <x:v>0.32704037176880635</x:v>
      </x:c>
      <x:c r="K987" s="22" t="n">
        <x:v>0.01</x:v>
      </x:c>
      <x:c r="L987" t="n">
        <x:v>17</x:v>
      </x:c>
      <x:c r="M987" t="str">
        <x:v>成交</x:v>
      </x:c>
      <x:c r="N987" s="20" t="n">
        <x:v>46200</x:v>
      </x:c>
      <x:c r="O987"/>
    </x:row>
    <x:row r="988" ht="20" customHeight="1">
      <x:c r="A988" t="str">
        <x:v>Q00987</x:v>
      </x:c>
      <x:c r="B988" s="20" t="n">
        <x:v>46181</x:v>
      </x:c>
      <x:c r="C988" t="str">
        <x:v>AFT-007</x:v>
      </x:c>
      <x:c r="D988" t="str">
        <x:v>S04</x:v>
      </x:c>
      <x:c r="E988" t="str">
        <x:v>PM-SUS-B</x:v>
      </x:c>
      <x:c r="F988" t="str">
        <x:v>精密金屬加工件</x:v>
      </x:c>
      <x:c r="G988" t="n">
        <x:v>500</x:v>
      </x:c>
      <x:c r="H988" t="n">
        <x:v>15341.96</x:v>
      </x:c>
      <x:c r="I988" t="n">
        <x:v>10860.84</x:v>
      </x:c>
      <x:c r="J988" s="22" t="n">
        <x:v>0.29208262829521126</x:v>
      </x:c>
      <x:c r="K988" s="22" t="n">
        <x:v>0.0369</x:v>
      </x:c>
      <x:c r="L988" t="n">
        <x:v>26</x:v>
      </x:c>
      <x:c r="M988" t="str">
        <x:v>成交</x:v>
      </x:c>
      <x:c r="N988" s="20" t="n">
        <x:v>46192</x:v>
      </x:c>
      <x:c r="O988"/>
    </x:row>
    <x:row r="989" ht="20" customHeight="1">
      <x:c r="A989" t="str">
        <x:v>Q00988</x:v>
      </x:c>
      <x:c r="B989" s="20" t="n">
        <x:v>46175</x:v>
      </x:c>
      <x:c r="C989" t="str">
        <x:v>AUT-014</x:v>
      </x:c>
      <x:c r="D989" t="str">
        <x:v>S06</x:v>
      </x:c>
      <x:c r="E989" t="str">
        <x:v>PM-ALB-B</x:v>
      </x:c>
      <x:c r="F989" t="str">
        <x:v>精密金屬加工件</x:v>
      </x:c>
      <x:c r="G989" t="n">
        <x:v>800</x:v>
      </x:c>
      <x:c r="H989" t="n">
        <x:v>16069.07</x:v>
      </x:c>
      <x:c r="I989" t="n">
        <x:v>12167.69</x:v>
      </x:c>
      <x:c r="J989" s="22" t="n">
        <x:v>0.24278816384520072</x:v>
      </x:c>
      <x:c r="K989" s="22" t="n">
        <x:v>0.0437</x:v>
      </x:c>
      <x:c r="L989" t="n">
        <x:v>32</x:v>
      </x:c>
      <x:c r="M989" t="str">
        <x:v>未成交</x:v>
      </x:c>
      <x:c r="N989" s="20" t="n">
        <x:v>46184</x:v>
      </x:c>
      <x:c r="O989" t="str">
        <x:v>專案取消</x:v>
      </x:c>
    </x:row>
    <x:row r="990" ht="20" customHeight="1">
      <x:c r="A990" t="str">
        <x:v>Q00989</x:v>
      </x:c>
      <x:c r="B990" s="20" t="n">
        <x:v>46184</x:v>
      </x:c>
      <x:c r="C990" t="str">
        <x:v>AUT-007</x:v>
      </x:c>
      <x:c r="D990" t="str">
        <x:v>S04</x:v>
      </x:c>
      <x:c r="E990" t="str">
        <x:v>MECH-CON-B</x:v>
      </x:c>
      <x:c r="F990" t="str">
        <x:v>機電／自動化模組</x:v>
      </x:c>
      <x:c r="G990" t="n">
        <x:v>20</x:v>
      </x:c>
      <x:c r="H990" t="n">
        <x:v>152615.11</x:v>
      </x:c>
      <x:c r="I990" t="n">
        <x:v>118201.06</x:v>
      </x:c>
      <x:c r="J990" s="22" t="n">
        <x:v>0.22549569305424602</x:v>
      </x:c>
      <x:c r="K990" s="22" t="n">
        <x:v>0.0805</x:v>
      </x:c>
      <x:c r="L990" t="n">
        <x:v>50</x:v>
      </x:c>
      <x:c r="M990" t="str">
        <x:v>成交</x:v>
      </x:c>
      <x:c r="N990" s="20" t="n">
        <x:v>46195</x:v>
      </x:c>
      <x:c r="O990"/>
    </x:row>
    <x:row r="991" ht="20" customHeight="1">
      <x:c r="A991" t="str">
        <x:v>Q00990</x:v>
      </x:c>
      <x:c r="B991" s="20" t="n">
        <x:v>46192</x:v>
      </x:c>
      <x:c r="C991" t="str">
        <x:v>AUT-011</x:v>
      </x:c>
      <x:c r="D991" t="str">
        <x:v>S02</x:v>
      </x:c>
      <x:c r="E991" t="str">
        <x:v>AUTO-BS-A</x:v>
      </x:c>
      <x:c r="F991" t="str">
        <x:v>汽車精密零組件</x:v>
      </x:c>
      <x:c r="G991" t="n">
        <x:v>3000</x:v>
      </x:c>
      <x:c r="H991" t="n">
        <x:v>808.23</x:v>
      </x:c>
      <x:c r="I991" t="n">
        <x:v>555.53</x:v>
      </x:c>
      <x:c r="J991" s="22" t="n">
        <x:v>0.3126585254197444</x:v>
      </x:c>
      <x:c r="K991" s="22" t="n">
        <x:v>0.0242</x:v>
      </x:c>
      <x:c r="L991" t="n">
        <x:v>11</x:v>
      </x:c>
      <x:c r="M991" t="str">
        <x:v>未成交</x:v>
      </x:c>
      <x:c r="N991" s="20" t="n">
        <x:v>46201</x:v>
      </x:c>
      <x:c r="O991" t="str">
        <x:v>專案取消</x:v>
      </x:c>
    </x:row>
    <x:row r="992" ht="20" customHeight="1">
      <x:c r="A992" t="str">
        <x:v>Q00991</x:v>
      </x:c>
      <x:c r="B992" s="20" t="n">
        <x:v>46191</x:v>
      </x:c>
      <x:c r="C992" t="str">
        <x:v>IAT-004</x:v>
      </x:c>
      <x:c r="D992" t="str">
        <x:v>S05</x:v>
      </x:c>
      <x:c r="E992" t="str">
        <x:v>AUTO-FL-A</x:v>
      </x:c>
      <x:c r="F992" t="str">
        <x:v>汽車精密零組件</x:v>
      </x:c>
      <x:c r="G992" t="n">
        <x:v>10000</x:v>
      </x:c>
      <x:c r="H992" t="n">
        <x:v>1196.61</x:v>
      </x:c>
      <x:c r="I992" t="n">
        <x:v>949.86</x:v>
      </x:c>
      <x:c r="J992" s="22" t="n">
        <x:v>0.20620753629001923</x:v>
      </x:c>
      <x:c r="K992" s="22" t="n">
        <x:v>0.1208</x:v>
      </x:c>
      <x:c r="L992" t="n">
        <x:v>15</x:v>
      </x:c>
      <x:c r="M992" t="str">
        <x:v>成交</x:v>
      </x:c>
      <x:c r="N992" s="20" t="n">
        <x:v>46200</x:v>
      </x:c>
      <x:c r="O992"/>
    </x:row>
    <x:row r="993" ht="20" customHeight="1">
      <x:c r="A993" t="str">
        <x:v>Q00992</x:v>
      </x:c>
      <x:c r="B993" s="20" t="n">
        <x:v>46201</x:v>
      </x:c>
      <x:c r="C993" t="str">
        <x:v>EMS-001</x:v>
      </x:c>
      <x:c r="D993" t="str">
        <x:v>S02</x:v>
      </x:c>
      <x:c r="E993" t="str">
        <x:v>AUTO-BS-A</x:v>
      </x:c>
      <x:c r="F993" t="str">
        <x:v>汽車精密零組件</x:v>
      </x:c>
      <x:c r="G993" t="n">
        <x:v>5000</x:v>
      </x:c>
      <x:c r="H993" t="n">
        <x:v>775.57</x:v>
      </x:c>
      <x:c r="I993" t="n">
        <x:v>540.73</x:v>
      </x:c>
      <x:c r="J993" s="22" t="n">
        <x:v>0.30279665278440376</x:v>
      </x:c>
      <x:c r="K993" s="22" t="n">
        <x:v>0.0508</x:v>
      </x:c>
      <x:c r="L993" t="n">
        <x:v>10</x:v>
      </x:c>
      <x:c r="M993" t="str">
        <x:v>成交</x:v>
      </x:c>
      <x:c r="N993" s="20" t="n">
        <x:v>46206</x:v>
      </x:c>
      <x:c r="O993"/>
    </x:row>
    <x:row r="994" ht="20" customHeight="1">
      <x:c r="A994" t="str">
        <x:v>Q00993</x:v>
      </x:c>
      <x:c r="B994" s="20" t="n">
        <x:v>46193</x:v>
      </x:c>
      <x:c r="C994" t="str">
        <x:v>IAT-001</x:v>
      </x:c>
      <x:c r="D994" t="str">
        <x:v>S05</x:v>
      </x:c>
      <x:c r="E994" t="str">
        <x:v>PM-SUS-B</x:v>
      </x:c>
      <x:c r="F994" t="str">
        <x:v>精密金屬加工件</x:v>
      </x:c>
      <x:c r="G994" t="n">
        <x:v>800</x:v>
      </x:c>
      <x:c r="H994" t="n">
        <x:v>14662.09</x:v>
      </x:c>
      <x:c r="I994" t="n">
        <x:v>11323.74</x:v>
      </x:c>
      <x:c r="J994" s="22" t="n">
        <x:v>0.22768582105279672</x:v>
      </x:c>
      <x:c r="K994" s="22" t="n">
        <x:v>0.0603</x:v>
      </x:c>
      <x:c r="L994" t="n">
        <x:v>23</x:v>
      </x:c>
      <x:c r="M994" t="str">
        <x:v>成交</x:v>
      </x:c>
      <x:c r="N994" s="20" t="n">
        <x:v>46205</x:v>
      </x:c>
      <x:c r="O994"/>
    </x:row>
    <x:row r="995" ht="20" customHeight="1">
      <x:c r="A995" t="str">
        <x:v>Q00994</x:v>
      </x:c>
      <x:c r="B995" s="20" t="n">
        <x:v>46187</x:v>
      </x:c>
      <x:c r="C995" t="str">
        <x:v>IAT-006</x:v>
      </x:c>
      <x:c r="D995" t="str">
        <x:v>S01</x:v>
      </x:c>
      <x:c r="E995" t="str">
        <x:v>PM-VAC-A</x:v>
      </x:c>
      <x:c r="F995" t="str">
        <x:v>精密金屬加工件</x:v>
      </x:c>
      <x:c r="G995" t="n">
        <x:v>1600</x:v>
      </x:c>
      <x:c r="H995" t="n">
        <x:v>15921.2</x:v>
      </x:c>
      <x:c r="I995" t="n">
        <x:v>11062.68</x:v>
      </x:c>
      <x:c r="J995" s="22" t="n">
        <x:v>0.3051604150440922</x:v>
      </x:c>
      <x:c r="K995" s="22" t="n">
        <x:v>0.0621</x:v>
      </x:c>
      <x:c r="L995" t="n">
        <x:v>32</x:v>
      </x:c>
      <x:c r="M995" t="str">
        <x:v>成交</x:v>
      </x:c>
      <x:c r="N995" s="20" t="n">
        <x:v>46191</x:v>
      </x:c>
      <x:c r="O995"/>
    </x:row>
    <x:row r="996" ht="20" customHeight="1">
      <x:c r="A996" t="str">
        <x:v>Q00995</x:v>
      </x:c>
      <x:c r="B996" s="20" t="n">
        <x:v>46175</x:v>
      </x:c>
      <x:c r="C996" t="str">
        <x:v>AUT-005</x:v>
      </x:c>
      <x:c r="D996" t="str">
        <x:v>S04</x:v>
      </x:c>
      <x:c r="E996" t="str">
        <x:v>AUTO-BS-A</x:v>
      </x:c>
      <x:c r="F996" t="str">
        <x:v>汽車精密零組件</x:v>
      </x:c>
      <x:c r="G996" t="n">
        <x:v>10000</x:v>
      </x:c>
      <x:c r="H996" t="n">
        <x:v>770.12</x:v>
      </x:c>
      <x:c r="I996" t="n">
        <x:v>537.12</x:v>
      </x:c>
      <x:c r="J996" s="22" t="n">
        <x:v>0.3025502519087934</x:v>
      </x:c>
      <x:c r="K996" s="22" t="n">
        <x:v>0.0584</x:v>
      </x:c>
      <x:c r="L996" t="n">
        <x:v>12</x:v>
      </x:c>
      <x:c r="M996" t="str">
        <x:v>成交</x:v>
      </x:c>
      <x:c r="N996" s="20" t="n">
        <x:v>46178</x:v>
      </x:c>
      <x:c r="O996"/>
    </x:row>
    <x:row r="997" ht="20" customHeight="1">
      <x:c r="A997" t="str">
        <x:v>Q00996</x:v>
      </x:c>
      <x:c r="B997" s="20" t="n">
        <x:v>46201</x:v>
      </x:c>
      <x:c r="C997" t="str">
        <x:v>SEM-002</x:v>
      </x:c>
      <x:c r="D997" t="str">
        <x:v>S02</x:v>
      </x:c>
      <x:c r="E997" t="str">
        <x:v>MECH-CON-A</x:v>
      </x:c>
      <x:c r="F997" t="str">
        <x:v>機電／自動化模組</x:v>
      </x:c>
      <x:c r="G997" t="n">
        <x:v>20</x:v>
      </x:c>
      <x:c r="H997" t="n">
        <x:v>112751.8</x:v>
      </x:c>
      <x:c r="I997" t="n">
        <x:v>83515.03</x:v>
      </x:c>
      <x:c r="J997" s="22" t="n">
        <x:v>0.25930202444661643</x:v>
      </x:c>
      <x:c r="K997" s="22" t="n">
        <x:v>0.0483</x:v>
      </x:c>
      <x:c r="L997" t="n">
        <x:v>28</x:v>
      </x:c>
      <x:c r="M997" t="str">
        <x:v>成交</x:v>
      </x:c>
      <x:c r="N997" s="20" t="n">
        <x:v>46213</x:v>
      </x:c>
      <x:c r="O997"/>
    </x:row>
    <x:row r="998" ht="20" customHeight="1">
      <x:c r="A998" t="str">
        <x:v>Q00997</x:v>
      </x:c>
      <x:c r="B998" s="20" t="n">
        <x:v>46200</x:v>
      </x:c>
      <x:c r="C998" t="str">
        <x:v>AFT-007</x:v>
      </x:c>
      <x:c r="D998" t="str">
        <x:v>S04</x:v>
      </x:c>
      <x:c r="E998" t="str">
        <x:v>AUTO-BRK-A</x:v>
      </x:c>
      <x:c r="F998" t="str">
        <x:v>汽車精密零組件</x:v>
      </x:c>
      <x:c r="G998" t="n">
        <x:v>10000</x:v>
      </x:c>
      <x:c r="H998" t="n">
        <x:v>1822.37</x:v>
      </x:c>
      <x:c r="I998" t="n">
        <x:v>1413.73</x:v>
      </x:c>
      <x:c r="J998" s="22" t="n">
        <x:v>0.22423547358659324</x:v>
      </x:c>
      <x:c r="K998" s="22" t="n">
        <x:v>0.0213</x:v>
      </x:c>
      <x:c r="L998" t="n">
        <x:v>19</x:v>
      </x:c>
      <x:c r="M998" t="str">
        <x:v>成交</x:v>
      </x:c>
      <x:c r="N998" s="20" t="n">
        <x:v>46203</x:v>
      </x:c>
      <x:c r="O998"/>
    </x:row>
    <x:row r="999" ht="20" customHeight="1">
      <x:c r="A999" t="str">
        <x:v>Q00998</x:v>
      </x:c>
      <x:c r="B999" s="20" t="n">
        <x:v>46184</x:v>
      </x:c>
      <x:c r="C999" t="str">
        <x:v>AFT-007</x:v>
      </x:c>
      <x:c r="D999" t="str">
        <x:v>S04</x:v>
      </x:c>
      <x:c r="E999" t="str">
        <x:v>AUTO-BS-B</x:v>
      </x:c>
      <x:c r="F999" t="str">
        <x:v>汽車精密零組件</x:v>
      </x:c>
      <x:c r="G999" t="n">
        <x:v>7000</x:v>
      </x:c>
      <x:c r="H999" t="n">
        <x:v>924.95</x:v>
      </x:c>
      <x:c r="I999" t="n">
        <x:v>638.27</x:v>
      </x:c>
      <x:c r="J999" s="22" t="n">
        <x:v>0.30994107789610253</x:v>
      </x:c>
      <x:c r="K999" s="22" t="n">
        <x:v>0.0496</x:v>
      </x:c>
      <x:c r="L999" t="n">
        <x:v>12</x:v>
      </x:c>
      <x:c r="M999" t="str">
        <x:v>成交</x:v>
      </x:c>
      <x:c r="N999" s="20" t="n">
        <x:v>46187</x:v>
      </x:c>
      <x:c r="O999"/>
    </x:row>
    <x:row r="1000" ht="20" customHeight="1">
      <x:c r="A1000" t="str">
        <x:v>Q00999</x:v>
      </x:c>
      <x:c r="B1000" s="20" t="n">
        <x:v>46174</x:v>
      </x:c>
      <x:c r="C1000" t="str">
        <x:v>SEM-007</x:v>
      </x:c>
      <x:c r="D1000" t="str">
        <x:v>S03</x:v>
      </x:c>
      <x:c r="E1000" t="str">
        <x:v>PM-SUS-B</x:v>
      </x:c>
      <x:c r="F1000" t="str">
        <x:v>精密金屬加工件</x:v>
      </x:c>
      <x:c r="G1000" t="n">
        <x:v>1600</x:v>
      </x:c>
      <x:c r="H1000" t="n">
        <x:v>13960.96</x:v>
      </x:c>
      <x:c r="I1000" t="n">
        <x:v>10938.56</x:v>
      </x:c>
      <x:c r="J1000" s="22" t="n">
        <x:v>0.21648941047034015</x:v>
      </x:c>
      <x:c r="K1000" s="22" t="n">
        <x:v>0.1242</x:v>
      </x:c>
      <x:c r="L1000" t="n">
        <x:v>29</x:v>
      </x:c>
      <x:c r="M1000" t="str">
        <x:v>未成交</x:v>
      </x:c>
      <x:c r="N1000" s="20" t="n">
        <x:v>46179</x:v>
      </x:c>
      <x:c r="O1000" t="str">
        <x:v>規格</x:v>
      </x:c>
    </x:row>
    <x:row r="1001" ht="20" customHeight="1">
      <x:c r="A1001" t="str">
        <x:v>Q01000</x:v>
      </x:c>
      <x:c r="B1001" s="20" t="n">
        <x:v>46185</x:v>
      </x:c>
      <x:c r="C1001" t="str">
        <x:v>EMS-005</x:v>
      </x:c>
      <x:c r="D1001" t="str">
        <x:v>S01</x:v>
      </x:c>
      <x:c r="E1001" t="str">
        <x:v>AUTO-BRK-A</x:v>
      </x:c>
      <x:c r="F1001" t="str">
        <x:v>汽車精密零組件</x:v>
      </x:c>
      <x:c r="G1001" t="n">
        <x:v>7000</x:v>
      </x:c>
      <x:c r="H1001" t="n">
        <x:v>1786.97</x:v>
      </x:c>
      <x:c r="I1001" t="n">
        <x:v>1410.36</x:v>
      </x:c>
      <x:c r="J1001" s="22" t="n">
        <x:v>0.21075339821037853</x:v>
      </x:c>
      <x:c r="K1001" s="22" t="n">
        <x:v>0.0337</x:v>
      </x:c>
      <x:c r="L1001" t="n">
        <x:v>15</x:v>
      </x:c>
      <x:c r="M1001" t="str">
        <x:v>成交</x:v>
      </x:c>
      <x:c r="N1001" s="20" t="n">
        <x:v>46191</x:v>
      </x:c>
      <x:c r="O1001"/>
    </x:row>
    <x:row r="1002" ht="20" customHeight="1">
      <x:c r="A1002" t="str">
        <x:v>Q01001</x:v>
      </x:c>
      <x:c r="B1002" s="20" t="n">
        <x:v>46194</x:v>
      </x:c>
      <x:c r="C1002" t="str">
        <x:v>EMS-003</x:v>
      </x:c>
      <x:c r="D1002" t="str">
        <x:v>S05</x:v>
      </x:c>
      <x:c r="E1002" t="str">
        <x:v>MECH-STG-B</x:v>
      </x:c>
      <x:c r="F1002" t="str">
        <x:v>機電／自動化模組</x:v>
      </x:c>
      <x:c r="G1002" t="n">
        <x:v>10</x:v>
      </x:c>
      <x:c r="H1002" t="n">
        <x:v>197975.94</x:v>
      </x:c>
      <x:c r="I1002" t="n">
        <x:v>147241.66</x:v>
      </x:c>
      <x:c r="J1002" s="22" t="n">
        <x:v>0.2562648774391474</x:v>
      </x:c>
      <x:c r="K1002" s="22" t="n">
        <x:v>0.0516</x:v>
      </x:c>
      <x:c r="L1002" t="n">
        <x:v>44</x:v>
      </x:c>
      <x:c r="M1002" t="str">
        <x:v>成交</x:v>
      </x:c>
      <x:c r="N1002" s="20" t="n">
        <x:v>46200</x:v>
      </x:c>
      <x:c r="O1002"/>
    </x:row>
    <x:row r="1003" ht="20" customHeight="1">
      <x:c r="A1003" t="str">
        <x:v>Q01002</x:v>
      </x:c>
      <x:c r="B1003" s="20" t="n">
        <x:v>46191</x:v>
      </x:c>
      <x:c r="C1003" t="str">
        <x:v>AFT-005</x:v>
      </x:c>
      <x:c r="D1003" t="str">
        <x:v>S05</x:v>
      </x:c>
      <x:c r="E1003" t="str">
        <x:v>AUTO-KN-A</x:v>
      </x:c>
      <x:c r="F1003" t="str">
        <x:v>汽車精密零組件</x:v>
      </x:c>
      <x:c r="G1003" t="n">
        <x:v>5000</x:v>
      </x:c>
      <x:c r="H1003" t="n">
        <x:v>3235.19</x:v>
      </x:c>
      <x:c r="I1003" t="n">
        <x:v>2232.91</x:v>
      </x:c>
      <x:c r="J1003" s="22" t="n">
        <x:v>0.3098056064713356</x:v>
      </x:c>
      <x:c r="K1003" s="22" t="n">
        <x:v>0.0458</x:v>
      </x:c>
      <x:c r="L1003" t="n">
        <x:v>18</x:v>
      </x:c>
      <x:c r="M1003" t="str">
        <x:v>成交</x:v>
      </x:c>
      <x:c r="N1003" s="20" t="n">
        <x:v>46202</x:v>
      </x:c>
      <x:c r="O1003"/>
    </x:row>
    <x:row r="1004" ht="20" customHeight="1">
      <x:c r="A1004" t="str">
        <x:v>Q01003</x:v>
      </x:c>
      <x:c r="B1004" s="20" t="n">
        <x:v>46180</x:v>
      </x:c>
      <x:c r="C1004" t="str">
        <x:v>AFT-006</x:v>
      </x:c>
      <x:c r="D1004" t="str">
        <x:v>S01</x:v>
      </x:c>
      <x:c r="E1004" t="str">
        <x:v>AUTO-MH-B</x:v>
      </x:c>
      <x:c r="F1004" t="str">
        <x:v>汽車精密零組件</x:v>
      </x:c>
      <x:c r="G1004" t="n">
        <x:v>5000</x:v>
      </x:c>
      <x:c r="H1004" t="n">
        <x:v>2990.59</x:v>
      </x:c>
      <x:c r="I1004" t="n">
        <x:v>2343.31</x:v>
      </x:c>
      <x:c r="J1004" s="22" t="n">
        <x:v>0.216438896672563</x:v>
      </x:c>
      <x:c r="K1004" s="22" t="n">
        <x:v>0.0628</x:v>
      </x:c>
      <x:c r="L1004" t="n">
        <x:v>26</x:v>
      </x:c>
      <x:c r="M1004" t="str">
        <x:v>未成交</x:v>
      </x:c>
      <x:c r="N1004" s="20" t="n">
        <x:v>46190</x:v>
      </x:c>
      <x:c r="O1004" t="str">
        <x:v>規格</x:v>
      </x:c>
    </x:row>
    <x:row r="1005" ht="20" customHeight="1">
      <x:c r="A1005" t="str">
        <x:v>Q01004</x:v>
      </x:c>
      <x:c r="B1005" s="20" t="n">
        <x:v>46202</x:v>
      </x:c>
      <x:c r="C1005" t="str">
        <x:v>EMS-006</x:v>
      </x:c>
      <x:c r="D1005" t="str">
        <x:v>S03</x:v>
      </x:c>
      <x:c r="E1005" t="str">
        <x:v>SEMI-WH-A</x:v>
      </x:c>
      <x:c r="F1005" t="str">
        <x:v>半導體設備零組件</x:v>
      </x:c>
      <x:c r="G1005" t="n">
        <x:v>160</x:v>
      </x:c>
      <x:c r="H1005" t="n">
        <x:v>116838.22</x:v>
      </x:c>
      <x:c r="I1005" t="n">
        <x:v>89062.33</x:v>
      </x:c>
      <x:c r="J1005" s="22" t="n">
        <x:v>0.2377294861219214</x:v>
      </x:c>
      <x:c r="K1005" s="22" t="n">
        <x:v>0.034</x:v>
      </x:c>
      <x:c r="L1005" t="n">
        <x:v>46</x:v>
      </x:c>
      <x:c r="M1005" t="str">
        <x:v>成交</x:v>
      </x:c>
      <x:c r="N1005" s="20" t="n">
        <x:v>46214</x:v>
      </x:c>
      <x:c r="O1005"/>
    </x:row>
    <x:row r="1006" ht="20" customHeight="1">
      <x:c r="A1006" t="str">
        <x:v>Q01005</x:v>
      </x:c>
      <x:c r="B1006" s="20" t="n">
        <x:v>46177</x:v>
      </x:c>
      <x:c r="C1006" t="str">
        <x:v>EMS-005</x:v>
      </x:c>
      <x:c r="D1006" t="str">
        <x:v>S01</x:v>
      </x:c>
      <x:c r="E1006" t="str">
        <x:v>AUTO-FL-B</x:v>
      </x:c>
      <x:c r="F1006" t="str">
        <x:v>汽車精密零組件</x:v>
      </x:c>
      <x:c r="G1006" t="n">
        <x:v>7000</x:v>
      </x:c>
      <x:c r="H1006" t="n">
        <x:v>1605.21</x:v>
      </x:c>
      <x:c r="I1006" t="n">
        <x:v>1212.65</x:v>
      </x:c>
      <x:c r="J1006" s="22" t="n">
        <x:v>0.24455367210520737</x:v>
      </x:c>
      <x:c r="K1006" s="22" t="n">
        <x:v>0.0261</x:v>
      </x:c>
      <x:c r="L1006" t="n">
        <x:v>13</x:v>
      </x:c>
      <x:c r="M1006" t="str">
        <x:v>成交</x:v>
      </x:c>
      <x:c r="N1006" s="20" t="n">
        <x:v>46185</x:v>
      </x:c>
      <x:c r="O1006"/>
    </x:row>
    <x:row r="1007" ht="20" customHeight="1">
      <x:c r="A1007" t="str">
        <x:v>Q01006</x:v>
      </x:c>
      <x:c r="B1007" s="20" t="n">
        <x:v>46196</x:v>
      </x:c>
      <x:c r="C1007" t="str">
        <x:v>AUT-003</x:v>
      </x:c>
      <x:c r="D1007" t="str">
        <x:v>S03</x:v>
      </x:c>
      <x:c r="E1007" t="str">
        <x:v>PM-BRG-B</x:v>
      </x:c>
      <x:c r="F1007" t="str">
        <x:v>精密金屬加工件</x:v>
      </x:c>
      <x:c r="G1007" t="n">
        <x:v>800</x:v>
      </x:c>
      <x:c r="H1007" t="n">
        <x:v>7409.53</x:v>
      </x:c>
      <x:c r="I1007" t="n">
        <x:v>5251.17</x:v>
      </x:c>
      <x:c r="J1007" s="22" t="n">
        <x:v>0.2912951293806759</x:v>
      </x:c>
      <x:c r="K1007" s="22" t="n">
        <x:v>0.1065</x:v>
      </x:c>
      <x:c r="L1007" t="n">
        <x:v>16</x:v>
      </x:c>
      <x:c r="M1007" t="str">
        <x:v>未成交</x:v>
      </x:c>
      <x:c r="N1007" s="20" t="n">
        <x:v>46200</x:v>
      </x:c>
      <x:c r="O1007" t="str">
        <x:v>競品</x:v>
      </x:c>
    </x:row>
    <x:row r="1008" ht="20" customHeight="1">
      <x:c r="A1008" t="str">
        <x:v>Q01007</x:v>
      </x:c>
      <x:c r="B1008" s="20" t="n">
        <x:v>46180</x:v>
      </x:c>
      <x:c r="C1008" t="str">
        <x:v>IAT-004</x:v>
      </x:c>
      <x:c r="D1008" t="str">
        <x:v>S05</x:v>
      </x:c>
      <x:c r="E1008" t="str">
        <x:v>MECH-CON-B</x:v>
      </x:c>
      <x:c r="F1008" t="str">
        <x:v>機電／自動化模組</x:v>
      </x:c>
      <x:c r="G1008" t="n">
        <x:v>10</x:v>
      </x:c>
      <x:c r="H1008" t="n">
        <x:v>153860.9</x:v>
      </x:c>
      <x:c r="I1008" t="n">
        <x:v>115708.22</x:v>
      </x:c>
      <x:c r="J1008" s="22" t="n">
        <x:v>0.24796865220468614</x:v>
      </x:c>
      <x:c r="K1008" s="22" t="n">
        <x:v>0.0536</x:v>
      </x:c>
      <x:c r="L1008" t="n">
        <x:v>39</x:v>
      </x:c>
      <x:c r="M1008" t="str">
        <x:v>未成交</x:v>
      </x:c>
      <x:c r="N1008" s="20" t="n">
        <x:v>46183</x:v>
      </x:c>
      <x:c r="O1008" t="str">
        <x:v>競品</x:v>
      </x:c>
    </x:row>
    <x:row r="1009" ht="20" customHeight="1">
      <x:c r="A1009" t="str">
        <x:v>Q01008</x:v>
      </x:c>
      <x:c r="B1009" s="20" t="n">
        <x:v>46182</x:v>
      </x:c>
      <x:c r="C1009" t="str">
        <x:v>IAT-007</x:v>
      </x:c>
      <x:c r="D1009" t="str">
        <x:v>S04</x:v>
      </x:c>
      <x:c r="E1009" t="str">
        <x:v>PM-ALB-A</x:v>
      </x:c>
      <x:c r="F1009" t="str">
        <x:v>精密金屬加工件</x:v>
      </x:c>
      <x:c r="G1009" t="n">
        <x:v>1200</x:v>
      </x:c>
      <x:c r="H1009" t="n">
        <x:v>11505.52</x:v>
      </x:c>
      <x:c r="I1009" t="n">
        <x:v>7999.32</x:v>
      </x:c>
      <x:c r="J1009" s="22" t="n">
        <x:v>0.3047406809948616</x:v>
      </x:c>
      <x:c r="K1009" s="22" t="n">
        <x:v>0.0416</x:v>
      </x:c>
      <x:c r="L1009" t="n">
        <x:v>22</x:v>
      </x:c>
      <x:c r="M1009" t="str">
        <x:v>成交</x:v>
      </x:c>
      <x:c r="N1009" s="20" t="n">
        <x:v>46187</x:v>
      </x:c>
      <x:c r="O1009"/>
    </x:row>
    <x:row r="1010" ht="20" customHeight="1">
      <x:c r="A1010" t="str">
        <x:v>Q01009</x:v>
      </x:c>
      <x:c r="B1010" s="20" t="n">
        <x:v>46199</x:v>
      </x:c>
      <x:c r="C1010" t="str">
        <x:v>IAT-008</x:v>
      </x:c>
      <x:c r="D1010" t="str">
        <x:v>S01</x:v>
      </x:c>
      <x:c r="E1010" t="str">
        <x:v>SEMI-WH-A</x:v>
      </x:c>
      <x:c r="F1010" t="str">
        <x:v>半導體設備零組件</x:v>
      </x:c>
      <x:c r="G1010" t="n">
        <x:v>120</x:v>
      </x:c>
      <x:c r="H1010" t="n">
        <x:v>109191</x:v>
      </x:c>
      <x:c r="I1010" t="n">
        <x:v>86947.22</x:v>
      </x:c>
      <x:c r="J1010" s="22" t="n">
        <x:v>0.20371440869668744</x:v>
      </x:c>
      <x:c r="K1010" s="22" t="n">
        <x:v>0.0915</x:v>
      </x:c>
      <x:c r="L1010" t="n">
        <x:v>53</x:v>
      </x:c>
      <x:c r="M1010" t="str">
        <x:v>成交</x:v>
      </x:c>
      <x:c r="N1010" s="20" t="n">
        <x:v>46205</x:v>
      </x:c>
      <x:c r="O1010"/>
    </x:row>
    <x:row r="1011" ht="20" customHeight="1">
      <x:c r="A1011" t="str">
        <x:v>Q01010</x:v>
      </x:c>
      <x:c r="B1011" s="20" t="n">
        <x:v>46176</x:v>
      </x:c>
      <x:c r="C1011" t="str">
        <x:v>AUT-007</x:v>
      </x:c>
      <x:c r="D1011" t="str">
        <x:v>S04</x:v>
      </x:c>
      <x:c r="E1011" t="str">
        <x:v>MECH-STG-B</x:v>
      </x:c>
      <x:c r="F1011" t="str">
        <x:v>機電／自動化模組</x:v>
      </x:c>
      <x:c r="G1011" t="n">
        <x:v>10</x:v>
      </x:c>
      <x:c r="H1011" t="n">
        <x:v>200589.45</x:v>
      </x:c>
      <x:c r="I1011" t="n">
        <x:v>150848.86</x:v>
      </x:c>
      <x:c r="J1011" s="22" t="n">
        <x:v>0.24797211418646406</x:v>
      </x:c>
      <x:c r="K1011" s="22" t="n">
        <x:v>0.0182</x:v>
      </x:c>
      <x:c r="L1011" t="n">
        <x:v>56</x:v>
      </x:c>
      <x:c r="M1011" t="str">
        <x:v>成交</x:v>
      </x:c>
      <x:c r="N1011" s="20" t="n">
        <x:v>46179</x:v>
      </x:c>
      <x:c r="O1011"/>
    </x:row>
    <x:row r="1012" ht="20" customHeight="1">
      <x:c r="A1012" t="str">
        <x:v>Q01011</x:v>
      </x:c>
      <x:c r="B1012" s="20" t="n">
        <x:v>46217</x:v>
      </x:c>
      <x:c r="C1012" t="str">
        <x:v>IAT-004</x:v>
      </x:c>
      <x:c r="D1012" t="str">
        <x:v>S05</x:v>
      </x:c>
      <x:c r="E1012" t="str">
        <x:v>AUTO-BS-B</x:v>
      </x:c>
      <x:c r="F1012" t="str">
        <x:v>汽車精密零組件</x:v>
      </x:c>
      <x:c r="G1012" t="n">
        <x:v>3000</x:v>
      </x:c>
      <x:c r="H1012" t="n">
        <x:v>852.14</x:v>
      </x:c>
      <x:c r="I1012" t="n">
        <x:v>637.64</x:v>
      </x:c>
      <x:c r="J1012" s="22" t="n">
        <x:v>0.2517192010702467</x:v>
      </x:c>
      <x:c r="K1012" s="22" t="n">
        <x:v>0.0988</x:v>
      </x:c>
      <x:c r="L1012" t="n">
        <x:v>14</x:v>
      </x:c>
      <x:c r="M1012" t="str">
        <x:v>未成交</x:v>
      </x:c>
      <x:c r="N1012" s="20" t="n">
        <x:v>46229</x:v>
      </x:c>
      <x:c r="O1012" t="str">
        <x:v>價格</x:v>
      </x:c>
    </x:row>
    <x:row r="1013" ht="20" customHeight="1">
      <x:c r="A1013" t="str">
        <x:v>Q01012</x:v>
      </x:c>
      <x:c r="B1013" s="20" t="n">
        <x:v>46223</x:v>
      </x:c>
      <x:c r="C1013" t="str">
        <x:v>EMS-004</x:v>
      </x:c>
      <x:c r="D1013" t="str">
        <x:v>S03</x:v>
      </x:c>
      <x:c r="E1013" t="str">
        <x:v>MECH-STG-A</x:v>
      </x:c>
      <x:c r="F1013" t="str">
        <x:v>機電／自動化模組</x:v>
      </x:c>
      <x:c r="G1013" t="n">
        <x:v>20</x:v>
      </x:c>
      <x:c r="H1013" t="n">
        <x:v>144857.49</x:v>
      </x:c>
      <x:c r="I1013" t="n">
        <x:v>106298.66</x:v>
      </x:c>
      <x:c r="J1013" s="22" t="n">
        <x:v>0.2661845790645688</x:v>
      </x:c>
      <x:c r="K1013" s="22" t="n">
        <x:v>0.0135</x:v>
      </x:c>
      <x:c r="L1013" t="n">
        <x:v>39</x:v>
      </x:c>
      <x:c r="M1013" t="str">
        <x:v>成交</x:v>
      </x:c>
      <x:c r="N1013" s="20" t="n">
        <x:v>46235</x:v>
      </x:c>
      <x:c r="O1013"/>
    </x:row>
    <x:row r="1014" ht="20" customHeight="1">
      <x:c r="A1014" t="str">
        <x:v>Q01013</x:v>
      </x:c>
      <x:c r="B1014" s="20" t="n">
        <x:v>46228</x:v>
      </x:c>
      <x:c r="C1014" t="str">
        <x:v>AFT-001</x:v>
      </x:c>
      <x:c r="D1014" t="str">
        <x:v>S05</x:v>
      </x:c>
      <x:c r="E1014" t="str">
        <x:v>PM-BRG-B</x:v>
      </x:c>
      <x:c r="F1014" t="str">
        <x:v>精密金屬加工件</x:v>
      </x:c>
      <x:c r="G1014" t="n">
        <x:v>1600</x:v>
      </x:c>
      <x:c r="H1014" t="n">
        <x:v>7305.46</x:v>
      </x:c>
      <x:c r="I1014" t="n">
        <x:v>5570.21</x:v>
      </x:c>
      <x:c r="J1014" s="22" t="n">
        <x:v>0.2375278216566787</x:v>
      </x:c>
      <x:c r="K1014" s="22" t="n">
        <x:v>0.1186</x:v>
      </x:c>
      <x:c r="L1014" t="n">
        <x:v>17</x:v>
      </x:c>
      <x:c r="M1014" t="str">
        <x:v>成交</x:v>
      </x:c>
      <x:c r="N1014" s="20" t="n">
        <x:v>46240</x:v>
      </x:c>
      <x:c r="O1014"/>
    </x:row>
    <x:row r="1015" ht="20" customHeight="1">
      <x:c r="A1015" t="str">
        <x:v>Q01014</x:v>
      </x:c>
      <x:c r="B1015" s="20" t="n">
        <x:v>46227</x:v>
      </x:c>
      <x:c r="C1015" t="str">
        <x:v>AFT-002</x:v>
      </x:c>
      <x:c r="D1015" t="str">
        <x:v>S04</x:v>
      </x:c>
      <x:c r="E1015" t="str">
        <x:v>AUTO-MH-B</x:v>
      </x:c>
      <x:c r="F1015" t="str">
        <x:v>汽車精密零組件</x:v>
      </x:c>
      <x:c r="G1015" t="n">
        <x:v>7000</x:v>
      </x:c>
      <x:c r="H1015" t="n">
        <x:v>3036.73</x:v>
      </x:c>
      <x:c r="I1015" t="n">
        <x:v>2328.67</x:v>
      </x:c>
      <x:c r="J1015" s="22" t="n">
        <x:v>0.2331652797581609</x:v>
      </x:c>
      <x:c r="K1015" s="22" t="n">
        <x:v>0.0253</x:v>
      </x:c>
      <x:c r="L1015" t="n">
        <x:v>24</x:v>
      </x:c>
      <x:c r="M1015" t="str">
        <x:v>成交</x:v>
      </x:c>
      <x:c r="N1015" s="20" t="n">
        <x:v>46236</x:v>
      </x:c>
      <x:c r="O1015"/>
    </x:row>
    <x:row r="1016" ht="20" customHeight="1">
      <x:c r="A1016" t="str">
        <x:v>Q01015</x:v>
      </x:c>
      <x:c r="B1016" s="20" t="n">
        <x:v>46234</x:v>
      </x:c>
      <x:c r="C1016" t="str">
        <x:v>EMS-003</x:v>
      </x:c>
      <x:c r="D1016" t="str">
        <x:v>S05</x:v>
      </x:c>
      <x:c r="E1016" t="str">
        <x:v>MECH-CON-A</x:v>
      </x:c>
      <x:c r="F1016" t="str">
        <x:v>機電／自動化模組</x:v>
      </x:c>
      <x:c r="G1016" t="n">
        <x:v>40</x:v>
      </x:c>
      <x:c r="H1016" t="n">
        <x:v>117525.56</x:v>
      </x:c>
      <x:c r="I1016" t="n">
        <x:v>83870.26</x:v>
      </x:c>
      <x:c r="J1016" s="22" t="n">
        <x:v>0.28636579140741814</x:v>
      </x:c>
      <x:c r="K1016" s="22" t="n">
        <x:v>0.0202</x:v>
      </x:c>
      <x:c r="L1016" t="n">
        <x:v>39</x:v>
      </x:c>
      <x:c r="M1016" t="str">
        <x:v>成交</x:v>
      </x:c>
      <x:c r="N1016" s="20" t="n">
        <x:v>46239</x:v>
      </x:c>
      <x:c r="O1016"/>
    </x:row>
    <x:row r="1017" ht="20" customHeight="1">
      <x:c r="A1017" t="str">
        <x:v>Q01016</x:v>
      </x:c>
      <x:c r="B1017" s="20" t="n">
        <x:v>46227</x:v>
      </x:c>
      <x:c r="C1017" t="str">
        <x:v>EMS-004</x:v>
      </x:c>
      <x:c r="D1017" t="str">
        <x:v>S03</x:v>
      </x:c>
      <x:c r="E1017" t="str">
        <x:v>SEMI-WH-A</x:v>
      </x:c>
      <x:c r="F1017" t="str">
        <x:v>半導體設備零組件</x:v>
      </x:c>
      <x:c r="G1017" t="n">
        <x:v>80</x:v>
      </x:c>
      <x:c r="H1017" t="n">
        <x:v>116309.57</x:v>
      </x:c>
      <x:c r="I1017" t="n">
        <x:v>89101.48</x:v>
      </x:c>
      <x:c r="J1017" s="22" t="n">
        <x:v>0.2339282141615691</x:v>
      </x:c>
      <x:c r="K1017" s="22" t="n">
        <x:v>0.0394</x:v>
      </x:c>
      <x:c r="L1017" t="n">
        <x:v>37</x:v>
      </x:c>
      <x:c r="M1017" t="str">
        <x:v>成交</x:v>
      </x:c>
      <x:c r="N1017" s="20" t="n">
        <x:v>46231</x:v>
      </x:c>
      <x:c r="O1017"/>
    </x:row>
    <x:row r="1018" ht="20" customHeight="1">
      <x:c r="A1018" t="str">
        <x:v>Q01017</x:v>
      </x:c>
      <x:c r="B1018" s="20" t="n">
        <x:v>46220</x:v>
      </x:c>
      <x:c r="C1018" t="str">
        <x:v>EMS-003</x:v>
      </x:c>
      <x:c r="D1018" t="str">
        <x:v>S05</x:v>
      </x:c>
      <x:c r="E1018" t="str">
        <x:v>PM-ALB-A</x:v>
      </x:c>
      <x:c r="F1018" t="str">
        <x:v>精密金屬加工件</x:v>
      </x:c>
      <x:c r="G1018" t="n">
        <x:v>500</x:v>
      </x:c>
      <x:c r="H1018" t="n">
        <x:v>11371</x:v>
      </x:c>
      <x:c r="I1018" t="n">
        <x:v>8336.38</x:v>
      </x:c>
      <x:c r="J1018" s="22" t="n">
        <x:v>0.26687362589042307</x:v>
      </x:c>
      <x:c r="K1018" s="22" t="n">
        <x:v>0.0501</x:v>
      </x:c>
      <x:c r="L1018" t="n">
        <x:v>27</x:v>
      </x:c>
      <x:c r="M1018" t="str">
        <x:v>成交</x:v>
      </x:c>
      <x:c r="N1018" s="20" t="n">
        <x:v>46228</x:v>
      </x:c>
      <x:c r="O1018"/>
    </x:row>
    <x:row r="1019" ht="20" customHeight="1">
      <x:c r="A1019" t="str">
        <x:v>Q01018</x:v>
      </x:c>
      <x:c r="B1019" s="20" t="n">
        <x:v>46206</x:v>
      </x:c>
      <x:c r="C1019" t="str">
        <x:v>AUT-004</x:v>
      </x:c>
      <x:c r="D1019" t="str">
        <x:v>S03</x:v>
      </x:c>
      <x:c r="E1019" t="str">
        <x:v>AUTO-KN-A</x:v>
      </x:c>
      <x:c r="F1019" t="str">
        <x:v>汽車精密零組件</x:v>
      </x:c>
      <x:c r="G1019" t="n">
        <x:v>3000</x:v>
      </x:c>
      <x:c r="H1019" t="n">
        <x:v>3118.93</x:v>
      </x:c>
      <x:c r="I1019" t="n">
        <x:v>2256.99</x:v>
      </x:c>
      <x:c r="J1019" s="22" t="n">
        <x:v>0.27635759699640583</x:v>
      </x:c>
      <x:c r="K1019" s="22" t="n">
        <x:v>0.0656</x:v>
      </x:c>
      <x:c r="L1019" t="n">
        <x:v>21</x:v>
      </x:c>
      <x:c r="M1019" t="str">
        <x:v>成交</x:v>
      </x:c>
      <x:c r="N1019" s="20" t="n">
        <x:v>46212</x:v>
      </x:c>
      <x:c r="O1019"/>
    </x:row>
    <x:row r="1020" ht="20" customHeight="1">
      <x:c r="A1020" t="str">
        <x:v>Q01019</x:v>
      </x:c>
      <x:c r="B1020" s="20" t="n">
        <x:v>46207</x:v>
      </x:c>
      <x:c r="C1020" t="str">
        <x:v>AUT-004</x:v>
      </x:c>
      <x:c r="D1020" t="str">
        <x:v>S03</x:v>
      </x:c>
      <x:c r="E1020" t="str">
        <x:v>PM-BRG-B</x:v>
      </x:c>
      <x:c r="F1020" t="str">
        <x:v>精密金屬加工件</x:v>
      </x:c>
      <x:c r="G1020" t="n">
        <x:v>1600</x:v>
      </x:c>
      <x:c r="H1020" t="n">
        <x:v>8294.21</x:v>
      </x:c>
      <x:c r="I1020" t="n">
        <x:v>5497.15</x:v>
      </x:c>
      <x:c r="J1020" s="22" t="n">
        <x:v>0.33723042942004117</x:v>
      </x:c>
      <x:c r="K1020" s="22" t="n">
        <x:v>0.0205</x:v>
      </x:c>
      <x:c r="L1020" t="n">
        <x:v>21</x:v>
      </x:c>
      <x:c r="M1020" t="str">
        <x:v>成交</x:v>
      </x:c>
      <x:c r="N1020" s="20" t="n">
        <x:v>46218</x:v>
      </x:c>
      <x:c r="O1020"/>
    </x:row>
    <x:row r="1021" ht="20" customHeight="1">
      <x:c r="A1021" t="str">
        <x:v>Q01020</x:v>
      </x:c>
      <x:c r="B1021" s="20" t="n">
        <x:v>46215</x:v>
      </x:c>
      <x:c r="C1021" t="str">
        <x:v>IAT-001</x:v>
      </x:c>
      <x:c r="D1021" t="str">
        <x:v>S05</x:v>
      </x:c>
      <x:c r="E1021" t="str">
        <x:v>AUTO-MH-A</x:v>
      </x:c>
      <x:c r="F1021" t="str">
        <x:v>汽車精密零組件</x:v>
      </x:c>
      <x:c r="G1021" t="n">
        <x:v>3000</x:v>
      </x:c>
      <x:c r="H1021" t="n">
        <x:v>2649.92</x:v>
      </x:c>
      <x:c r="I1021" t="n">
        <x:v>2034.21</x:v>
      </x:c>
      <x:c r="J1021" s="22" t="n">
        <x:v>0.23235041057843256</x:v>
      </x:c>
      <x:c r="K1021" s="22" t="n">
        <x:v>0.0132</x:v>
      </x:c>
      <x:c r="L1021" t="n">
        <x:v>18</x:v>
      </x:c>
      <x:c r="M1021" t="str">
        <x:v>成交</x:v>
      </x:c>
      <x:c r="N1021" s="20" t="n">
        <x:v>46218</x:v>
      </x:c>
      <x:c r="O1021"/>
    </x:row>
    <x:row r="1022" ht="20" customHeight="1">
      <x:c r="A1022" t="str">
        <x:v>Q01021</x:v>
      </x:c>
      <x:c r="B1022" s="20" t="n">
        <x:v>46219</x:v>
      </x:c>
      <x:c r="C1022" t="str">
        <x:v>IAT-004</x:v>
      </x:c>
      <x:c r="D1022" t="str">
        <x:v>S05</x:v>
      </x:c>
      <x:c r="E1022" t="str">
        <x:v>AUTO-FL-A</x:v>
      </x:c>
      <x:c r="F1022" t="str">
        <x:v>汽車精密零組件</x:v>
      </x:c>
      <x:c r="G1022" t="n">
        <x:v>13000</x:v>
      </x:c>
      <x:c r="H1022" t="n">
        <x:v>1340.35</x:v>
      </x:c>
      <x:c r="I1022" t="n">
        <x:v>993.89</x:v>
      </x:c>
      <x:c r="J1022" s="22" t="n">
        <x:v>0.2584847241392173</x:v>
      </x:c>
      <x:c r="K1022" s="22" t="n">
        <x:v>0.0369</x:v>
      </x:c>
      <x:c r="L1022" t="n">
        <x:v>15</x:v>
      </x:c>
      <x:c r="M1022" t="str">
        <x:v>成交</x:v>
      </x:c>
      <x:c r="N1022" s="20" t="n">
        <x:v>46228</x:v>
      </x:c>
      <x:c r="O1022"/>
    </x:row>
    <x:row r="1023" ht="20" customHeight="1">
      <x:c r="A1023" t="str">
        <x:v>Q01022</x:v>
      </x:c>
      <x:c r="B1023" s="20" t="n">
        <x:v>46223</x:v>
      </x:c>
      <x:c r="C1023" t="str">
        <x:v>AUT-006</x:v>
      </x:c>
      <x:c r="D1023" t="str">
        <x:v>S03</x:v>
      </x:c>
      <x:c r="E1023" t="str">
        <x:v>AUTO-KN-A</x:v>
      </x:c>
      <x:c r="F1023" t="str">
        <x:v>汽車精密零組件</x:v>
      </x:c>
      <x:c r="G1023" t="n">
        <x:v>3000</x:v>
      </x:c>
      <x:c r="H1023" t="n">
        <x:v>3356.28</x:v>
      </x:c>
      <x:c r="I1023" t="n">
        <x:v>2283.79</x:v>
      </x:c>
      <x:c r="J1023" s="22" t="n">
        <x:v>0.3195472368217193</x:v>
      </x:c>
      <x:c r="K1023" s="22" t="n">
        <x:v>0.0107</x:v>
      </x:c>
      <x:c r="L1023" t="n">
        <x:v>27</x:v>
      </x:c>
      <x:c r="M1023" t="str">
        <x:v>未成交</x:v>
      </x:c>
      <x:c r="N1023" s="20" t="n">
        <x:v>46232</x:v>
      </x:c>
      <x:c r="O1023" t="str">
        <x:v>專案取消</x:v>
      </x:c>
    </x:row>
    <x:row r="1024" ht="20" customHeight="1">
      <x:c r="A1024" t="str">
        <x:v>Q01023</x:v>
      </x:c>
      <x:c r="B1024" s="20" t="n">
        <x:v>46221</x:v>
      </x:c>
      <x:c r="C1024" t="str">
        <x:v>EMS-001</x:v>
      </x:c>
      <x:c r="D1024" t="str">
        <x:v>S02</x:v>
      </x:c>
      <x:c r="E1024" t="str">
        <x:v>PM-SUS-A</x:v>
      </x:c>
      <x:c r="F1024" t="str">
        <x:v>精密金屬加工件</x:v>
      </x:c>
      <x:c r="G1024" t="n">
        <x:v>300</x:v>
      </x:c>
      <x:c r="H1024" t="n">
        <x:v>10435.96</x:v>
      </x:c>
      <x:c r="I1024" t="n">
        <x:v>7493.55</x:v>
      </x:c>
      <x:c r="J1024" s="22" t="n">
        <x:v>0.28194914507146435</x:v>
      </x:c>
      <x:c r="K1024" s="22" t="n">
        <x:v>0.0622</x:v>
      </x:c>
      <x:c r="L1024" t="n">
        <x:v>20</x:v>
      </x:c>
      <x:c r="M1024" t="str">
        <x:v>成交</x:v>
      </x:c>
      <x:c r="N1024" s="20" t="n">
        <x:v>46228</x:v>
      </x:c>
      <x:c r="O1024"/>
    </x:row>
    <x:row r="1025" ht="20" customHeight="1">
      <x:c r="A1025" t="str">
        <x:v>Q01024</x:v>
      </x:c>
      <x:c r="B1025" s="20" t="n">
        <x:v>46219</x:v>
      </x:c>
      <x:c r="C1025" t="str">
        <x:v>AUT-002</x:v>
      </x:c>
      <x:c r="D1025" t="str">
        <x:v>S04</x:v>
      </x:c>
      <x:c r="E1025" t="str">
        <x:v>MECH-STG-A</x:v>
      </x:c>
      <x:c r="F1025" t="str">
        <x:v>機電／自動化模組</x:v>
      </x:c>
      <x:c r="G1025" t="n">
        <x:v>50</x:v>
      </x:c>
      <x:c r="H1025" t="n">
        <x:v>145895.42</x:v>
      </x:c>
      <x:c r="I1025" t="n">
        <x:v>105302.68</x:v>
      </x:c>
      <x:c r="J1025" s="22" t="n">
        <x:v>0.27823176354679274</x:v>
      </x:c>
      <x:c r="K1025" s="22" t="n">
        <x:v>0.01</x:v>
      </x:c>
      <x:c r="L1025" t="n">
        <x:v>29</x:v>
      </x:c>
      <x:c r="M1025" t="str">
        <x:v>成交</x:v>
      </x:c>
      <x:c r="N1025" s="20" t="n">
        <x:v>46225</x:v>
      </x:c>
      <x:c r="O1025"/>
    </x:row>
    <x:row r="1026" ht="20" customHeight="1">
      <x:c r="A1026" t="str">
        <x:v>Q01025</x:v>
      </x:c>
      <x:c r="B1026" s="20" t="n">
        <x:v>46223</x:v>
      </x:c>
      <x:c r="C1026" t="str">
        <x:v>AUT-012</x:v>
      </x:c>
      <x:c r="D1026" t="str">
        <x:v>S06</x:v>
      </x:c>
      <x:c r="E1026" t="str">
        <x:v>AUTO-BRK-A</x:v>
      </x:c>
      <x:c r="F1026" t="str">
        <x:v>汽車精密零組件</x:v>
      </x:c>
      <x:c r="G1026" t="n">
        <x:v>3000</x:v>
      </x:c>
      <x:c r="H1026" t="n">
        <x:v>1682.97</x:v>
      </x:c>
      <x:c r="I1026" t="n">
        <x:v>1395.27</x:v>
      </x:c>
      <x:c r="J1026" s="22" t="n">
        <x:v>0.17094778873063693</x:v>
      </x:c>
      <x:c r="K1026" s="22" t="n">
        <x:v>0.0993</x:v>
      </x:c>
      <x:c r="L1026" t="n">
        <x:v>15</x:v>
      </x:c>
      <x:c r="M1026" t="str">
        <x:v>成交</x:v>
      </x:c>
      <x:c r="N1026" s="20" t="n">
        <x:v>46235</x:v>
      </x:c>
      <x:c r="O1026"/>
    </x:row>
    <x:row r="1027" ht="20" customHeight="1">
      <x:c r="A1027" t="str">
        <x:v>Q01026</x:v>
      </x:c>
      <x:c r="B1027" s="20" t="n">
        <x:v>46221</x:v>
      </x:c>
      <x:c r="C1027" t="str">
        <x:v>SEM-005</x:v>
      </x:c>
      <x:c r="D1027" t="str">
        <x:v>S06</x:v>
      </x:c>
      <x:c r="E1027" t="str">
        <x:v>SEMI-WH-A</x:v>
      </x:c>
      <x:c r="F1027" t="str">
        <x:v>半導體設備零組件</x:v>
      </x:c>
      <x:c r="G1027" t="n">
        <x:v>120</x:v>
      </x:c>
      <x:c r="H1027" t="n">
        <x:v>103029.6</x:v>
      </x:c>
      <x:c r="I1027" t="n">
        <x:v>86721.42</x:v>
      </x:c>
      <x:c r="J1027" s="22" t="n">
        <x:v>0.15828635654219764</x:v>
      </x:c>
      <x:c r="K1027" s="22" t="n">
        <x:v>0.1374</x:v>
      </x:c>
      <x:c r="L1027" t="n">
        <x:v>52</x:v>
      </x:c>
      <x:c r="M1027" t="str">
        <x:v>成交</x:v>
      </x:c>
      <x:c r="N1027" s="20" t="n">
        <x:v>46229</x:v>
      </x:c>
      <x:c r="O1027"/>
    </x:row>
    <x:row r="1028" ht="20" customHeight="1">
      <x:c r="A1028" t="str">
        <x:v>Q01027</x:v>
      </x:c>
      <x:c r="B1028" s="20" t="n">
        <x:v>46230</x:v>
      </x:c>
      <x:c r="C1028" t="str">
        <x:v>AUT-011</x:v>
      </x:c>
      <x:c r="D1028" t="str">
        <x:v>S02</x:v>
      </x:c>
      <x:c r="E1028" t="str">
        <x:v>PM-VAC-B</x:v>
      </x:c>
      <x:c r="F1028" t="str">
        <x:v>精密金屬加工件</x:v>
      </x:c>
      <x:c r="G1028" t="n">
        <x:v>800</x:v>
      </x:c>
      <x:c r="H1028" t="n">
        <x:v>23233.47</x:v>
      </x:c>
      <x:c r="I1028" t="n">
        <x:v>15544.69</x:v>
      </x:c>
      <x:c r="J1028" s="22" t="n">
        <x:v>0.3309354995185825</x:v>
      </x:c>
      <x:c r="K1028" s="22" t="n">
        <x:v>0.0236</x:v>
      </x:c>
      <x:c r="L1028" t="n">
        <x:v>35</x:v>
      </x:c>
      <x:c r="M1028" t="str">
        <x:v>成交</x:v>
      </x:c>
      <x:c r="N1028" s="20" t="n">
        <x:v>46239</x:v>
      </x:c>
      <x:c r="O1028"/>
    </x:row>
    <x:row r="1029" ht="20" customHeight="1">
      <x:c r="A1029" t="str">
        <x:v>Q01028</x:v>
      </x:c>
      <x:c r="B1029" s="20" t="n">
        <x:v>46234</x:v>
      </x:c>
      <x:c r="C1029" t="str">
        <x:v>AUT-007</x:v>
      </x:c>
      <x:c r="D1029" t="str">
        <x:v>S04</x:v>
      </x:c>
      <x:c r="E1029" t="str">
        <x:v>PM-ALB-B</x:v>
      </x:c>
      <x:c r="F1029" t="str">
        <x:v>精密金屬加工件</x:v>
      </x:c>
      <x:c r="G1029" t="n">
        <x:v>500</x:v>
      </x:c>
      <x:c r="H1029" t="n">
        <x:v>16319.98</x:v>
      </x:c>
      <x:c r="I1029" t="n">
        <x:v>12074.84</x:v>
      </x:c>
      <x:c r="J1029" s="22" t="n">
        <x:v>0.26011919132253836</x:v>
      </x:c>
      <x:c r="K1029" s="22" t="n">
        <x:v>0.0246</x:v>
      </x:c>
      <x:c r="L1029" t="n">
        <x:v>24</x:v>
      </x:c>
      <x:c r="M1029" t="str">
        <x:v>未成交</x:v>
      </x:c>
      <x:c r="N1029" s="20" t="n">
        <x:v>46243</x:v>
      </x:c>
      <x:c r="O1029" t="str">
        <x:v>競品</x:v>
      </x:c>
    </x:row>
    <x:row r="1030" ht="20" customHeight="1">
      <x:c r="A1030" t="str">
        <x:v>Q01029</x:v>
      </x:c>
      <x:c r="B1030" s="20" t="n">
        <x:v>46229</x:v>
      </x:c>
      <x:c r="C1030" t="str">
        <x:v>AUT-013</x:v>
      </x:c>
      <x:c r="D1030" t="str">
        <x:v>S01</x:v>
      </x:c>
      <x:c r="E1030" t="str">
        <x:v>PM-SUS-B</x:v>
      </x:c>
      <x:c r="F1030" t="str">
        <x:v>精密金屬加工件</x:v>
      </x:c>
      <x:c r="G1030" t="n">
        <x:v>1200</x:v>
      </x:c>
      <x:c r="H1030" t="n">
        <x:v>13541.64</x:v>
      </x:c>
      <x:c r="I1030" t="n">
        <x:v>11288.58</x:v>
      </x:c>
      <x:c r="J1030" s="22" t="n">
        <x:v>0.16638014302551238</x:v>
      </x:c>
      <x:c r="K1030" s="22" t="n">
        <x:v>0.1342</x:v>
      </x:c>
      <x:c r="L1030" t="n">
        <x:v>22</x:v>
      </x:c>
      <x:c r="M1030" t="str">
        <x:v>成交</x:v>
      </x:c>
      <x:c r="N1030" s="20" t="n">
        <x:v>46232</x:v>
      </x:c>
      <x:c r="O1030"/>
    </x:row>
    <x:row r="1031" ht="20" customHeight="1">
      <x:c r="A1031" t="str">
        <x:v>Q01030</x:v>
      </x:c>
      <x:c r="B1031" s="20" t="n">
        <x:v>46225</x:v>
      </x:c>
      <x:c r="C1031" t="str">
        <x:v>IAT-002</x:v>
      </x:c>
      <x:c r="D1031" t="str">
        <x:v>S01</x:v>
      </x:c>
      <x:c r="E1031" t="str">
        <x:v>AUTO-BRK-B</x:v>
      </x:c>
      <x:c r="F1031" t="str">
        <x:v>汽車精密零組件</x:v>
      </x:c>
      <x:c r="G1031" t="n">
        <x:v>10000</x:v>
      </x:c>
      <x:c r="H1031" t="n">
        <x:v>2000.11</x:v>
      </x:c>
      <x:c r="I1031" t="n">
        <x:v>1617.33</x:v>
      </x:c>
      <x:c r="J1031" s="22" t="n">
        <x:v>0.1913794741289229</x:v>
      </x:c>
      <x:c r="K1031" s="22" t="n">
        <x:v>0.113</x:v>
      </x:c>
      <x:c r="L1031" t="n">
        <x:v>21</x:v>
      </x:c>
      <x:c r="M1031" t="str">
        <x:v>未成交</x:v>
      </x:c>
      <x:c r="N1031" s="20" t="n">
        <x:v>46232</x:v>
      </x:c>
      <x:c r="O1031" t="str">
        <x:v>交期</x:v>
      </x:c>
    </x:row>
    <x:row r="1032" ht="20" customHeight="1">
      <x:c r="A1032" t="str">
        <x:v>Q01031</x:v>
      </x:c>
      <x:c r="B1032" s="20" t="n">
        <x:v>46218</x:v>
      </x:c>
      <x:c r="C1032" t="str">
        <x:v>EMS-008</x:v>
      </x:c>
      <x:c r="D1032" t="str">
        <x:v>S02</x:v>
      </x:c>
      <x:c r="E1032" t="str">
        <x:v>AUTO-KN-B</x:v>
      </x:c>
      <x:c r="F1032" t="str">
        <x:v>汽車精密零組件</x:v>
      </x:c>
      <x:c r="G1032" t="n">
        <x:v>10000</x:v>
      </x:c>
      <x:c r="H1032" t="n">
        <x:v>3835.5</x:v>
      </x:c>
      <x:c r="I1032" t="n">
        <x:v>2671.04</x:v>
      </x:c>
      <x:c r="J1032" s="22" t="n">
        <x:v>0.30360057358884107</x:v>
      </x:c>
      <x:c r="K1032" s="22" t="n">
        <x:v>0.0482</x:v>
      </x:c>
      <x:c r="L1032" t="n">
        <x:v>23</x:v>
      </x:c>
      <x:c r="M1032" t="str">
        <x:v>成交</x:v>
      </x:c>
      <x:c r="N1032" s="20" t="n">
        <x:v>46226</x:v>
      </x:c>
      <x:c r="O1032"/>
    </x:row>
    <x:row r="1033" ht="20" customHeight="1">
      <x:c r="A1033" t="str">
        <x:v>Q01032</x:v>
      </x:c>
      <x:c r="B1033" s="20" t="n">
        <x:v>46221</x:v>
      </x:c>
      <x:c r="C1033" t="str">
        <x:v>AUT-002</x:v>
      </x:c>
      <x:c r="D1033" t="str">
        <x:v>S04</x:v>
      </x:c>
      <x:c r="E1033" t="str">
        <x:v>AUTO-MH-A</x:v>
      </x:c>
      <x:c r="F1033" t="str">
        <x:v>汽車精密零組件</x:v>
      </x:c>
      <x:c r="G1033" t="n">
        <x:v>13000</x:v>
      </x:c>
      <x:c r="H1033" t="n">
        <x:v>2445.48</x:v>
      </x:c>
      <x:c r="I1033" t="n">
        <x:v>2007.92</x:v>
      </x:c>
      <x:c r="J1033" s="22" t="n">
        <x:v>0.17892601861393262</x:v>
      </x:c>
      <x:c r="K1033" s="22" t="n">
        <x:v>0.0755</x:v>
      </x:c>
      <x:c r="L1033" t="n">
        <x:v>16</x:v>
      </x:c>
      <x:c r="M1033" t="str">
        <x:v>成交</x:v>
      </x:c>
      <x:c r="N1033" s="20" t="n">
        <x:v>46232</x:v>
      </x:c>
      <x:c r="O1033"/>
    </x:row>
    <x:row r="1034" ht="20" customHeight="1">
      <x:c r="A1034" t="str">
        <x:v>Q01033</x:v>
      </x:c>
      <x:c r="B1034" s="20" t="n">
        <x:v>46233</x:v>
      </x:c>
      <x:c r="C1034" t="str">
        <x:v>AUT-013</x:v>
      </x:c>
      <x:c r="D1034" t="str">
        <x:v>S01</x:v>
      </x:c>
      <x:c r="E1034" t="str">
        <x:v>AUTO-KN-B</x:v>
      </x:c>
      <x:c r="F1034" t="str">
        <x:v>汽車精密零組件</x:v>
      </x:c>
      <x:c r="G1034" t="n">
        <x:v>7000</x:v>
      </x:c>
      <x:c r="H1034" t="n">
        <x:v>3869.44</x:v>
      </x:c>
      <x:c r="I1034" t="n">
        <x:v>2520.97</x:v>
      </x:c>
      <x:c r="J1034" s="22" t="n">
        <x:v>0.3484922882897784</x:v>
      </x:c>
      <x:c r="K1034" s="22" t="n">
        <x:v>0.0315</x:v>
      </x:c>
      <x:c r="L1034" t="n">
        <x:v>29</x:v>
      </x:c>
      <x:c r="M1034" t="str">
        <x:v>成交</x:v>
      </x:c>
      <x:c r="N1034" s="20" t="n">
        <x:v>46242</x:v>
      </x:c>
      <x:c r="O1034"/>
    </x:row>
    <x:row r="1035" ht="20" customHeight="1">
      <x:c r="A1035" t="str">
        <x:v>Q01034</x:v>
      </x:c>
      <x:c r="B1035" s="20" t="n">
        <x:v>46226</x:v>
      </x:c>
      <x:c r="C1035" t="str">
        <x:v>AUT-010</x:v>
      </x:c>
      <x:c r="D1035" t="str">
        <x:v>S05</x:v>
      </x:c>
      <x:c r="E1035" t="str">
        <x:v>PM-SUS-B</x:v>
      </x:c>
      <x:c r="F1035" t="str">
        <x:v>精密金屬加工件</x:v>
      </x:c>
      <x:c r="G1035" t="n">
        <x:v>1200</x:v>
      </x:c>
      <x:c r="H1035" t="n">
        <x:v>15333.44</x:v>
      </x:c>
      <x:c r="I1035" t="n">
        <x:v>11524.3</x:v>
      </x:c>
      <x:c r="J1035" s="22" t="n">
        <x:v>0.2484204457708121</x:v>
      </x:c>
      <x:c r="K1035" s="22" t="n">
        <x:v>0.019</x:v>
      </x:c>
      <x:c r="L1035" t="n">
        <x:v>29</x:v>
      </x:c>
      <x:c r="M1035" t="str">
        <x:v>未成交</x:v>
      </x:c>
      <x:c r="N1035" s="20" t="n">
        <x:v>46229</x:v>
      </x:c>
      <x:c r="O1035" t="str">
        <x:v>競品</x:v>
      </x:c>
    </x:row>
    <x:row r="1036" ht="20" customHeight="1">
      <x:c r="A1036" t="str">
        <x:v>Q01035</x:v>
      </x:c>
      <x:c r="B1036" s="20" t="n">
        <x:v>46226</x:v>
      </x:c>
      <x:c r="C1036" t="str">
        <x:v>AUT-007</x:v>
      </x:c>
      <x:c r="D1036" t="str">
        <x:v>S04</x:v>
      </x:c>
      <x:c r="E1036" t="str">
        <x:v>PM-SUS-B</x:v>
      </x:c>
      <x:c r="F1036" t="str">
        <x:v>精密金屬加工件</x:v>
      </x:c>
      <x:c r="G1036" t="n">
        <x:v>800</x:v>
      </x:c>
      <x:c r="H1036" t="n">
        <x:v>14637.1</x:v>
      </x:c>
      <x:c r="I1036" t="n">
        <x:v>11130.2</x:v>
      </x:c>
      <x:c r="J1036" s="22" t="n">
        <x:v>0.2395898094567913</x:v>
      </x:c>
      <x:c r="K1036" s="22" t="n">
        <x:v>0.0875</x:v>
      </x:c>
      <x:c r="L1036" t="n">
        <x:v>27</x:v>
      </x:c>
      <x:c r="M1036" t="str">
        <x:v>未成交</x:v>
      </x:c>
      <x:c r="N1036" s="20" t="n">
        <x:v>46237</x:v>
      </x:c>
      <x:c r="O1036" t="str">
        <x:v>交期</x:v>
      </x:c>
    </x:row>
    <x:row r="1037" ht="20" customHeight="1">
      <x:c r="A1037" t="str">
        <x:v>Q01036</x:v>
      </x:c>
      <x:c r="B1037" s="20" t="n">
        <x:v>46210</x:v>
      </x:c>
      <x:c r="C1037" t="str">
        <x:v>AUT-012</x:v>
      </x:c>
      <x:c r="D1037" t="str">
        <x:v>S06</x:v>
      </x:c>
      <x:c r="E1037" t="str">
        <x:v>AUTO-BS-B</x:v>
      </x:c>
      <x:c r="F1037" t="str">
        <x:v>汽車精密零組件</x:v>
      </x:c>
      <x:c r="G1037" t="n">
        <x:v>7000</x:v>
      </x:c>
      <x:c r="H1037" t="n">
        <x:v>914.23</x:v>
      </x:c>
      <x:c r="I1037" t="n">
        <x:v>656.06</x:v>
      </x:c>
      <x:c r="J1037" s="22" t="n">
        <x:v>0.2823906456799712</x:v>
      </x:c>
      <x:c r="K1037" s="22" t="n">
        <x:v>0.0446</x:v>
      </x:c>
      <x:c r="L1037" t="n">
        <x:v>18</x:v>
      </x:c>
      <x:c r="M1037" t="str">
        <x:v>成交</x:v>
      </x:c>
      <x:c r="N1037" s="20" t="n">
        <x:v>46222</x:v>
      </x:c>
      <x:c r="O1037"/>
    </x:row>
    <x:row r="1038" ht="20" customHeight="1">
      <x:c r="A1038" t="str">
        <x:v>Q01037</x:v>
      </x:c>
      <x:c r="B1038" s="20" t="n">
        <x:v>46259</x:v>
      </x:c>
      <x:c r="C1038" t="str">
        <x:v>AUT-005</x:v>
      </x:c>
      <x:c r="D1038" t="str">
        <x:v>S04</x:v>
      </x:c>
      <x:c r="E1038" t="str">
        <x:v>AUTO-BRK-A</x:v>
      </x:c>
      <x:c r="F1038" t="str">
        <x:v>汽車精密零組件</x:v>
      </x:c>
      <x:c r="G1038" t="n">
        <x:v>13000</x:v>
      </x:c>
      <x:c r="H1038" t="n">
        <x:v>1855.43</x:v>
      </x:c>
      <x:c r="I1038" t="n">
        <x:v>1425.38</x:v>
      </x:c>
      <x:c r="J1038" s="22" t="n">
        <x:v>0.23177915631416973</x:v>
      </x:c>
      <x:c r="K1038" s="22" t="n">
        <x:v>0.0155</x:v>
      </x:c>
      <x:c r="L1038" t="n">
        <x:v>13</x:v>
      </x:c>
      <x:c r="M1038" t="str">
        <x:v>成交</x:v>
      </x:c>
      <x:c r="N1038" s="20" t="n">
        <x:v>46266</x:v>
      </x:c>
      <x:c r="O1038"/>
    </x:row>
    <x:row r="1039" ht="20" customHeight="1">
      <x:c r="A1039" t="str">
        <x:v>Q01038</x:v>
      </x:c>
      <x:c r="B1039" s="20" t="n">
        <x:v>46261</x:v>
      </x:c>
      <x:c r="C1039" t="str">
        <x:v>EMS-002</x:v>
      </x:c>
      <x:c r="D1039" t="str">
        <x:v>S05</x:v>
      </x:c>
      <x:c r="E1039" t="str">
        <x:v>AUTO-MH-A</x:v>
      </x:c>
      <x:c r="F1039" t="str">
        <x:v>汽車精密零組件</x:v>
      </x:c>
      <x:c r="G1039" t="n">
        <x:v>13000</x:v>
      </x:c>
      <x:c r="H1039" t="n">
        <x:v>2597.19</x:v>
      </x:c>
      <x:c r="I1039" t="n">
        <x:v>2034.63</x:v>
      </x:c>
      <x:c r="J1039" s="22" t="n">
        <x:v>0.2166033289824772</x:v>
      </x:c>
      <x:c r="K1039" s="22" t="n">
        <x:v>0.0242</x:v>
      </x:c>
      <x:c r="L1039" t="n">
        <x:v>17</x:v>
      </x:c>
      <x:c r="M1039" t="str">
        <x:v>成交</x:v>
      </x:c>
      <x:c r="N1039" s="20" t="n">
        <x:v>46267</x:v>
      </x:c>
      <x:c r="O1039"/>
    </x:row>
    <x:row r="1040" ht="20" customHeight="1">
      <x:c r="A1040" t="str">
        <x:v>Q01039</x:v>
      </x:c>
      <x:c r="B1040" s="20" t="n">
        <x:v>46239</x:v>
      </x:c>
      <x:c r="C1040" t="str">
        <x:v>SEM-003</x:v>
      </x:c>
      <x:c r="D1040" t="str">
        <x:v>S02</x:v>
      </x:c>
      <x:c r="E1040" t="str">
        <x:v>PM-SUS-B</x:v>
      </x:c>
      <x:c r="F1040" t="str">
        <x:v>精密金屬加工件</x:v>
      </x:c>
      <x:c r="G1040" t="n">
        <x:v>500</x:v>
      </x:c>
      <x:c r="H1040" t="n">
        <x:v>13432.05</x:v>
      </x:c>
      <x:c r="I1040" t="n">
        <x:v>10861.88</x:v>
      </x:c>
      <x:c r="J1040" s="22" t="n">
        <x:v>0.19134607152296187</x:v>
      </x:c>
      <x:c r="K1040" s="22" t="n">
        <x:v>0.1577</x:v>
      </x:c>
      <x:c r="L1040" t="n">
        <x:v>21</x:v>
      </x:c>
      <x:c r="M1040" t="str">
        <x:v>成交</x:v>
      </x:c>
      <x:c r="N1040" s="20" t="n">
        <x:v>46250</x:v>
      </x:c>
      <x:c r="O1040"/>
    </x:row>
    <x:row r="1041" ht="20" customHeight="1">
      <x:c r="A1041" t="str">
        <x:v>Q01040</x:v>
      </x:c>
      <x:c r="B1041" s="20" t="n">
        <x:v>46249</x:v>
      </x:c>
      <x:c r="C1041" t="str">
        <x:v>IAT-008</x:v>
      </x:c>
      <x:c r="D1041" t="str">
        <x:v>S01</x:v>
      </x:c>
      <x:c r="E1041" t="str">
        <x:v>AUTO-BRK-A</x:v>
      </x:c>
      <x:c r="F1041" t="str">
        <x:v>汽車精密零組件</x:v>
      </x:c>
      <x:c r="G1041" t="n">
        <x:v>7000</x:v>
      </x:c>
      <x:c r="H1041" t="n">
        <x:v>1751.21</x:v>
      </x:c>
      <x:c r="I1041" t="n">
        <x:v>1424.42</x:v>
      </x:c>
      <x:c r="J1041" s="22" t="n">
        <x:v>0.1866081166736142</x:v>
      </x:c>
      <x:c r="K1041" s="22" t="n">
        <x:v>0.0494</x:v>
      </x:c>
      <x:c r="L1041" t="n">
        <x:v>17</x:v>
      </x:c>
      <x:c r="M1041" t="str">
        <x:v>未成交</x:v>
      </x:c>
      <x:c r="N1041" s="20" t="n">
        <x:v>46259</x:v>
      </x:c>
      <x:c r="O1041" t="str">
        <x:v>交期</x:v>
      </x:c>
    </x:row>
    <x:row r="1042" ht="20" customHeight="1">
      <x:c r="A1042" t="str">
        <x:v>Q01041</x:v>
      </x:c>
      <x:c r="B1042" s="20" t="n">
        <x:v>46262</x:v>
      </x:c>
      <x:c r="C1042" t="str">
        <x:v>SEM-007</x:v>
      </x:c>
      <x:c r="D1042" t="str">
        <x:v>S03</x:v>
      </x:c>
      <x:c r="E1042" t="str">
        <x:v>MECH-CON-A</x:v>
      </x:c>
      <x:c r="F1042" t="str">
        <x:v>機電／自動化模組</x:v>
      </x:c>
      <x:c r="G1042" t="n">
        <x:v>20</x:v>
      </x:c>
      <x:c r="H1042" t="n">
        <x:v>113343.43</x:v>
      </x:c>
      <x:c r="I1042" t="n">
        <x:v>82766.44</x:v>
      </x:c>
      <x:c r="J1042" s="22" t="n">
        <x:v>0.26977293699334837</x:v>
      </x:c>
      <x:c r="K1042" s="22" t="n">
        <x:v>0.03</x:v>
      </x:c>
      <x:c r="L1042" t="n">
        <x:v>26</x:v>
      </x:c>
      <x:c r="M1042" t="str">
        <x:v>成交</x:v>
      </x:c>
      <x:c r="N1042" s="20" t="n">
        <x:v>46273</x:v>
      </x:c>
      <x:c r="O1042"/>
    </x:row>
    <x:row r="1043" ht="20" customHeight="1">
      <x:c r="A1043" t="str">
        <x:v>Q01042</x:v>
      </x:c>
      <x:c r="B1043" s="20" t="n">
        <x:v>46249</x:v>
      </x:c>
      <x:c r="C1043" t="str">
        <x:v>SEM-007</x:v>
      </x:c>
      <x:c r="D1043" t="str">
        <x:v>S03</x:v>
      </x:c>
      <x:c r="E1043" t="str">
        <x:v>PM-VAC-B</x:v>
      </x:c>
      <x:c r="F1043" t="str">
        <x:v>精密金屬加工件</x:v>
      </x:c>
      <x:c r="G1043" t="n">
        <x:v>800</x:v>
      </x:c>
      <x:c r="H1043" t="n">
        <x:v>23118.05</x:v>
      </x:c>
      <x:c r="I1043" t="n">
        <x:v>15594.3</x:v>
      </x:c>
      <x:c r="J1043" s="22" t="n">
        <x:v>0.32544916201842283</x:v>
      </x:c>
      <x:c r="K1043" s="22" t="n">
        <x:v>0.0168</x:v>
      </x:c>
      <x:c r="L1043" t="n">
        <x:v>25</x:v>
      </x:c>
      <x:c r="M1043" t="str">
        <x:v>成交</x:v>
      </x:c>
      <x:c r="N1043" s="20" t="n">
        <x:v>46261</x:v>
      </x:c>
      <x:c r="O1043"/>
    </x:row>
    <x:row r="1044" ht="20" customHeight="1">
      <x:c r="A1044" t="str">
        <x:v>Q01043</x:v>
      </x:c>
      <x:c r="B1044" s="20" t="n">
        <x:v>46247</x:v>
      </x:c>
      <x:c r="C1044" t="str">
        <x:v>AUT-004</x:v>
      </x:c>
      <x:c r="D1044" t="str">
        <x:v>S03</x:v>
      </x:c>
      <x:c r="E1044" t="str">
        <x:v>AUTO-BS-A</x:v>
      </x:c>
      <x:c r="F1044" t="str">
        <x:v>汽車精密零組件</x:v>
      </x:c>
      <x:c r="G1044" t="n">
        <x:v>10000</x:v>
      </x:c>
      <x:c r="H1044" t="n">
        <x:v>723.99</x:v>
      </x:c>
      <x:c r="I1044" t="n">
        <x:v>567.12</x:v>
      </x:c>
      <x:c r="J1044" s="22" t="n">
        <x:v>0.2166742634566776</x:v>
      </x:c>
      <x:c r="K1044" s="22" t="n">
        <x:v>0.1131</x:v>
      </x:c>
      <x:c r="L1044" t="n">
        <x:v>10</x:v>
      </x:c>
      <x:c r="M1044" t="str">
        <x:v>成交</x:v>
      </x:c>
      <x:c r="N1044" s="20" t="n">
        <x:v>46252</x:v>
      </x:c>
      <x:c r="O1044"/>
    </x:row>
    <x:row r="1045" ht="20" customHeight="1">
      <x:c r="A1045" t="str">
        <x:v>Q01044</x:v>
      </x:c>
      <x:c r="B1045" s="20" t="n">
        <x:v>46244</x:v>
      </x:c>
      <x:c r="C1045" t="str">
        <x:v>AFT-005</x:v>
      </x:c>
      <x:c r="D1045" t="str">
        <x:v>S05</x:v>
      </x:c>
      <x:c r="E1045" t="str">
        <x:v>PM-VAC-A</x:v>
      </x:c>
      <x:c r="F1045" t="str">
        <x:v>精密金屬加工件</x:v>
      </x:c>
      <x:c r="G1045" t="n">
        <x:v>800</x:v>
      </x:c>
      <x:c r="H1045" t="n">
        <x:v>16458.16</x:v>
      </x:c>
      <x:c r="I1045" t="n">
        <x:v>10991.97</x:v>
      </x:c>
      <x:c r="J1045" s="22" t="n">
        <x:v>0.3321264345467537</x:v>
      </x:c>
      <x:c r="K1045" s="22" t="n">
        <x:v>0.0269</x:v>
      </x:c>
      <x:c r="L1045" t="n">
        <x:v>23</x:v>
      </x:c>
      <x:c r="M1045" t="str">
        <x:v>成交</x:v>
      </x:c>
      <x:c r="N1045" s="20" t="n">
        <x:v>46250</x:v>
      </x:c>
      <x:c r="O1045"/>
    </x:row>
    <x:row r="1046" ht="20" customHeight="1">
      <x:c r="A1046" t="str">
        <x:v>Q01045</x:v>
      </x:c>
      <x:c r="B1046" s="20" t="n">
        <x:v>46254</x:v>
      </x:c>
      <x:c r="C1046" t="str">
        <x:v>EMS-005</x:v>
      </x:c>
      <x:c r="D1046" t="str">
        <x:v>S01</x:v>
      </x:c>
      <x:c r="E1046" t="str">
        <x:v>AUTO-BRK-A</x:v>
      </x:c>
      <x:c r="F1046" t="str">
        <x:v>汽車精密零組件</x:v>
      </x:c>
      <x:c r="G1046" t="n">
        <x:v>10000</x:v>
      </x:c>
      <x:c r="H1046" t="n">
        <x:v>1709.25</x:v>
      </x:c>
      <x:c r="I1046" t="n">
        <x:v>1348.62</x:v>
      </x:c>
      <x:c r="J1046" s="22" t="n">
        <x:v>0.21098727512066703</x:v>
      </x:c>
      <x:c r="K1046" s="22" t="n">
        <x:v>0.0681</x:v>
      </x:c>
      <x:c r="L1046" t="n">
        <x:v>18</x:v>
      </x:c>
      <x:c r="M1046" t="str">
        <x:v>成交</x:v>
      </x:c>
      <x:c r="N1046" s="20" t="n">
        <x:v>46263</x:v>
      </x:c>
      <x:c r="O1046"/>
    </x:row>
    <x:row r="1047" ht="20" customHeight="1">
      <x:c r="A1047" t="str">
        <x:v>Q01046</x:v>
      </x:c>
      <x:c r="B1047" s="20" t="n">
        <x:v>46250</x:v>
      </x:c>
      <x:c r="C1047" t="str">
        <x:v>IAT-002</x:v>
      </x:c>
      <x:c r="D1047" t="str">
        <x:v>S01</x:v>
      </x:c>
      <x:c r="E1047" t="str">
        <x:v>AUTO-FL-A</x:v>
      </x:c>
      <x:c r="F1047" t="str">
        <x:v>汽車精密零組件</x:v>
      </x:c>
      <x:c r="G1047" t="n">
        <x:v>13000</x:v>
      </x:c>
      <x:c r="H1047" t="n">
        <x:v>1260.84</x:v>
      </x:c>
      <x:c r="I1047" t="n">
        <x:v>978.52</x:v>
      </x:c>
      <x:c r="J1047" s="22" t="n">
        <x:v>0.22391421591954566</x:v>
      </x:c>
      <x:c r="K1047" s="22" t="n">
        <x:v>0.0997</x:v>
      </x:c>
      <x:c r="L1047" t="n">
        <x:v>17</x:v>
      </x:c>
      <x:c r="M1047" t="str">
        <x:v>成交</x:v>
      </x:c>
      <x:c r="N1047" s="20" t="n">
        <x:v>46262</x:v>
      </x:c>
      <x:c r="O1047"/>
    </x:row>
    <x:row r="1048" ht="20" customHeight="1">
      <x:c r="A1048" t="str">
        <x:v>Q01047</x:v>
      </x:c>
      <x:c r="B1048" s="20" t="n">
        <x:v>46249</x:v>
      </x:c>
      <x:c r="C1048" t="str">
        <x:v>AUT-009</x:v>
      </x:c>
      <x:c r="D1048" t="str">
        <x:v>S04</x:v>
      </x:c>
      <x:c r="E1048" t="str">
        <x:v>AUTO-MH-A</x:v>
      </x:c>
      <x:c r="F1048" t="str">
        <x:v>汽車精密零組件</x:v>
      </x:c>
      <x:c r="G1048" t="n">
        <x:v>5000</x:v>
      </x:c>
      <x:c r="H1048" t="n">
        <x:v>2384.57</x:v>
      </x:c>
      <x:c r="I1048" t="n">
        <x:v>1911.01</x:v>
      </x:c>
      <x:c r="J1048" s="22" t="n">
        <x:v>0.19859345710128037</x:v>
      </x:c>
      <x:c r="K1048" s="22" t="n">
        <x:v>0.1262</x:v>
      </x:c>
      <x:c r="L1048" t="n">
        <x:v>22</x:v>
      </x:c>
      <x:c r="M1048" t="str">
        <x:v>成交</x:v>
      </x:c>
      <x:c r="N1048" s="20" t="n">
        <x:v>46255</x:v>
      </x:c>
      <x:c r="O1048"/>
    </x:row>
    <x:row r="1049" ht="20" customHeight="1">
      <x:c r="A1049" t="str">
        <x:v>Q01048</x:v>
      </x:c>
      <x:c r="B1049" s="20" t="n">
        <x:v>46239</x:v>
      </x:c>
      <x:c r="C1049" t="str">
        <x:v>SEM-007</x:v>
      </x:c>
      <x:c r="D1049" t="str">
        <x:v>S03</x:v>
      </x:c>
      <x:c r="E1049" t="str">
        <x:v>SEMI-CHB-B</x:v>
      </x:c>
      <x:c r="F1049" t="str">
        <x:v>半導體設備零組件</x:v>
      </x:c>
      <x:c r="G1049" t="n">
        <x:v>40</x:v>
      </x:c>
      <x:c r="H1049" t="n">
        <x:v>130101.27</x:v>
      </x:c>
      <x:c r="I1049" t="n">
        <x:v>112175.64</x:v>
      </x:c>
      <x:c r="J1049" s="22" t="n">
        <x:v>0.1377821292597682</x:v>
      </x:c>
      <x:c r="K1049" s="22" t="n">
        <x:v>0.1078</x:v>
      </x:c>
      <x:c r="L1049" t="n">
        <x:v>48</x:v>
      </x:c>
      <x:c r="M1049" t="str">
        <x:v>未成交</x:v>
      </x:c>
      <x:c r="N1049" s="20" t="n">
        <x:v>46251</x:v>
      </x:c>
      <x:c r="O1049" t="str">
        <x:v>競品</x:v>
      </x:c>
    </x:row>
    <x:row r="1050" ht="20" customHeight="1">
      <x:c r="A1050" t="str">
        <x:v>Q01049</x:v>
      </x:c>
      <x:c r="B1050" s="20" t="n">
        <x:v>46253</x:v>
      </x:c>
      <x:c r="C1050" t="str">
        <x:v>EMS-008</x:v>
      </x:c>
      <x:c r="D1050" t="str">
        <x:v>S02</x:v>
      </x:c>
      <x:c r="E1050" t="str">
        <x:v>AUTO-KN-A</x:v>
      </x:c>
      <x:c r="F1050" t="str">
        <x:v>汽車精密零組件</x:v>
      </x:c>
      <x:c r="G1050" t="n">
        <x:v>5000</x:v>
      </x:c>
      <x:c r="H1050" t="n">
        <x:v>3220.79</x:v>
      </x:c>
      <x:c r="I1050" t="n">
        <x:v>2230.34</x:v>
      </x:c>
      <x:c r="J1050" s="22" t="n">
        <x:v>0.3075177208076279</x:v>
      </x:c>
      <x:c r="K1050" s="22" t="n">
        <x:v>0.0506</x:v>
      </x:c>
      <x:c r="L1050" t="n">
        <x:v>21</x:v>
      </x:c>
      <x:c r="M1050" t="str">
        <x:v>成交</x:v>
      </x:c>
      <x:c r="N1050" s="20" t="n">
        <x:v>46259</x:v>
      </x:c>
      <x:c r="O1050"/>
    </x:row>
    <x:row r="1051" ht="20" customHeight="1">
      <x:c r="A1051" t="str">
        <x:v>Q01050</x:v>
      </x:c>
      <x:c r="B1051" s="20" t="n">
        <x:v>46261</x:v>
      </x:c>
      <x:c r="C1051" t="str">
        <x:v>SEM-010</x:v>
      </x:c>
      <x:c r="D1051" t="str">
        <x:v>S01</x:v>
      </x:c>
      <x:c r="E1051" t="str">
        <x:v>PM-VAC-B</x:v>
      </x:c>
      <x:c r="F1051" t="str">
        <x:v>精密金屬加工件</x:v>
      </x:c>
      <x:c r="G1051" t="n">
        <x:v>800</x:v>
      </x:c>
      <x:c r="H1051" t="n">
        <x:v>22446.8</x:v>
      </x:c>
      <x:c r="I1051" t="n">
        <x:v>15915.4</x:v>
      </x:c>
      <x:c r="J1051" s="22" t="n">
        <x:v>0.290972432596183</x:v>
      </x:c>
      <x:c r="K1051" s="22" t="n">
        <x:v>0.032</x:v>
      </x:c>
      <x:c r="L1051" t="n">
        <x:v>34</x:v>
      </x:c>
      <x:c r="M1051" t="str">
        <x:v>成交</x:v>
      </x:c>
      <x:c r="N1051" s="20" t="n">
        <x:v>46264</x:v>
      </x:c>
      <x:c r="O1051"/>
    </x:row>
    <x:row r="1052" ht="20" customHeight="1">
      <x:c r="A1052" t="str">
        <x:v>Q01051</x:v>
      </x:c>
      <x:c r="B1052" s="20" t="n">
        <x:v>46262</x:v>
      </x:c>
      <x:c r="C1052" t="str">
        <x:v>AFT-005</x:v>
      </x:c>
      <x:c r="D1052" t="str">
        <x:v>S05</x:v>
      </x:c>
      <x:c r="E1052" t="str">
        <x:v>AUTO-FL-B</x:v>
      </x:c>
      <x:c r="F1052" t="str">
        <x:v>汽車精密零組件</x:v>
      </x:c>
      <x:c r="G1052" t="n">
        <x:v>10000</x:v>
      </x:c>
      <x:c r="H1052" t="n">
        <x:v>1525.05</x:v>
      </x:c>
      <x:c r="I1052" t="n">
        <x:v>1198.2</x:v>
      </x:c>
      <x:c r="J1052" s="22" t="n">
        <x:v>0.2143208419396085</x:v>
      </x:c>
      <x:c r="K1052" s="22" t="n">
        <x:v>0.0523</x:v>
      </x:c>
      <x:c r="L1052" t="n">
        <x:v>18</x:v>
      </x:c>
      <x:c r="M1052" t="str">
        <x:v>未成交</x:v>
      </x:c>
      <x:c r="N1052" s="20" t="n">
        <x:v>46269</x:v>
      </x:c>
      <x:c r="O1052" t="str">
        <x:v>交期</x:v>
      </x:c>
    </x:row>
    <x:row r="1053" ht="20" customHeight="1">
      <x:c r="A1053" t="str">
        <x:v>Q01052</x:v>
      </x:c>
      <x:c r="B1053" s="20" t="n">
        <x:v>46252</x:v>
      </x:c>
      <x:c r="C1053" t="str">
        <x:v>EMS-008</x:v>
      </x:c>
      <x:c r="D1053" t="str">
        <x:v>S02</x:v>
      </x:c>
      <x:c r="E1053" t="str">
        <x:v>AUTO-BRK-A</x:v>
      </x:c>
      <x:c r="F1053" t="str">
        <x:v>汽車精密零組件</x:v>
      </x:c>
      <x:c r="G1053" t="n">
        <x:v>7000</x:v>
      </x:c>
      <x:c r="H1053" t="n">
        <x:v>1745.81</x:v>
      </x:c>
      <x:c r="I1053" t="n">
        <x:v>1428.9</x:v>
      </x:c>
      <x:c r="J1053" s="22" t="n">
        <x:v>0.18152605380883363</x:v>
      </x:c>
      <x:c r="K1053" s="22" t="n">
        <x:v>0.0462</x:v>
      </x:c>
      <x:c r="L1053" t="n">
        <x:v>19</x:v>
      </x:c>
      <x:c r="M1053" t="str">
        <x:v>成交</x:v>
      </x:c>
      <x:c r="N1053" s="20" t="n">
        <x:v>46263</x:v>
      </x:c>
      <x:c r="O1053"/>
    </x:row>
    <x:row r="1054" ht="20" customHeight="1">
      <x:c r="A1054" t="str">
        <x:v>Q01053</x:v>
      </x:c>
      <x:c r="B1054" s="20" t="n">
        <x:v>46252</x:v>
      </x:c>
      <x:c r="C1054" t="str">
        <x:v>IAT-007</x:v>
      </x:c>
      <x:c r="D1054" t="str">
        <x:v>S04</x:v>
      </x:c>
      <x:c r="E1054" t="str">
        <x:v>MECH-CON-B</x:v>
      </x:c>
      <x:c r="F1054" t="str">
        <x:v>機電／自動化模組</x:v>
      </x:c>
      <x:c r="G1054" t="n">
        <x:v>10</x:v>
      </x:c>
      <x:c r="H1054" t="n">
        <x:v>151442.8</x:v>
      </x:c>
      <x:c r="I1054" t="n">
        <x:v>118505.6</x:v>
      </x:c>
      <x:c r="J1054" s="22" t="n">
        <x:v>0.21748937552660136</x:v>
      </x:c>
      <x:c r="K1054" s="22" t="n">
        <x:v>0.0694</x:v>
      </x:c>
      <x:c r="L1054" t="n">
        <x:v>50</x:v>
      </x:c>
      <x:c r="M1054" t="str">
        <x:v>成交</x:v>
      </x:c>
      <x:c r="N1054" s="20" t="n">
        <x:v>46257</x:v>
      </x:c>
      <x:c r="O1054"/>
    </x:row>
    <x:row r="1055" ht="20" customHeight="1">
      <x:c r="A1055" t="str">
        <x:v>Q01054</x:v>
      </x:c>
      <x:c r="B1055" s="20" t="n">
        <x:v>46257</x:v>
      </x:c>
      <x:c r="C1055" t="str">
        <x:v>AUT-008</x:v>
      </x:c>
      <x:c r="D1055" t="str">
        <x:v>S01</x:v>
      </x:c>
      <x:c r="E1055" t="str">
        <x:v>AUTO-BS-B</x:v>
      </x:c>
      <x:c r="F1055" t="str">
        <x:v>汽車精密零組件</x:v>
      </x:c>
      <x:c r="G1055" t="n">
        <x:v>3000</x:v>
      </x:c>
      <x:c r="H1055" t="n">
        <x:v>838.33</x:v>
      </x:c>
      <x:c r="I1055" t="n">
        <x:v>656.64</x:v>
      </x:c>
      <x:c r="J1055" s="22" t="n">
        <x:v>0.2167284959383537</x:v>
      </x:c>
      <x:c r="K1055" s="22" t="n">
        <x:v>0.1315</x:v>
      </x:c>
      <x:c r="L1055" t="n">
        <x:v>14</x:v>
      </x:c>
      <x:c r="M1055" t="str">
        <x:v>未成交</x:v>
      </x:c>
      <x:c r="N1055" s="20" t="n">
        <x:v>46263</x:v>
      </x:c>
      <x:c r="O1055" t="str">
        <x:v>競品</x:v>
      </x:c>
    </x:row>
    <x:row r="1056" ht="20" customHeight="1">
      <x:c r="A1056" t="str">
        <x:v>Q01055</x:v>
      </x:c>
      <x:c r="B1056" s="20" t="n">
        <x:v>46245</x:v>
      </x:c>
      <x:c r="C1056" t="str">
        <x:v>SEM-001</x:v>
      </x:c>
      <x:c r="D1056" t="str">
        <x:v>S01</x:v>
      </x:c>
      <x:c r="E1056" t="str">
        <x:v>PM-BRG-A</x:v>
      </x:c>
      <x:c r="F1056" t="str">
        <x:v>精密金屬加工件</x:v>
      </x:c>
      <x:c r="G1056" t="n">
        <x:v>300</x:v>
      </x:c>
      <x:c r="H1056" t="n">
        <x:v>6951.96</x:v>
      </x:c>
      <x:c r="I1056" t="n">
        <x:v>4538.4</x:v>
      </x:c>
      <x:c r="J1056" s="22" t="n">
        <x:v>0.3471769112595585</x:v>
      </x:c>
      <x:c r="K1056" s="22" t="n">
        <x:v>0.0431</x:v>
      </x:c>
      <x:c r="L1056" t="n">
        <x:v>14</x:v>
      </x:c>
      <x:c r="M1056" t="str">
        <x:v>成交</x:v>
      </x:c>
      <x:c r="N1056" s="20" t="n">
        <x:v>46248</x:v>
      </x:c>
      <x:c r="O1056"/>
    </x:row>
    <x:row r="1057" ht="20" customHeight="1">
      <x:c r="A1057" t="str">
        <x:v>Q01056</x:v>
      </x:c>
      <x:c r="B1057" s="20" t="n">
        <x:v>46263</x:v>
      </x:c>
      <x:c r="C1057" t="str">
        <x:v>AUT-013</x:v>
      </x:c>
      <x:c r="D1057" t="str">
        <x:v>S01</x:v>
      </x:c>
      <x:c r="E1057" t="str">
        <x:v>PM-VAC-A</x:v>
      </x:c>
      <x:c r="F1057" t="str">
        <x:v>精密金屬加工件</x:v>
      </x:c>
      <x:c r="G1057" t="n">
        <x:v>1200</x:v>
      </x:c>
      <x:c r="H1057" t="n">
        <x:v>16873.66</x:v>
      </x:c>
      <x:c r="I1057" t="n">
        <x:v>11186.76</x:v>
      </x:c>
      <x:c r="J1057" s="22" t="n">
        <x:v>0.3370282440205622</x:v>
      </x:c>
      <x:c r="K1057" s="22" t="n">
        <x:v>0.0106</x:v>
      </x:c>
      <x:c r="L1057" t="n">
        <x:v>28</x:v>
      </x:c>
      <x:c r="M1057" t="str">
        <x:v>未成交</x:v>
      </x:c>
      <x:c r="N1057" s="20" t="n">
        <x:v>46267</x:v>
      </x:c>
      <x:c r="O1057" t="str">
        <x:v>規格</x:v>
      </x:c>
    </x:row>
    <x:row r="1058" ht="20" customHeight="1">
      <x:c r="A1058" t="str">
        <x:v>Q01057</x:v>
      </x:c>
      <x:c r="B1058" s="20" t="n">
        <x:v>46255</x:v>
      </x:c>
      <x:c r="C1058" t="str">
        <x:v>AUT-001</x:v>
      </x:c>
      <x:c r="D1058" t="str">
        <x:v>S01</x:v>
      </x:c>
      <x:c r="E1058" t="str">
        <x:v>AUTO-MH-A</x:v>
      </x:c>
      <x:c r="F1058" t="str">
        <x:v>汽車精密零組件</x:v>
      </x:c>
      <x:c r="G1058" t="n">
        <x:v>3000</x:v>
      </x:c>
      <x:c r="H1058" t="n">
        <x:v>2568.98</x:v>
      </x:c>
      <x:c r="I1058" t="n">
        <x:v>2021.21</x:v>
      </x:c>
      <x:c r="J1058" s="22" t="n">
        <x:v>0.21322470396811186</x:v>
      </x:c>
      <x:c r="K1058" s="22" t="n">
        <x:v>0.0502</x:v>
      </x:c>
      <x:c r="L1058" t="n">
        <x:v>20</x:v>
      </x:c>
      <x:c r="M1058" t="str">
        <x:v>成交</x:v>
      </x:c>
      <x:c r="N1058" s="20" t="n">
        <x:v>46262</x:v>
      </x:c>
      <x:c r="O1058"/>
    </x:row>
    <x:row r="1059" ht="20" customHeight="1">
      <x:c r="A1059" t="str">
        <x:v>Q01058</x:v>
      </x:c>
      <x:c r="B1059" s="20" t="n">
        <x:v>46240</x:v>
      </x:c>
      <x:c r="C1059" t="str">
        <x:v>SEM-002</x:v>
      </x:c>
      <x:c r="D1059" t="str">
        <x:v>S02</x:v>
      </x:c>
      <x:c r="E1059" t="str">
        <x:v>PM-SUS-B</x:v>
      </x:c>
      <x:c r="F1059" t="str">
        <x:v>精密金屬加工件</x:v>
      </x:c>
      <x:c r="G1059" t="n">
        <x:v>500</x:v>
      </x:c>
      <x:c r="H1059" t="n">
        <x:v>14017.5</x:v>
      </x:c>
      <x:c r="I1059" t="n">
        <x:v>10975.78</x:v>
      </x:c>
      <x:c r="J1059" s="22" t="n">
        <x:v>0.21699447119671833</x:v>
      </x:c>
      <x:c r="K1059" s="22" t="n">
        <x:v>0.1041</x:v>
      </x:c>
      <x:c r="L1059" t="n">
        <x:v>26</x:v>
      </x:c>
      <x:c r="M1059" t="str">
        <x:v>成交</x:v>
      </x:c>
      <x:c r="N1059" s="20" t="n">
        <x:v>46252</x:v>
      </x:c>
      <x:c r="O1059"/>
    </x:row>
    <x:row r="1060" ht="20" customHeight="1">
      <x:c r="A1060" t="str">
        <x:v>Q01059</x:v>
      </x:c>
      <x:c r="B1060" s="20" t="n">
        <x:v>46253</x:v>
      </x:c>
      <x:c r="C1060" t="str">
        <x:v>AUT-013</x:v>
      </x:c>
      <x:c r="D1060" t="str">
        <x:v>S01</x:v>
      </x:c>
      <x:c r="E1060" t="str">
        <x:v>AUTO-KN-A</x:v>
      </x:c>
      <x:c r="F1060" t="str">
        <x:v>汽車精密零組件</x:v>
      </x:c>
      <x:c r="G1060" t="n">
        <x:v>10000</x:v>
      </x:c>
      <x:c r="H1060" t="n">
        <x:v>3190.34</x:v>
      </x:c>
      <x:c r="I1060" t="n">
        <x:v>2200.09</x:v>
      </x:c>
      <x:c r="J1060" s="22" t="n">
        <x:v>0.31039011516013965</x:v>
      </x:c>
      <x:c r="K1060" s="22" t="n">
        <x:v>0.0546</x:v>
      </x:c>
      <x:c r="L1060" t="n">
        <x:v>22</x:v>
      </x:c>
      <x:c r="M1060" t="str">
        <x:v>未成交</x:v>
      </x:c>
      <x:c r="N1060" s="20" t="n">
        <x:v>46256</x:v>
      </x:c>
      <x:c r="O1060" t="str">
        <x:v>專案取消</x:v>
      </x:c>
    </x:row>
    <x:row r="1061" ht="20" customHeight="1">
      <x:c r="A1061" t="str">
        <x:v>Q01060</x:v>
      </x:c>
      <x:c r="B1061" s="20" t="n">
        <x:v>46257</x:v>
      </x:c>
      <x:c r="C1061" t="str">
        <x:v>EMS-002</x:v>
      </x:c>
      <x:c r="D1061" t="str">
        <x:v>S05</x:v>
      </x:c>
      <x:c r="E1061" t="str">
        <x:v>AUTO-KN-A</x:v>
      </x:c>
      <x:c r="F1061" t="str">
        <x:v>汽車精密零組件</x:v>
      </x:c>
      <x:c r="G1061" t="n">
        <x:v>13000</x:v>
      </x:c>
      <x:c r="H1061" t="n">
        <x:v>3251.45</x:v>
      </x:c>
      <x:c r="I1061" t="n">
        <x:v>2225.81</x:v>
      </x:c>
      <x:c r="J1061" s="22" t="n">
        <x:v>0.3154408033338972</x:v>
      </x:c>
      <x:c r="K1061" s="22" t="n">
        <x:v>0.0433</x:v>
      </x:c>
      <x:c r="L1061" t="n">
        <x:v>19</x:v>
      </x:c>
      <x:c r="M1061" t="str">
        <x:v>成交</x:v>
      </x:c>
      <x:c r="N1061" s="20" t="n">
        <x:v>46264</x:v>
      </x:c>
      <x:c r="O1061"/>
    </x:row>
    <x:row r="1062" ht="20" customHeight="1">
      <x:c r="A1062" t="str">
        <x:v>Q01061</x:v>
      </x:c>
      <x:c r="B1062" s="20" t="n">
        <x:v>46237</x:v>
      </x:c>
      <x:c r="C1062" t="str">
        <x:v>AUT-001</x:v>
      </x:c>
      <x:c r="D1062" t="str">
        <x:v>S01</x:v>
      </x:c>
      <x:c r="E1062" t="str">
        <x:v>PM-ALB-B</x:v>
      </x:c>
      <x:c r="F1062" t="str">
        <x:v>精密金屬加工件</x:v>
      </x:c>
      <x:c r="G1062" t="n">
        <x:v>500</x:v>
      </x:c>
      <x:c r="H1062" t="n">
        <x:v>15450.69</x:v>
      </x:c>
      <x:c r="I1062" t="n">
        <x:v>11469.21</x:v>
      </x:c>
      <x:c r="J1062" s="22" t="n">
        <x:v>0.25768946241235835</x:v>
      </x:c>
      <x:c r="K1062" s="22" t="n">
        <x:v>0.0714</x:v>
      </x:c>
      <x:c r="L1062" t="n">
        <x:v>30</x:v>
      </x:c>
      <x:c r="M1062" t="str">
        <x:v>未成交</x:v>
      </x:c>
      <x:c r="N1062" s="20" t="n">
        <x:v>46245</x:v>
      </x:c>
      <x:c r="O1062" t="str">
        <x:v>規格</x:v>
      </x:c>
    </x:row>
    <x:row r="1063" ht="20" customHeight="1">
      <x:c r="A1063" t="str">
        <x:v>Q01062</x:v>
      </x:c>
      <x:c r="B1063" s="20" t="n">
        <x:v>46264</x:v>
      </x:c>
      <x:c r="C1063" t="str">
        <x:v>AUT-012</x:v>
      </x:c>
      <x:c r="D1063" t="str">
        <x:v>S06</x:v>
      </x:c>
      <x:c r="E1063" t="str">
        <x:v>AUTO-FL-B</x:v>
      </x:c>
      <x:c r="F1063" t="str">
        <x:v>汽車精密零組件</x:v>
      </x:c>
      <x:c r="G1063" t="n">
        <x:v>10000</x:v>
      </x:c>
      <x:c r="H1063" t="n">
        <x:v>1540.74</x:v>
      </x:c>
      <x:c r="I1063" t="n">
        <x:v>1148.49</x:v>
      </x:c>
      <x:c r="J1063" s="22" t="n">
        <x:v>0.2545854589353168</x:v>
      </x:c>
      <x:c r="K1063" s="22" t="n">
        <x:v>0.0572</x:v>
      </x:c>
      <x:c r="L1063" t="n">
        <x:v>18</x:v>
      </x:c>
      <x:c r="M1063" t="str">
        <x:v>未成交</x:v>
      </x:c>
      <x:c r="N1063" s="20" t="n">
        <x:v>46272</x:v>
      </x:c>
      <x:c r="O1063" t="str">
        <x:v>競品</x:v>
      </x:c>
    </x:row>
    <x:row r="1064" ht="20" customHeight="1">
      <x:c r="A1064" t="str">
        <x:v>Q01063</x:v>
      </x:c>
      <x:c r="B1064" s="20" t="n">
        <x:v>46239</x:v>
      </x:c>
      <x:c r="C1064" t="str">
        <x:v>EMS-001</x:v>
      </x:c>
      <x:c r="D1064" t="str">
        <x:v>S02</x:v>
      </x:c>
      <x:c r="E1064" t="str">
        <x:v>AUTO-MH-B</x:v>
      </x:c>
      <x:c r="F1064" t="str">
        <x:v>汽車精密零組件</x:v>
      </x:c>
      <x:c r="G1064" t="n">
        <x:v>7000</x:v>
      </x:c>
      <x:c r="H1064" t="n">
        <x:v>2818.3</x:v>
      </x:c>
      <x:c r="I1064" t="n">
        <x:v>2322.06</x:v>
      </x:c>
      <x:c r="J1064" s="22" t="n">
        <x:v>0.17607777738352914</x:v>
      </x:c>
      <x:c r="K1064" s="22" t="n">
        <x:v>0.1118</x:v>
      </x:c>
      <x:c r="L1064" t="n">
        <x:v>22</x:v>
      </x:c>
      <x:c r="M1064" t="str">
        <x:v>未成交</x:v>
      </x:c>
      <x:c r="N1064" s="20" t="n">
        <x:v>46250</x:v>
      </x:c>
      <x:c r="O1064" t="str">
        <x:v>價格</x:v>
      </x:c>
    </x:row>
    <x:row r="1065" ht="20" customHeight="1">
      <x:c r="A1065" t="str">
        <x:v>Q01064</x:v>
      </x:c>
      <x:c r="B1065" s="20" t="n">
        <x:v>46252</x:v>
      </x:c>
      <x:c r="C1065" t="str">
        <x:v>IAT-006</x:v>
      </x:c>
      <x:c r="D1065" t="str">
        <x:v>S01</x:v>
      </x:c>
      <x:c r="E1065" t="str">
        <x:v>PM-BRG-A</x:v>
      </x:c>
      <x:c r="F1065" t="str">
        <x:v>精密金屬加工件</x:v>
      </x:c>
      <x:c r="G1065" t="n">
        <x:v>300</x:v>
      </x:c>
      <x:c r="H1065" t="n">
        <x:v>6705.99</x:v>
      </x:c>
      <x:c r="I1065" t="n">
        <x:v>4423.28</x:v>
      </x:c>
      <x:c r="J1065" s="22" t="n">
        <x:v>0.34039865851276246</x:v>
      </x:c>
      <x:c r="K1065" s="22" t="n">
        <x:v>0.0612</x:v>
      </x:c>
      <x:c r="L1065" t="n">
        <x:v>15</x:v>
      </x:c>
      <x:c r="M1065" t="str">
        <x:v>成交</x:v>
      </x:c>
      <x:c r="N1065" s="20" t="n">
        <x:v>46257</x:v>
      </x:c>
      <x:c r="O106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0" customHeight="1">
      <x:c r="A1" s="14" t="str">
        <x:v>訂單明細ID</x:v>
      </x:c>
      <x:c r="B1" s="14" t="str">
        <x:v>訂單ID</x:v>
      </x:c>
      <x:c r="C1" s="14" t="str">
        <x:v>報價ID</x:v>
      </x:c>
      <x:c r="D1" s="14" t="str">
        <x:v>客戶ID</x:v>
      </x:c>
      <x:c r="E1" s="14" t="str">
        <x:v>業務員ID</x:v>
      </x:c>
      <x:c r="F1" s="14" t="str">
        <x:v>SKU</x:v>
      </x:c>
      <x:c r="G1" s="14" t="str">
        <x:v>產品線</x:v>
      </x:c>
      <x:c r="H1" s="14" t="str">
        <x:v>下單日期</x:v>
      </x:c>
      <x:c r="I1" s="14" t="str">
        <x:v>訂購數量</x:v>
      </x:c>
      <x:c r="J1" s="14" t="str">
        <x:v>成交單價_TWD</x:v>
      </x:c>
      <x:c r="K1" s="14" t="str">
        <x:v>幣別</x:v>
      </x:c>
      <x:c r="L1" s="14" t="str">
        <x:v>客戶要求日</x:v>
      </x:c>
      <x:c r="M1" s="14" t="str">
        <x:v>原始承諾交貨日</x:v>
      </x:c>
      <x:c r="N1" s="14" t="str">
        <x:v>急單</x:v>
      </x:c>
      <x:c r="O1" s="14" t="str">
        <x:v>客戶等級</x:v>
      </x:c>
      <x:c r="P1" s="14" t="str">
        <x:v>狀態</x:v>
      </x:c>
    </x:row>
    <x:row r="2" ht="20" customHeight="1">
      <x:c r="A2" t="str">
        <x:v>SO00001-01</x:v>
      </x:c>
      <x:c r="B2" t="str">
        <x:v>SO00001</x:v>
      </x:c>
      <x:c r="C2" t="str">
        <x:v>Q00002</x:v>
      </x:c>
      <x:c r="D2" t="str">
        <x:v>AUT-004</x:v>
      </x:c>
      <x:c r="E2" t="str">
        <x:v>S03</x:v>
      </x:c>
      <x:c r="F2" t="str">
        <x:v>AUTO-KN-A</x:v>
      </x:c>
      <x:c r="G2" t="str">
        <x:v>汽車精密零組件</x:v>
      </x:c>
      <x:c r="H2" s="20" t="n">
        <x:v>45199</x:v>
      </x:c>
      <x:c r="I2" t="n">
        <x:v>13000</x:v>
      </x:c>
      <x:c r="J2" t="n">
        <x:v>3102.86</x:v>
      </x:c>
      <x:c r="K2" t="str">
        <x:v>TWD</x:v>
      </x:c>
      <x:c r="L2" s="20" t="n">
        <x:v>45226</x:v>
      </x:c>
      <x:c r="M2" s="20" t="n">
        <x:v>45226</x:v>
      </x:c>
      <x:c r="N2" t="str">
        <x:v>否</x:v>
      </x:c>
      <x:c r="O2" t="str">
        <x:v>VIP</x:v>
      </x:c>
      <x:c r="P2" t="str">
        <x:v>部分出貨</x:v>
      </x:c>
    </x:row>
    <x:row r="3" ht="20" customHeight="1">
      <x:c r="A3" t="str">
        <x:v>SO00002-01</x:v>
      </x:c>
      <x:c r="B3" t="str">
        <x:v>SO00002</x:v>
      </x:c>
      <x:c r="C3" t="str">
        <x:v>Q00004</x:v>
      </x:c>
      <x:c r="D3" t="str">
        <x:v>IAT-002</x:v>
      </x:c>
      <x:c r="E3" t="str">
        <x:v>S01</x:v>
      </x:c>
      <x:c r="F3" t="str">
        <x:v>PM-SUS-A</x:v>
      </x:c>
      <x:c r="G3" t="str">
        <x:v>精密金屬加工件</x:v>
      </x:c>
      <x:c r="H3" s="20" t="n">
        <x:v>45183</x:v>
      </x:c>
      <x:c r="I3" t="n">
        <x:v>1200</x:v>
      </x:c>
      <x:c r="J3" t="n">
        <x:v>10503.72</x:v>
      </x:c>
      <x:c r="K3" t="str">
        <x:v>TWD</x:v>
      </x:c>
      <x:c r="L3" s="20" t="n">
        <x:v>45206</x:v>
      </x:c>
      <x:c r="M3" s="20" t="n">
        <x:v>45206</x:v>
      </x:c>
      <x:c r="N3" t="str">
        <x:v>否</x:v>
      </x:c>
      <x:c r="O3" t="str">
        <x:v>一般</x:v>
      </x:c>
      <x:c r="P3" t="str">
        <x:v>部分出貨</x:v>
      </x:c>
    </x:row>
    <x:row r="4" ht="20" customHeight="1">
      <x:c r="A4" t="str">
        <x:v>SO00003-01</x:v>
      </x:c>
      <x:c r="B4" t="str">
        <x:v>SO00003</x:v>
      </x:c>
      <x:c r="C4" t="str">
        <x:v>Q00006</x:v>
      </x:c>
      <x:c r="D4" t="str">
        <x:v>AFT-004</x:v>
      </x:c>
      <x:c r="E4" t="str">
        <x:v>S02</x:v>
      </x:c>
      <x:c r="F4" t="str">
        <x:v>AUTO-FL-A</x:v>
      </x:c>
      <x:c r="G4" t="str">
        <x:v>汽車精密零組件</x:v>
      </x:c>
      <x:c r="H4" s="20" t="n">
        <x:v>45198</x:v>
      </x:c>
      <x:c r="I4" t="n">
        <x:v>7000</x:v>
      </x:c>
      <x:c r="J4" t="n">
        <x:v>1214.02</x:v>
      </x:c>
      <x:c r="K4" t="str">
        <x:v>TWD</x:v>
      </x:c>
      <x:c r="L4" s="20" t="n">
        <x:v>45215</x:v>
      </x:c>
      <x:c r="M4" s="20" t="n">
        <x:v>45215</x:v>
      </x:c>
      <x:c r="N4" t="str">
        <x:v>否</x:v>
      </x:c>
      <x:c r="O4" t="str">
        <x:v>重要</x:v>
      </x:c>
      <x:c r="P4" t="str">
        <x:v>部分出貨</x:v>
      </x:c>
    </x:row>
    <x:row r="5" ht="20" customHeight="1">
      <x:c r="A5" t="str">
        <x:v>SO00004-01</x:v>
      </x:c>
      <x:c r="B5" t="str">
        <x:v>SO00004</x:v>
      </x:c>
      <x:c r="C5" t="str">
        <x:v>Q00008</x:v>
      </x:c>
      <x:c r="D5" t="str">
        <x:v>AUT-009</x:v>
      </x:c>
      <x:c r="E5" t="str">
        <x:v>S04</x:v>
      </x:c>
      <x:c r="F5" t="str">
        <x:v>PM-BRG-B</x:v>
      </x:c>
      <x:c r="G5" t="str">
        <x:v>精密金屬加工件</x:v>
      </x:c>
      <x:c r="H5" s="20" t="n">
        <x:v>45178</x:v>
      </x:c>
      <x:c r="I5" t="n">
        <x:v>1200</x:v>
      </x:c>
      <x:c r="J5" t="n">
        <x:v>8144.12</x:v>
      </x:c>
      <x:c r="K5" t="str">
        <x:v>TWD</x:v>
      </x:c>
      <x:c r="L5" s="20" t="n">
        <x:v>45202</x:v>
      </x:c>
      <x:c r="M5" s="20" t="n">
        <x:v>45202</x:v>
      </x:c>
      <x:c r="N5" t="str">
        <x:v>否</x:v>
      </x:c>
      <x:c r="O5" t="str">
        <x:v>重要</x:v>
      </x:c>
      <x:c r="P5" t="str">
        <x:v>部分出貨</x:v>
      </x:c>
    </x:row>
    <x:row r="6" ht="20" customHeight="1">
      <x:c r="A6" t="str">
        <x:v>SO00005-01</x:v>
      </x:c>
      <x:c r="B6" t="str">
        <x:v>SO00005</x:v>
      </x:c>
      <x:c r="C6" t="str">
        <x:v>Q00009</x:v>
      </x:c>
      <x:c r="D6" t="str">
        <x:v>AFT-003</x:v>
      </x:c>
      <x:c r="E6" t="str">
        <x:v>S01</x:v>
      </x:c>
      <x:c r="F6" t="str">
        <x:v>AUTO-BRK-B</x:v>
      </x:c>
      <x:c r="G6" t="str">
        <x:v>汽車精密零組件</x:v>
      </x:c>
      <x:c r="H6" s="20" t="n">
        <x:v>45206</x:v>
      </x:c>
      <x:c r="I6" t="n">
        <x:v>13000</x:v>
      </x:c>
      <x:c r="J6" t="n">
        <x:v>2073.09</x:v>
      </x:c>
      <x:c r="K6" t="str">
        <x:v>TWD</x:v>
      </x:c>
      <x:c r="L6" s="20" t="n">
        <x:v>45228</x:v>
      </x:c>
      <x:c r="M6" s="20" t="n">
        <x:v>45228</x:v>
      </x:c>
      <x:c r="N6" t="str">
        <x:v>否</x:v>
      </x:c>
      <x:c r="O6" t="str">
        <x:v>重要</x:v>
      </x:c>
      <x:c r="P6" t="str">
        <x:v>部分出貨</x:v>
      </x:c>
    </x:row>
    <x:row r="7" ht="20" customHeight="1">
      <x:c r="A7" t="str">
        <x:v>SO00006-01</x:v>
      </x:c>
      <x:c r="B7" t="str">
        <x:v>SO00006</x:v>
      </x:c>
      <x:c r="C7" t="str">
        <x:v>Q00010</x:v>
      </x:c>
      <x:c r="D7" t="str">
        <x:v>AUT-010</x:v>
      </x:c>
      <x:c r="E7" t="str">
        <x:v>S05</x:v>
      </x:c>
      <x:c r="F7" t="str">
        <x:v>AUTO-BRK-A</x:v>
      </x:c>
      <x:c r="G7" t="str">
        <x:v>汽車精密零組件</x:v>
      </x:c>
      <x:c r="H7" s="20" t="n">
        <x:v>45202</x:v>
      </x:c>
      <x:c r="I7" t="n">
        <x:v>13000</x:v>
      </x:c>
      <x:c r="J7" t="n">
        <x:v>1708.55</x:v>
      </x:c>
      <x:c r="K7" t="str">
        <x:v>TWD</x:v>
      </x:c>
      <x:c r="L7" s="20" t="n">
        <x:v>45215</x:v>
      </x:c>
      <x:c r="M7" s="20" t="n">
        <x:v>45218</x:v>
      </x:c>
      <x:c r="N7" t="str">
        <x:v>是</x:v>
      </x:c>
      <x:c r="O7" t="str">
        <x:v>VIP</x:v>
      </x:c>
      <x:c r="P7" t="str">
        <x:v>部分出貨</x:v>
      </x:c>
    </x:row>
    <x:row r="8" ht="20" customHeight="1">
      <x:c r="A8" t="str">
        <x:v>SO00007-01</x:v>
      </x:c>
      <x:c r="B8" t="str">
        <x:v>SO00007</x:v>
      </x:c>
      <x:c r="C8" t="str">
        <x:v>Q00013</x:v>
      </x:c>
      <x:c r="D8" t="str">
        <x:v>AUT-002</x:v>
      </x:c>
      <x:c r="E8" t="str">
        <x:v>S04</x:v>
      </x:c>
      <x:c r="F8" t="str">
        <x:v>PM-SUS-A</x:v>
      </x:c>
      <x:c r="G8" t="str">
        <x:v>精密金屬加工件</x:v>
      </x:c>
      <x:c r="H8" s="20" t="n">
        <x:v>45195</x:v>
      </x:c>
      <x:c r="I8" t="n">
        <x:v>1600</x:v>
      </x:c>
      <x:c r="J8" t="n">
        <x:v>9842.49</x:v>
      </x:c>
      <x:c r="K8" t="str">
        <x:v>TWD</x:v>
      </x:c>
      <x:c r="L8" s="20" t="n">
        <x:v>45216</x:v>
      </x:c>
      <x:c r="M8" s="20" t="n">
        <x:v>45219</x:v>
      </x:c>
      <x:c r="N8" t="str">
        <x:v>否</x:v>
      </x:c>
      <x:c r="O8" t="str">
        <x:v>重要</x:v>
      </x:c>
      <x:c r="P8" t="str">
        <x:v>部分出貨</x:v>
      </x:c>
    </x:row>
    <x:row r="9" ht="20" customHeight="1">
      <x:c r="A9" t="str">
        <x:v>SO00008-01</x:v>
      </x:c>
      <x:c r="B9" t="str">
        <x:v>SO00008</x:v>
      </x:c>
      <x:c r="C9" t="str">
        <x:v>Q00014</x:v>
      </x:c>
      <x:c r="D9" t="str">
        <x:v>SEM-010</x:v>
      </x:c>
      <x:c r="E9" t="str">
        <x:v>S01</x:v>
      </x:c>
      <x:c r="F9" t="str">
        <x:v>SEMI-WH-A</x:v>
      </x:c>
      <x:c r="G9" t="str">
        <x:v>半導體設備零組件</x:v>
      </x:c>
      <x:c r="H9" s="20" t="n">
        <x:v>45203</x:v>
      </x:c>
      <x:c r="I9" t="n">
        <x:v>60</x:v>
      </x:c>
      <x:c r="J9" t="n">
        <x:v>112412.38</x:v>
      </x:c>
      <x:c r="K9" t="str">
        <x:v>TWD</x:v>
      </x:c>
      <x:c r="L9" s="20" t="n">
        <x:v>45242</x:v>
      </x:c>
      <x:c r="M9" s="20" t="n">
        <x:v>45254</x:v>
      </x:c>
      <x:c r="N9" t="str">
        <x:v>是</x:v>
      </x:c>
      <x:c r="O9" t="str">
        <x:v>一般</x:v>
      </x:c>
      <x:c r="P9" t="str">
        <x:v>部分出貨</x:v>
      </x:c>
    </x:row>
    <x:row r="10" ht="20" customHeight="1">
      <x:c r="A10" t="str">
        <x:v>SO00009-01</x:v>
      </x:c>
      <x:c r="B10" t="str">
        <x:v>SO00009</x:v>
      </x:c>
      <x:c r="C10" t="str">
        <x:v>Q00015</x:v>
      </x:c>
      <x:c r="D10" t="str">
        <x:v>AUT-008</x:v>
      </x:c>
      <x:c r="E10" t="str">
        <x:v>S01</x:v>
      </x:c>
      <x:c r="F10" t="str">
        <x:v>MECH-CON-B</x:v>
      </x:c>
      <x:c r="G10" t="str">
        <x:v>機電／自動化模組</x:v>
      </x:c>
      <x:c r="H10" s="20" t="n">
        <x:v>45186</x:v>
      </x:c>
      <x:c r="I10" t="n">
        <x:v>50</x:v>
      </x:c>
      <x:c r="J10" t="n">
        <x:v>149459.42</x:v>
      </x:c>
      <x:c r="K10" t="str">
        <x:v>TWD</x:v>
      </x:c>
      <x:c r="L10" s="20" t="n">
        <x:v>45232</x:v>
      </x:c>
      <x:c r="M10" s="20" t="n">
        <x:v>45233</x:v>
      </x:c>
      <x:c r="N10" t="str">
        <x:v>否</x:v>
      </x:c>
      <x:c r="O10" t="str">
        <x:v>重要</x:v>
      </x:c>
      <x:c r="P10" t="str">
        <x:v>已出貨</x:v>
      </x:c>
    </x:row>
    <x:row r="11" ht="20" customHeight="1">
      <x:c r="A11" t="str">
        <x:v>SO00010-01</x:v>
      </x:c>
      <x:c r="B11" t="str">
        <x:v>SO00010</x:v>
      </x:c>
      <x:c r="C11" t="str">
        <x:v>Q00016</x:v>
      </x:c>
      <x:c r="D11" t="str">
        <x:v>EMS-004</x:v>
      </x:c>
      <x:c r="E11" t="str">
        <x:v>S03</x:v>
      </x:c>
      <x:c r="F11" t="str">
        <x:v>AUTO-BS-B</x:v>
      </x:c>
      <x:c r="G11" t="str">
        <x:v>汽車精密零組件</x:v>
      </x:c>
      <x:c r="H11" s="20" t="n">
        <x:v>45189</x:v>
      </x:c>
      <x:c r="I11" t="n">
        <x:v>5000</x:v>
      </x:c>
      <x:c r="J11" t="n">
        <x:v>858.81</x:v>
      </x:c>
      <x:c r="K11" t="str">
        <x:v>TWD</x:v>
      </x:c>
      <x:c r="L11" s="20" t="n">
        <x:v>45205</x:v>
      </x:c>
      <x:c r="M11" s="20" t="n">
        <x:v>45205</x:v>
      </x:c>
      <x:c r="N11" t="str">
        <x:v>否</x:v>
      </x:c>
      <x:c r="O11" t="str">
        <x:v>VIP</x:v>
      </x:c>
      <x:c r="P11" t="str">
        <x:v>部分出貨</x:v>
      </x:c>
    </x:row>
    <x:row r="12" ht="20" customHeight="1">
      <x:c r="A12" t="str">
        <x:v>SO00011-01</x:v>
      </x:c>
      <x:c r="B12" t="str">
        <x:v>SO00011</x:v>
      </x:c>
      <x:c r="C12" t="str">
        <x:v>Q00018</x:v>
      </x:c>
      <x:c r="D12" t="str">
        <x:v>IAT-005</x:v>
      </x:c>
      <x:c r="E12" t="str">
        <x:v>S02</x:v>
      </x:c>
      <x:c r="F12" t="str">
        <x:v>MECH-STG-A</x:v>
      </x:c>
      <x:c r="G12" t="str">
        <x:v>機電／自動化模組</x:v>
      </x:c>
      <x:c r="H12" s="20" t="n">
        <x:v>45183</x:v>
      </x:c>
      <x:c r="I12" t="n">
        <x:v>50</x:v>
      </x:c>
      <x:c r="J12" t="n">
        <x:v>132303.19</x:v>
      </x:c>
      <x:c r="K12" t="str">
        <x:v>TWD</x:v>
      </x:c>
      <x:c r="L12" s="20" t="n">
        <x:v>45219</x:v>
      </x:c>
      <x:c r="M12" s="20" t="n">
        <x:v>45221</x:v>
      </x:c>
      <x:c r="N12" t="str">
        <x:v>否</x:v>
      </x:c>
      <x:c r="O12" t="str">
        <x:v>一般</x:v>
      </x:c>
      <x:c r="P12" t="str">
        <x:v>已出貨</x:v>
      </x:c>
    </x:row>
    <x:row r="13" ht="20" customHeight="1">
      <x:c r="A13" t="str">
        <x:v>SO00012-01</x:v>
      </x:c>
      <x:c r="B13" t="str">
        <x:v>SO00012</x:v>
      </x:c>
      <x:c r="C13" t="str">
        <x:v>Q00020</x:v>
      </x:c>
      <x:c r="D13" t="str">
        <x:v>SEM-005</x:v>
      </x:c>
      <x:c r="E13" t="str">
        <x:v>S06</x:v>
      </x:c>
      <x:c r="F13" t="str">
        <x:v>SEMI-WH-A</x:v>
      </x:c>
      <x:c r="G13" t="str">
        <x:v>半導體設備零組件</x:v>
      </x:c>
      <x:c r="H13" s="20" t="n">
        <x:v>45195</x:v>
      </x:c>
      <x:c r="I13" t="n">
        <x:v>80</x:v>
      </x:c>
      <x:c r="J13" t="n">
        <x:v>104531.43</x:v>
      </x:c>
      <x:c r="K13" t="str">
        <x:v>TWD</x:v>
      </x:c>
      <x:c r="L13" s="20" t="n">
        <x:v>45237</x:v>
      </x:c>
      <x:c r="M13" s="20" t="n">
        <x:v>45248</x:v>
      </x:c>
      <x:c r="N13" t="str">
        <x:v>否</x:v>
      </x:c>
      <x:c r="O13" t="str">
        <x:v>重要</x:v>
      </x:c>
      <x:c r="P13" t="str">
        <x:v>部分出貨</x:v>
      </x:c>
    </x:row>
    <x:row r="14" ht="20" customHeight="1">
      <x:c r="A14" t="str">
        <x:v>SO00013-01</x:v>
      </x:c>
      <x:c r="B14" t="str">
        <x:v>SO00013</x:v>
      </x:c>
      <x:c r="C14" t="str">
        <x:v>Q00021</x:v>
      </x:c>
      <x:c r="D14" t="str">
        <x:v>IAT-001</x:v>
      </x:c>
      <x:c r="E14" t="str">
        <x:v>S05</x:v>
      </x:c>
      <x:c r="F14" t="str">
        <x:v>MECH-CON-A</x:v>
      </x:c>
      <x:c r="G14" t="str">
        <x:v>機電／自動化模組</x:v>
      </x:c>
      <x:c r="H14" s="20" t="n">
        <x:v>45175</x:v>
      </x:c>
      <x:c r="I14" t="n">
        <x:v>20</x:v>
      </x:c>
      <x:c r="J14" t="n">
        <x:v>112750.58</x:v>
      </x:c>
      <x:c r="K14" t="str">
        <x:v>TWD</x:v>
      </x:c>
      <x:c r="L14" s="20" t="n">
        <x:v>45214</x:v>
      </x:c>
      <x:c r="M14" s="20" t="n">
        <x:v>45214</x:v>
      </x:c>
      <x:c r="N14" t="str">
        <x:v>否</x:v>
      </x:c>
      <x:c r="O14" t="str">
        <x:v>一般</x:v>
      </x:c>
      <x:c r="P14" t="str">
        <x:v>已出貨</x:v>
      </x:c>
    </x:row>
    <x:row r="15" ht="20" customHeight="1">
      <x:c r="A15" t="str">
        <x:v>SO00014-01</x:v>
      </x:c>
      <x:c r="B15" t="str">
        <x:v>SO00014</x:v>
      </x:c>
      <x:c r="C15" t="str">
        <x:v>Q00022</x:v>
      </x:c>
      <x:c r="D15" t="str">
        <x:v>IAT-002</x:v>
      </x:c>
      <x:c r="E15" t="str">
        <x:v>S01</x:v>
      </x:c>
      <x:c r="F15" t="str">
        <x:v>AUTO-BS-B</x:v>
      </x:c>
      <x:c r="G15" t="str">
        <x:v>汽車精密零組件</x:v>
      </x:c>
      <x:c r="H15" s="20" t="n">
        <x:v>45196</x:v>
      </x:c>
      <x:c r="I15" t="n">
        <x:v>3000</x:v>
      </x:c>
      <x:c r="J15" t="n">
        <x:v>933.45</x:v>
      </x:c>
      <x:c r="K15" t="str">
        <x:v>TWD</x:v>
      </x:c>
      <x:c r="L15" s="20" t="n">
        <x:v>45209</x:v>
      </x:c>
      <x:c r="M15" s="20" t="n">
        <x:v>45211</x:v>
      </x:c>
      <x:c r="N15" t="str">
        <x:v>是</x:v>
      </x:c>
      <x:c r="O15" t="str">
        <x:v>一般</x:v>
      </x:c>
      <x:c r="P15" t="str">
        <x:v>部分出貨</x:v>
      </x:c>
    </x:row>
    <x:row r="16" ht="20" customHeight="1">
      <x:c r="A16" t="str">
        <x:v>SO00015-01</x:v>
      </x:c>
      <x:c r="B16" t="str">
        <x:v>SO00015</x:v>
      </x:c>
      <x:c r="C16" t="str">
        <x:v>Q00023</x:v>
      </x:c>
      <x:c r="D16" t="str">
        <x:v>AUT-011</x:v>
      </x:c>
      <x:c r="E16" t="str">
        <x:v>S02</x:v>
      </x:c>
      <x:c r="F16" t="str">
        <x:v>PM-VAC-B</x:v>
      </x:c>
      <x:c r="G16" t="str">
        <x:v>精密金屬加工件</x:v>
      </x:c>
      <x:c r="H16" s="20" t="n">
        <x:v>45198</x:v>
      </x:c>
      <x:c r="I16" t="n">
        <x:v>1200</x:v>
      </x:c>
      <x:c r="J16" t="n">
        <x:v>22971.76</x:v>
      </x:c>
      <x:c r="K16" t="str">
        <x:v>TWD</x:v>
      </x:c>
      <x:c r="L16" s="20" t="n">
        <x:v>45230</x:v>
      </x:c>
      <x:c r="M16" s="20" t="n">
        <x:v>45231</x:v>
      </x:c>
      <x:c r="N16" t="str">
        <x:v>否</x:v>
      </x:c>
      <x:c r="O16" t="str">
        <x:v>重要</x:v>
      </x:c>
      <x:c r="P16" t="str">
        <x:v>部分出貨</x:v>
      </x:c>
    </x:row>
    <x:row r="17" ht="20" customHeight="1">
      <x:c r="A17" t="str">
        <x:v>SO00016-01</x:v>
      </x:c>
      <x:c r="B17" t="str">
        <x:v>SO00016</x:v>
      </x:c>
      <x:c r="C17" t="str">
        <x:v>Q00024</x:v>
      </x:c>
      <x:c r="D17" t="str">
        <x:v>SEM-010</x:v>
      </x:c>
      <x:c r="E17" t="str">
        <x:v>S01</x:v>
      </x:c>
      <x:c r="F17" t="str">
        <x:v>SEMI-WH-A</x:v>
      </x:c>
      <x:c r="G17" t="str">
        <x:v>半導體設備零組件</x:v>
      </x:c>
      <x:c r="H17" s="20" t="n">
        <x:v>45190</x:v>
      </x:c>
      <x:c r="I17" t="n">
        <x:v>60</x:v>
      </x:c>
      <x:c r="J17" t="n">
        <x:v>111719.12</x:v>
      </x:c>
      <x:c r="K17" t="str">
        <x:v>TWD</x:v>
      </x:c>
      <x:c r="L17" s="20" t="n">
        <x:v>45228</x:v>
      </x:c>
      <x:c r="M17" s="20" t="n">
        <x:v>45240</x:v>
      </x:c>
      <x:c r="N17" t="str">
        <x:v>是</x:v>
      </x:c>
      <x:c r="O17" t="str">
        <x:v>一般</x:v>
      </x:c>
      <x:c r="P17" t="str">
        <x:v>部分出貨</x:v>
      </x:c>
    </x:row>
    <x:row r="18" ht="20" customHeight="1">
      <x:c r="A18" t="str">
        <x:v>SO00017-01</x:v>
      </x:c>
      <x:c r="B18" t="str">
        <x:v>SO00017</x:v>
      </x:c>
      <x:c r="C18" t="str">
        <x:v>Q00025</x:v>
      </x:c>
      <x:c r="D18" t="str">
        <x:v>AUT-001</x:v>
      </x:c>
      <x:c r="E18" t="str">
        <x:v>S01</x:v>
      </x:c>
      <x:c r="F18" t="str">
        <x:v>AUTO-BRK-A</x:v>
      </x:c>
      <x:c r="G18" t="str">
        <x:v>汽車精密零組件</x:v>
      </x:c>
      <x:c r="H18" s="20" t="n">
        <x:v>45205</x:v>
      </x:c>
      <x:c r="I18" t="n">
        <x:v>7000</x:v>
      </x:c>
      <x:c r="J18" t="n">
        <x:v>1708.82</x:v>
      </x:c>
      <x:c r="K18" t="str">
        <x:v>TWD</x:v>
      </x:c>
      <x:c r="L18" s="20" t="n">
        <x:v>45220</x:v>
      </x:c>
      <x:c r="M18" s="20" t="n">
        <x:v>45223</x:v>
      </x:c>
      <x:c r="N18" t="str">
        <x:v>否</x:v>
      </x:c>
      <x:c r="O18" t="str">
        <x:v>VIP</x:v>
      </x:c>
      <x:c r="P18" t="str">
        <x:v>部分出貨</x:v>
      </x:c>
    </x:row>
    <x:row r="19" ht="20" customHeight="1">
      <x:c r="A19" t="str">
        <x:v>SO00018-01</x:v>
      </x:c>
      <x:c r="B19" t="str">
        <x:v>SO00018</x:v>
      </x:c>
      <x:c r="C19" t="str">
        <x:v>Q00027</x:v>
      </x:c>
      <x:c r="D19" t="str">
        <x:v>SEM-006</x:v>
      </x:c>
      <x:c r="E19" t="str">
        <x:v>S06</x:v>
      </x:c>
      <x:c r="F19" t="str">
        <x:v>SEMI-WH-A</x:v>
      </x:c>
      <x:c r="G19" t="str">
        <x:v>半導體設備零組件</x:v>
      </x:c>
      <x:c r="H19" s="20" t="n">
        <x:v>45178</x:v>
      </x:c>
      <x:c r="I19" t="n">
        <x:v>160</x:v>
      </x:c>
      <x:c r="J19" t="n">
        <x:v>111665.75</x:v>
      </x:c>
      <x:c r="K19" t="str">
        <x:v>TWD</x:v>
      </x:c>
      <x:c r="L19" s="20" t="n">
        <x:v>45218</x:v>
      </x:c>
      <x:c r="M19" s="20" t="n">
        <x:v>45226</x:v>
      </x:c>
      <x:c r="N19" t="str">
        <x:v>是</x:v>
      </x:c>
      <x:c r="O19" t="str">
        <x:v>重要</x:v>
      </x:c>
      <x:c r="P19" t="str">
        <x:v>部分出貨</x:v>
      </x:c>
    </x:row>
    <x:row r="20" ht="20" customHeight="1">
      <x:c r="A20" t="str">
        <x:v>SO00019-01</x:v>
      </x:c>
      <x:c r="B20" t="str">
        <x:v>SO00019</x:v>
      </x:c>
      <x:c r="C20" t="str">
        <x:v>Q00028</x:v>
      </x:c>
      <x:c r="D20" t="str">
        <x:v>IAT-002</x:v>
      </x:c>
      <x:c r="E20" t="str">
        <x:v>S01</x:v>
      </x:c>
      <x:c r="F20" t="str">
        <x:v>AUTO-KN-B</x:v>
      </x:c>
      <x:c r="G20" t="str">
        <x:v>汽車精密零組件</x:v>
      </x:c>
      <x:c r="H20" s="20" t="n">
        <x:v>45194</x:v>
      </x:c>
      <x:c r="I20" t="n">
        <x:v>7000</x:v>
      </x:c>
      <x:c r="J20" t="n">
        <x:v>3796.49</x:v>
      </x:c>
      <x:c r="K20" t="str">
        <x:v>TWD</x:v>
      </x:c>
      <x:c r="L20" s="20" t="n">
        <x:v>45213</x:v>
      </x:c>
      <x:c r="M20" s="20" t="n">
        <x:v>45219</x:v>
      </x:c>
      <x:c r="N20" t="str">
        <x:v>是</x:v>
      </x:c>
      <x:c r="O20" t="str">
        <x:v>一般</x:v>
      </x:c>
      <x:c r="P20" t="str">
        <x:v>部分出貨</x:v>
      </x:c>
    </x:row>
    <x:row r="21" ht="20" customHeight="1">
      <x:c r="A21" t="str">
        <x:v>SO00020-01</x:v>
      </x:c>
      <x:c r="B21" t="str">
        <x:v>SO00020</x:v>
      </x:c>
      <x:c r="C21" t="str">
        <x:v>Q00031</x:v>
      </x:c>
      <x:c r="D21" t="str">
        <x:v>AFT-005</x:v>
      </x:c>
      <x:c r="E21" t="str">
        <x:v>S05</x:v>
      </x:c>
      <x:c r="F21" t="str">
        <x:v>AUTO-KN-A</x:v>
      </x:c>
      <x:c r="G21" t="str">
        <x:v>汽車精密零組件</x:v>
      </x:c>
      <x:c r="H21" s="20" t="n">
        <x:v>45231</x:v>
      </x:c>
      <x:c r="I21" t="n">
        <x:v>10000</x:v>
      </x:c>
      <x:c r="J21" t="n">
        <x:v>3193.89</x:v>
      </x:c>
      <x:c r="K21" t="str">
        <x:v>TWD</x:v>
      </x:c>
      <x:c r="L21" s="20" t="n">
        <x:v>45257</x:v>
      </x:c>
      <x:c r="M21" s="20" t="n">
        <x:v>45257</x:v>
      </x:c>
      <x:c r="N21" t="str">
        <x:v>否</x:v>
      </x:c>
      <x:c r="O21" t="str">
        <x:v>VIP</x:v>
      </x:c>
      <x:c r="P21" t="str">
        <x:v>部分出貨</x:v>
      </x:c>
    </x:row>
    <x:row r="22" ht="20" customHeight="1">
      <x:c r="A22" t="str">
        <x:v>SO00021-01</x:v>
      </x:c>
      <x:c r="B22" t="str">
        <x:v>SO00021</x:v>
      </x:c>
      <x:c r="C22" t="str">
        <x:v>Q00033</x:v>
      </x:c>
      <x:c r="D22" t="str">
        <x:v>EMS-006</x:v>
      </x:c>
      <x:c r="E22" t="str">
        <x:v>S03</x:v>
      </x:c>
      <x:c r="F22" t="str">
        <x:v>AUTO-FL-B</x:v>
      </x:c>
      <x:c r="G22" t="str">
        <x:v>汽車精密零組件</x:v>
      </x:c>
      <x:c r="H22" s="20" t="n">
        <x:v>45225</x:v>
      </x:c>
      <x:c r="I22" t="n">
        <x:v>5000</x:v>
      </x:c>
      <x:c r="J22" t="n">
        <x:v>1498.24</x:v>
      </x:c>
      <x:c r="K22" t="str">
        <x:v>TWD</x:v>
      </x:c>
      <x:c r="L22" s="20" t="n">
        <x:v>45243</x:v>
      </x:c>
      <x:c r="M22" s="20" t="n">
        <x:v>45243</x:v>
      </x:c>
      <x:c r="N22" t="str">
        <x:v>否</x:v>
      </x:c>
      <x:c r="O22" t="str">
        <x:v>重要</x:v>
      </x:c>
      <x:c r="P22" t="str">
        <x:v>部分出貨</x:v>
      </x:c>
    </x:row>
    <x:row r="23" ht="20" customHeight="1">
      <x:c r="A23" t="str">
        <x:v>SO00022-01</x:v>
      </x:c>
      <x:c r="B23" t="str">
        <x:v>SO00022</x:v>
      </x:c>
      <x:c r="C23" t="str">
        <x:v>Q00034</x:v>
      </x:c>
      <x:c r="D23" t="str">
        <x:v>EMS-003</x:v>
      </x:c>
      <x:c r="E23" t="str">
        <x:v>S05</x:v>
      </x:c>
      <x:c r="F23" t="str">
        <x:v>PM-VAC-A</x:v>
      </x:c>
      <x:c r="G23" t="str">
        <x:v>精密金屬加工件</x:v>
      </x:c>
      <x:c r="H23" s="20" t="n">
        <x:v>45235</x:v>
      </x:c>
      <x:c r="I23" t="n">
        <x:v>1200</x:v>
      </x:c>
      <x:c r="J23" t="n">
        <x:v>16440.77</x:v>
      </x:c>
      <x:c r="K23" t="str">
        <x:v>TWD</x:v>
      </x:c>
      <x:c r="L23" s="20" t="n">
        <x:v>45263</x:v>
      </x:c>
      <x:c r="M23" s="20" t="n">
        <x:v>45267</x:v>
      </x:c>
      <x:c r="N23" t="str">
        <x:v>否</x:v>
      </x:c>
      <x:c r="O23" t="str">
        <x:v>一般</x:v>
      </x:c>
      <x:c r="P23" t="str">
        <x:v>部分出貨</x:v>
      </x:c>
    </x:row>
    <x:row r="24" ht="20" customHeight="1">
      <x:c r="A24" t="str">
        <x:v>SO00023-01</x:v>
      </x:c>
      <x:c r="B24" t="str">
        <x:v>SO00023</x:v>
      </x:c>
      <x:c r="C24" t="str">
        <x:v>Q00036</x:v>
      </x:c>
      <x:c r="D24" t="str">
        <x:v>IAT-010</x:v>
      </x:c>
      <x:c r="E24" t="str">
        <x:v>S04</x:v>
      </x:c>
      <x:c r="F24" t="str">
        <x:v>MECH-STG-A</x:v>
      </x:c>
      <x:c r="G24" t="str">
        <x:v>機電／自動化模組</x:v>
      </x:c>
      <x:c r="H24" s="20" t="n">
        <x:v>45232</x:v>
      </x:c>
      <x:c r="I24" t="n">
        <x:v>50</x:v>
      </x:c>
      <x:c r="J24" t="n">
        <x:v>142539.02</x:v>
      </x:c>
      <x:c r="K24" t="str">
        <x:v>TWD</x:v>
      </x:c>
      <x:c r="L24" s="20" t="n">
        <x:v>45263</x:v>
      </x:c>
      <x:c r="M24" s="20" t="n">
        <x:v>45274</x:v>
      </x:c>
      <x:c r="N24" t="str">
        <x:v>是</x:v>
      </x:c>
      <x:c r="O24" t="str">
        <x:v>重要</x:v>
      </x:c>
      <x:c r="P24" t="str">
        <x:v>已出貨</x:v>
      </x:c>
    </x:row>
    <x:row r="25" ht="20" customHeight="1">
      <x:c r="A25" t="str">
        <x:v>SO00024-01</x:v>
      </x:c>
      <x:c r="B25" t="str">
        <x:v>SO00024</x:v>
      </x:c>
      <x:c r="C25" t="str">
        <x:v>Q00037</x:v>
      </x:c>
      <x:c r="D25" t="str">
        <x:v>EMS-004</x:v>
      </x:c>
      <x:c r="E25" t="str">
        <x:v>S03</x:v>
      </x:c>
      <x:c r="F25" t="str">
        <x:v>AUTO-MH-B</x:v>
      </x:c>
      <x:c r="G25" t="str">
        <x:v>汽車精密零組件</x:v>
      </x:c>
      <x:c r="H25" s="20" t="n">
        <x:v>45234</x:v>
      </x:c>
      <x:c r="I25" t="n">
        <x:v>13000</x:v>
      </x:c>
      <x:c r="J25" t="n">
        <x:v>3159.14</x:v>
      </x:c>
      <x:c r="K25" t="str">
        <x:v>TWD</x:v>
      </x:c>
      <x:c r="L25" s="20" t="n">
        <x:v>45258</x:v>
      </x:c>
      <x:c r="M25" s="20" t="n">
        <x:v>45258</x:v>
      </x:c>
      <x:c r="N25" t="str">
        <x:v>否</x:v>
      </x:c>
      <x:c r="O25" t="str">
        <x:v>VIP</x:v>
      </x:c>
      <x:c r="P25" t="str">
        <x:v>部分出貨</x:v>
      </x:c>
    </x:row>
    <x:row r="26" ht="20" customHeight="1">
      <x:c r="A26" t="str">
        <x:v>SO00025-01</x:v>
      </x:c>
      <x:c r="B26" t="str">
        <x:v>SO00025</x:v>
      </x:c>
      <x:c r="C26" t="str">
        <x:v>Q00038</x:v>
      </x:c>
      <x:c r="D26" t="str">
        <x:v>EMS-005</x:v>
      </x:c>
      <x:c r="E26" t="str">
        <x:v>S01</x:v>
      </x:c>
      <x:c r="F26" t="str">
        <x:v>PM-VAC-B</x:v>
      </x:c>
      <x:c r="G26" t="str">
        <x:v>精密金屬加工件</x:v>
      </x:c>
      <x:c r="H26" s="20" t="n">
        <x:v>45236</x:v>
      </x:c>
      <x:c r="I26" t="n">
        <x:v>500</x:v>
      </x:c>
      <x:c r="J26" t="n">
        <x:v>22951.12</x:v>
      </x:c>
      <x:c r="K26" t="str">
        <x:v>TWD</x:v>
      </x:c>
      <x:c r="L26" s="20" t="n">
        <x:v>45267</x:v>
      </x:c>
      <x:c r="M26" s="20" t="n">
        <x:v>45273</x:v>
      </x:c>
      <x:c r="N26" t="str">
        <x:v>否</x:v>
      </x:c>
      <x:c r="O26" t="str">
        <x:v>VIP</x:v>
      </x:c>
      <x:c r="P26" t="str">
        <x:v>部分出貨</x:v>
      </x:c>
    </x:row>
    <x:row r="27" ht="20" customHeight="1">
      <x:c r="A27" t="str">
        <x:v>SO00026-01</x:v>
      </x:c>
      <x:c r="B27" t="str">
        <x:v>SO00026</x:v>
      </x:c>
      <x:c r="C27" t="str">
        <x:v>Q00039</x:v>
      </x:c>
      <x:c r="D27" t="str">
        <x:v>AUT-012</x:v>
      </x:c>
      <x:c r="E27" t="str">
        <x:v>S06</x:v>
      </x:c>
      <x:c r="F27" t="str">
        <x:v>AUTO-MH-A</x:v>
      </x:c>
      <x:c r="G27" t="str">
        <x:v>汽車精密零組件</x:v>
      </x:c>
      <x:c r="H27" s="20" t="n">
        <x:v>45215</x:v>
      </x:c>
      <x:c r="I27" t="n">
        <x:v>10000</x:v>
      </x:c>
      <x:c r="J27" t="n">
        <x:v>2592.83</x:v>
      </x:c>
      <x:c r="K27" t="str">
        <x:v>TWD</x:v>
      </x:c>
      <x:c r="L27" s="20" t="n">
        <x:v>45231</x:v>
      </x:c>
      <x:c r="M27" s="20" t="n">
        <x:v>45238</x:v>
      </x:c>
      <x:c r="N27" t="str">
        <x:v>是</x:v>
      </x:c>
      <x:c r="O27" t="str">
        <x:v>VIP</x:v>
      </x:c>
      <x:c r="P27" t="str">
        <x:v>部分出貨</x:v>
      </x:c>
    </x:row>
    <x:row r="28" ht="20" customHeight="1">
      <x:c r="A28" t="str">
        <x:v>SO00027-01</x:v>
      </x:c>
      <x:c r="B28" t="str">
        <x:v>SO00027</x:v>
      </x:c>
      <x:c r="C28" t="str">
        <x:v>Q00044</x:v>
      </x:c>
      <x:c r="D28" t="str">
        <x:v>EMS-003</x:v>
      </x:c>
      <x:c r="E28" t="str">
        <x:v>S05</x:v>
      </x:c>
      <x:c r="F28" t="str">
        <x:v>PM-VAC-B</x:v>
      </x:c>
      <x:c r="G28" t="str">
        <x:v>精密金屬加工件</x:v>
      </x:c>
      <x:c r="H28" s="20" t="n">
        <x:v>45239</x:v>
      </x:c>
      <x:c r="I28" t="n">
        <x:v>500</x:v>
      </x:c>
      <x:c r="J28" t="n">
        <x:v>21739.17</x:v>
      </x:c>
      <x:c r="K28" t="str">
        <x:v>TWD</x:v>
      </x:c>
      <x:c r="L28" s="20" t="n">
        <x:v>45275</x:v>
      </x:c>
      <x:c r="M28" s="20" t="n">
        <x:v>45276</x:v>
      </x:c>
      <x:c r="N28" t="str">
        <x:v>否</x:v>
      </x:c>
      <x:c r="O28" t="str">
        <x:v>一般</x:v>
      </x:c>
      <x:c r="P28" t="str">
        <x:v>部分出貨</x:v>
      </x:c>
    </x:row>
    <x:row r="29" ht="20" customHeight="1">
      <x:c r="A29" t="str">
        <x:v>SO00028-01</x:v>
      </x:c>
      <x:c r="B29" t="str">
        <x:v>SO00028</x:v>
      </x:c>
      <x:c r="C29" t="str">
        <x:v>Q00045</x:v>
      </x:c>
      <x:c r="D29" t="str">
        <x:v>EMS-007</x:v>
      </x:c>
      <x:c r="E29" t="str">
        <x:v>S04</x:v>
      </x:c>
      <x:c r="F29" t="str">
        <x:v>MECH-STG-A</x:v>
      </x:c>
      <x:c r="G29" t="str">
        <x:v>機電／自動化模組</x:v>
      </x:c>
      <x:c r="H29" s="20" t="n">
        <x:v>45211</x:v>
      </x:c>
      <x:c r="I29" t="n">
        <x:v>10</x:v>
      </x:c>
      <x:c r="J29" t="n">
        <x:v>139676.72</x:v>
      </x:c>
      <x:c r="K29" t="str">
        <x:v>TWD</x:v>
      </x:c>
      <x:c r="L29" s="20" t="n">
        <x:v>45256</x:v>
      </x:c>
      <x:c r="M29" s="20" t="n">
        <x:v>45256</x:v>
      </x:c>
      <x:c r="N29" t="str">
        <x:v>是</x:v>
      </x:c>
      <x:c r="O29" t="str">
        <x:v>一般</x:v>
      </x:c>
      <x:c r="P29" t="str">
        <x:v>已出貨</x:v>
      </x:c>
    </x:row>
    <x:row r="30" ht="20" customHeight="1">
      <x:c r="A30" t="str">
        <x:v>SO00029-01</x:v>
      </x:c>
      <x:c r="B30" t="str">
        <x:v>SO00029</x:v>
      </x:c>
      <x:c r="C30" t="str">
        <x:v>Q00046</x:v>
      </x:c>
      <x:c r="D30" t="str">
        <x:v>IAT-007</x:v>
      </x:c>
      <x:c r="E30" t="str">
        <x:v>S04</x:v>
      </x:c>
      <x:c r="F30" t="str">
        <x:v>PM-ALB-A</x:v>
      </x:c>
      <x:c r="G30" t="str">
        <x:v>精密金屬加工件</x:v>
      </x:c>
      <x:c r="H30" s="20" t="n">
        <x:v>45234</x:v>
      </x:c>
      <x:c r="I30" t="n">
        <x:v>800</x:v>
      </x:c>
      <x:c r="J30" t="n">
        <x:v>11089.16</x:v>
      </x:c>
      <x:c r="K30" t="str">
        <x:v>TWD</x:v>
      </x:c>
      <x:c r="L30" s="20" t="n">
        <x:v>45261</x:v>
      </x:c>
      <x:c r="M30" s="20" t="n">
        <x:v>45261</x:v>
      </x:c>
      <x:c r="N30" t="str">
        <x:v>否</x:v>
      </x:c>
      <x:c r="O30" t="str">
        <x:v>重要</x:v>
      </x:c>
      <x:c r="P30" t="str">
        <x:v>部分出貨</x:v>
      </x:c>
    </x:row>
    <x:row r="31" ht="20" customHeight="1">
      <x:c r="A31" t="str">
        <x:v>SO00030-01</x:v>
      </x:c>
      <x:c r="B31" t="str">
        <x:v>SO00030</x:v>
      </x:c>
      <x:c r="C31" t="str">
        <x:v>Q00047</x:v>
      </x:c>
      <x:c r="D31" t="str">
        <x:v>AUT-001</x:v>
      </x:c>
      <x:c r="E31" t="str">
        <x:v>S01</x:v>
      </x:c>
      <x:c r="F31" t="str">
        <x:v>PM-BRG-A</x:v>
      </x:c>
      <x:c r="G31" t="str">
        <x:v>精密金屬加工件</x:v>
      </x:c>
      <x:c r="H31" s="20" t="n">
        <x:v>45237</x:v>
      </x:c>
      <x:c r="I31" t="n">
        <x:v>500</x:v>
      </x:c>
      <x:c r="J31" t="n">
        <x:v>6850.86</x:v>
      </x:c>
      <x:c r="K31" t="str">
        <x:v>TWD</x:v>
      </x:c>
      <x:c r="L31" s="20" t="n">
        <x:v>45258</x:v>
      </x:c>
      <x:c r="M31" s="20" t="n">
        <x:v>45258</x:v>
      </x:c>
      <x:c r="N31" t="str">
        <x:v>否</x:v>
      </x:c>
      <x:c r="O31" t="str">
        <x:v>VIP</x:v>
      </x:c>
      <x:c r="P31" t="str">
        <x:v>部分出貨</x:v>
      </x:c>
    </x:row>
    <x:row r="32" ht="20" customHeight="1">
      <x:c r="A32" t="str">
        <x:v>SO00031-01</x:v>
      </x:c>
      <x:c r="B32" t="str">
        <x:v>SO00031</x:v>
      </x:c>
      <x:c r="C32" t="str">
        <x:v>Q00049</x:v>
      </x:c>
      <x:c r="D32" t="str">
        <x:v>IAT-006</x:v>
      </x:c>
      <x:c r="E32" t="str">
        <x:v>S01</x:v>
      </x:c>
      <x:c r="F32" t="str">
        <x:v>AUTO-MH-B</x:v>
      </x:c>
      <x:c r="G32" t="str">
        <x:v>汽車精密零組件</x:v>
      </x:c>
      <x:c r="H32" s="20" t="n">
        <x:v>45203</x:v>
      </x:c>
      <x:c r="I32" t="n">
        <x:v>3000</x:v>
      </x:c>
      <x:c r="J32" t="n">
        <x:v>3143.15</x:v>
      </x:c>
      <x:c r="K32" t="str">
        <x:v>TWD</x:v>
      </x:c>
      <x:c r="L32" s="20" t="n">
        <x:v>45222</x:v>
      </x:c>
      <x:c r="M32" s="20" t="n">
        <x:v>45226</x:v>
      </x:c>
      <x:c r="N32" t="str">
        <x:v>是</x:v>
      </x:c>
      <x:c r="O32" t="str">
        <x:v>重要</x:v>
      </x:c>
      <x:c r="P32" t="str">
        <x:v>部分出貨</x:v>
      </x:c>
    </x:row>
    <x:row r="33" ht="20" customHeight="1">
      <x:c r="A33" t="str">
        <x:v>SO00032-01</x:v>
      </x:c>
      <x:c r="B33" t="str">
        <x:v>SO00032</x:v>
      </x:c>
      <x:c r="C33" t="str">
        <x:v>Q00050</x:v>
      </x:c>
      <x:c r="D33" t="str">
        <x:v>EMS-004</x:v>
      </x:c>
      <x:c r="E33" t="str">
        <x:v>S03</x:v>
      </x:c>
      <x:c r="F33" t="str">
        <x:v>AUTO-KN-A</x:v>
      </x:c>
      <x:c r="G33" t="str">
        <x:v>汽車精密零組件</x:v>
      </x:c>
      <x:c r="H33" s="20" t="n">
        <x:v>45212</x:v>
      </x:c>
      <x:c r="I33" t="n">
        <x:v>10000</x:v>
      </x:c>
      <x:c r="J33" t="n">
        <x:v>3220.01</x:v>
      </x:c>
      <x:c r="K33" t="str">
        <x:v>TWD</x:v>
      </x:c>
      <x:c r="L33" s="20" t="n">
        <x:v>45235</x:v>
      </x:c>
      <x:c r="M33" s="20" t="n">
        <x:v>45235</x:v>
      </x:c>
      <x:c r="N33" t="str">
        <x:v>是</x:v>
      </x:c>
      <x:c r="O33" t="str">
        <x:v>VIP</x:v>
      </x:c>
      <x:c r="P33" t="str">
        <x:v>部分出貨</x:v>
      </x:c>
    </x:row>
    <x:row r="34" ht="20" customHeight="1">
      <x:c r="A34" t="str">
        <x:v>SO00033-01</x:v>
      </x:c>
      <x:c r="B34" t="str">
        <x:v>SO00033</x:v>
      </x:c>
      <x:c r="C34" t="str">
        <x:v>Q00051</x:v>
      </x:c>
      <x:c r="D34" t="str">
        <x:v>EMS-004</x:v>
      </x:c>
      <x:c r="E34" t="str">
        <x:v>S03</x:v>
      </x:c>
      <x:c r="F34" t="str">
        <x:v>MECH-CON-B</x:v>
      </x:c>
      <x:c r="G34" t="str">
        <x:v>機電／自動化模組</x:v>
      </x:c>
      <x:c r="H34" s="20" t="n">
        <x:v>45223</x:v>
      </x:c>
      <x:c r="I34" t="n">
        <x:v>10</x:v>
      </x:c>
      <x:c r="J34" t="n">
        <x:v>160749.78</x:v>
      </x:c>
      <x:c r="K34" t="str">
        <x:v>TWD</x:v>
      </x:c>
      <x:c r="L34" s="20" t="n">
        <x:v>45267</x:v>
      </x:c>
      <x:c r="M34" s="20" t="n">
        <x:v>45269</x:v>
      </x:c>
      <x:c r="N34" t="str">
        <x:v>否</x:v>
      </x:c>
      <x:c r="O34" t="str">
        <x:v>VIP</x:v>
      </x:c>
      <x:c r="P34" t="str">
        <x:v>已出貨</x:v>
      </x:c>
    </x:row>
    <x:row r="35" ht="20" customHeight="1">
      <x:c r="A35" t="str">
        <x:v>SO00034-01</x:v>
      </x:c>
      <x:c r="B35" t="str">
        <x:v>SO00034</x:v>
      </x:c>
      <x:c r="C35" t="str">
        <x:v>Q00052</x:v>
      </x:c>
      <x:c r="D35" t="str">
        <x:v>AUT-002</x:v>
      </x:c>
      <x:c r="E35" t="str">
        <x:v>S04</x:v>
      </x:c>
      <x:c r="F35" t="str">
        <x:v>AUTO-FL-A</x:v>
      </x:c>
      <x:c r="G35" t="str">
        <x:v>汽車精密零組件</x:v>
      </x:c>
      <x:c r="H35" s="20" t="n">
        <x:v>45229</x:v>
      </x:c>
      <x:c r="I35" t="n">
        <x:v>3000</x:v>
      </x:c>
      <x:c r="J35" t="n">
        <x:v>1280.62</x:v>
      </x:c>
      <x:c r="K35" t="str">
        <x:v>TWD</x:v>
      </x:c>
      <x:c r="L35" s="20" t="n">
        <x:v>45241</x:v>
      </x:c>
      <x:c r="M35" s="20" t="n">
        <x:v>45245</x:v>
      </x:c>
      <x:c r="N35" t="str">
        <x:v>是</x:v>
      </x:c>
      <x:c r="O35" t="str">
        <x:v>重要</x:v>
      </x:c>
      <x:c r="P35" t="str">
        <x:v>部分出貨</x:v>
      </x:c>
    </x:row>
    <x:row r="36" ht="20" customHeight="1">
      <x:c r="A36" t="str">
        <x:v>SO00035-01</x:v>
      </x:c>
      <x:c r="B36" t="str">
        <x:v>SO00035</x:v>
      </x:c>
      <x:c r="C36" t="str">
        <x:v>Q00053</x:v>
      </x:c>
      <x:c r="D36" t="str">
        <x:v>AFT-006</x:v>
      </x:c>
      <x:c r="E36" t="str">
        <x:v>S01</x:v>
      </x:c>
      <x:c r="F36" t="str">
        <x:v>AUTO-BRK-A</x:v>
      </x:c>
      <x:c r="G36" t="str">
        <x:v>汽車精密零組件</x:v>
      </x:c>
      <x:c r="H36" s="20" t="n">
        <x:v>45230</x:v>
      </x:c>
      <x:c r="I36" t="n">
        <x:v>5000</x:v>
      </x:c>
      <x:c r="J36" t="n">
        <x:v>1708.88</x:v>
      </x:c>
      <x:c r="K36" t="str">
        <x:v>TWD</x:v>
      </x:c>
      <x:c r="L36" s="20" t="n">
        <x:v>45248</x:v>
      </x:c>
      <x:c r="M36" s="20" t="n">
        <x:v>45248</x:v>
      </x:c>
      <x:c r="N36" t="str">
        <x:v>是</x:v>
      </x:c>
      <x:c r="O36" t="str">
        <x:v>一般</x:v>
      </x:c>
      <x:c r="P36" t="str">
        <x:v>已出貨</x:v>
      </x:c>
    </x:row>
    <x:row r="37" ht="20" customHeight="1">
      <x:c r="A37" t="str">
        <x:v>SO00036-01</x:v>
      </x:c>
      <x:c r="B37" t="str">
        <x:v>SO00036</x:v>
      </x:c>
      <x:c r="C37" t="str">
        <x:v>Q00054</x:v>
      </x:c>
      <x:c r="D37" t="str">
        <x:v>AUT-006</x:v>
      </x:c>
      <x:c r="E37" t="str">
        <x:v>S03</x:v>
      </x:c>
      <x:c r="F37" t="str">
        <x:v>AUTO-KN-B</x:v>
      </x:c>
      <x:c r="G37" t="str">
        <x:v>汽車精密零組件</x:v>
      </x:c>
      <x:c r="H37" s="20" t="n">
        <x:v>45219</x:v>
      </x:c>
      <x:c r="I37" t="n">
        <x:v>13000</x:v>
      </x:c>
      <x:c r="J37" t="n">
        <x:v>3823.98</x:v>
      </x:c>
      <x:c r="K37" t="str">
        <x:v>TWD</x:v>
      </x:c>
      <x:c r="L37" s="20" t="n">
        <x:v>45239</x:v>
      </x:c>
      <x:c r="M37" s="20" t="n">
        <x:v>45244</x:v>
      </x:c>
      <x:c r="N37" t="str">
        <x:v>是</x:v>
      </x:c>
      <x:c r="O37" t="str">
        <x:v>一般</x:v>
      </x:c>
      <x:c r="P37" t="str">
        <x:v>部分出貨</x:v>
      </x:c>
    </x:row>
    <x:row r="38" ht="20" customHeight="1">
      <x:c r="A38" t="str">
        <x:v>SO00037-01</x:v>
      </x:c>
      <x:c r="B38" t="str">
        <x:v>SO00037</x:v>
      </x:c>
      <x:c r="C38" t="str">
        <x:v>Q00056</x:v>
      </x:c>
      <x:c r="D38" t="str">
        <x:v>AFT-006</x:v>
      </x:c>
      <x:c r="E38" t="str">
        <x:v>S01</x:v>
      </x:c>
      <x:c r="F38" t="str">
        <x:v>AUTO-LG-A</x:v>
      </x:c>
      <x:c r="G38" t="str">
        <x:v>汽車精密零組件</x:v>
      </x:c>
      <x:c r="H38" s="20" t="n">
        <x:v>45216</x:v>
      </x:c>
      <x:c r="I38" t="n">
        <x:v>7000</x:v>
      </x:c>
      <x:c r="J38" t="n">
        <x:v>1069.94</x:v>
      </x:c>
      <x:c r="K38" t="str">
        <x:v>TWD</x:v>
      </x:c>
      <x:c r="L38" s="20" t="n">
        <x:v>45231</x:v>
      </x:c>
      <x:c r="M38" s="20" t="n">
        <x:v>45232</x:v>
      </x:c>
      <x:c r="N38" t="str">
        <x:v>否</x:v>
      </x:c>
      <x:c r="O38" t="str">
        <x:v>一般</x:v>
      </x:c>
      <x:c r="P38" t="str">
        <x:v>部分出貨</x:v>
      </x:c>
    </x:row>
    <x:row r="39" ht="20" customHeight="1">
      <x:c r="A39" t="str">
        <x:v>SO00038-01</x:v>
      </x:c>
      <x:c r="B39" t="str">
        <x:v>SO00038</x:v>
      </x:c>
      <x:c r="C39" t="str">
        <x:v>Q00058</x:v>
      </x:c>
      <x:c r="D39" t="str">
        <x:v>IAT-001</x:v>
      </x:c>
      <x:c r="E39" t="str">
        <x:v>S05</x:v>
      </x:c>
      <x:c r="F39" t="str">
        <x:v>MECH-CON-B</x:v>
      </x:c>
      <x:c r="G39" t="str">
        <x:v>機電／自動化模組</x:v>
      </x:c>
      <x:c r="H39" s="20" t="n">
        <x:v>45230</x:v>
      </x:c>
      <x:c r="I39" t="n">
        <x:v>30</x:v>
      </x:c>
      <x:c r="J39" t="n">
        <x:v>161352.33</x:v>
      </x:c>
      <x:c r="K39" t="str">
        <x:v>TWD</x:v>
      </x:c>
      <x:c r="L39" s="20" t="n">
        <x:v>45276</x:v>
      </x:c>
      <x:c r="M39" s="20" t="n">
        <x:v>45276</x:v>
      </x:c>
      <x:c r="N39" t="str">
        <x:v>否</x:v>
      </x:c>
      <x:c r="O39" t="str">
        <x:v>一般</x:v>
      </x:c>
      <x:c r="P39" t="str">
        <x:v>已出貨</x:v>
      </x:c>
    </x:row>
    <x:row r="40" ht="20" customHeight="1">
      <x:c r="A40" t="str">
        <x:v>SO00039-01</x:v>
      </x:c>
      <x:c r="B40" t="str">
        <x:v>SO00039</x:v>
      </x:c>
      <x:c r="C40" t="str">
        <x:v>Q00060</x:v>
      </x:c>
      <x:c r="D40" t="str">
        <x:v>SEM-003</x:v>
      </x:c>
      <x:c r="E40" t="str">
        <x:v>S02</x:v>
      </x:c>
      <x:c r="F40" t="str">
        <x:v>SEMI-WH-A</x:v>
      </x:c>
      <x:c r="G40" t="str">
        <x:v>半導體設備零組件</x:v>
      </x:c>
      <x:c r="H40" s="20" t="n">
        <x:v>45264</x:v>
      </x:c>
      <x:c r="I40" t="n">
        <x:v>40</x:v>
      </x:c>
      <x:c r="J40" t="n">
        <x:v>117376.75</x:v>
      </x:c>
      <x:c r="K40" t="str">
        <x:v>TWD</x:v>
      </x:c>
      <x:c r="L40" s="20" t="n">
        <x:v>45314</x:v>
      </x:c>
      <x:c r="M40" s="20" t="n">
        <x:v>45316</x:v>
      </x:c>
      <x:c r="N40" t="str">
        <x:v>否</x:v>
      </x:c>
      <x:c r="O40" t="str">
        <x:v>重要</x:v>
      </x:c>
      <x:c r="P40" t="str">
        <x:v>部分出貨</x:v>
      </x:c>
    </x:row>
    <x:row r="41" ht="20" customHeight="1">
      <x:c r="A41" t="str">
        <x:v>SO00040-01</x:v>
      </x:c>
      <x:c r="B41" t="str">
        <x:v>SO00040</x:v>
      </x:c>
      <x:c r="C41" t="str">
        <x:v>Q00061</x:v>
      </x:c>
      <x:c r="D41" t="str">
        <x:v>IAT-006</x:v>
      </x:c>
      <x:c r="E41" t="str">
        <x:v>S01</x:v>
      </x:c>
      <x:c r="F41" t="str">
        <x:v>AUTO-KN-B</x:v>
      </x:c>
      <x:c r="G41" t="str">
        <x:v>汽車精密零組件</x:v>
      </x:c>
      <x:c r="H41" s="20" t="n">
        <x:v>45268</x:v>
      </x:c>
      <x:c r="I41" t="n">
        <x:v>5000</x:v>
      </x:c>
      <x:c r="J41" t="n">
        <x:v>3501.5</x:v>
      </x:c>
      <x:c r="K41" t="str">
        <x:v>TWD</x:v>
      </x:c>
      <x:c r="L41" s="20" t="n">
        <x:v>45294</x:v>
      </x:c>
      <x:c r="M41" s="20" t="n">
        <x:v>45294</x:v>
      </x:c>
      <x:c r="N41" t="str">
        <x:v>否</x:v>
      </x:c>
      <x:c r="O41" t="str">
        <x:v>重要</x:v>
      </x:c>
      <x:c r="P41" t="str">
        <x:v>部分出貨</x:v>
      </x:c>
    </x:row>
    <x:row r="42" ht="20" customHeight="1">
      <x:c r="A42" t="str">
        <x:v>SO00041-01</x:v>
      </x:c>
      <x:c r="B42" t="str">
        <x:v>SO00041</x:v>
      </x:c>
      <x:c r="C42" t="str">
        <x:v>Q00064</x:v>
      </x:c>
      <x:c r="D42" t="str">
        <x:v>EMS-008</x:v>
      </x:c>
      <x:c r="E42" t="str">
        <x:v>S02</x:v>
      </x:c>
      <x:c r="F42" t="str">
        <x:v>AUTO-LG-B</x:v>
      </x:c>
      <x:c r="G42" t="str">
        <x:v>汽車精密零組件</x:v>
      </x:c>
      <x:c r="H42" s="20" t="n">
        <x:v>45243</x:v>
      </x:c>
      <x:c r="I42" t="n">
        <x:v>3000</x:v>
      </x:c>
      <x:c r="J42" t="n">
        <x:v>1103.8</x:v>
      </x:c>
      <x:c r="K42" t="str">
        <x:v>TWD</x:v>
      </x:c>
      <x:c r="L42" s="20" t="n">
        <x:v>45256</x:v>
      </x:c>
      <x:c r="M42" s="20" t="n">
        <x:v>45259</x:v>
      </x:c>
      <x:c r="N42" t="str">
        <x:v>是</x:v>
      </x:c>
      <x:c r="O42" t="str">
        <x:v>重要</x:v>
      </x:c>
      <x:c r="P42" t="str">
        <x:v>部分出貨</x:v>
      </x:c>
    </x:row>
    <x:row r="43" ht="20" customHeight="1">
      <x:c r="A43" t="str">
        <x:v>SO00042-01</x:v>
      </x:c>
      <x:c r="B43" t="str">
        <x:v>SO00042</x:v>
      </x:c>
      <x:c r="C43" t="str">
        <x:v>Q00065</x:v>
      </x:c>
      <x:c r="D43" t="str">
        <x:v>SEM-005</x:v>
      </x:c>
      <x:c r="E43" t="str">
        <x:v>S06</x:v>
      </x:c>
      <x:c r="F43" t="str">
        <x:v>MECH-STG-A</x:v>
      </x:c>
      <x:c r="G43" t="str">
        <x:v>機電／自動化模組</x:v>
      </x:c>
      <x:c r="H43" s="20" t="n">
        <x:v>45247</x:v>
      </x:c>
      <x:c r="I43" t="n">
        <x:v>30</x:v>
      </x:c>
      <x:c r="J43" t="n">
        <x:v>139131.07</x:v>
      </x:c>
      <x:c r="K43" t="str">
        <x:v>TWD</x:v>
      </x:c>
      <x:c r="L43" s="20" t="n">
        <x:v>45282</x:v>
      </x:c>
      <x:c r="M43" s="20" t="n">
        <x:v>45288</x:v>
      </x:c>
      <x:c r="N43" t="str">
        <x:v>否</x:v>
      </x:c>
      <x:c r="O43" t="str">
        <x:v>重要</x:v>
      </x:c>
      <x:c r="P43" t="str">
        <x:v>已出貨</x:v>
      </x:c>
    </x:row>
    <x:row r="44" ht="20" customHeight="1">
      <x:c r="A44" t="str">
        <x:v>SO00043-01</x:v>
      </x:c>
      <x:c r="B44" t="str">
        <x:v>SO00043</x:v>
      </x:c>
      <x:c r="C44" t="str">
        <x:v>Q00067</x:v>
      </x:c>
      <x:c r="D44" t="str">
        <x:v>IAT-010</x:v>
      </x:c>
      <x:c r="E44" t="str">
        <x:v>S04</x:v>
      </x:c>
      <x:c r="F44" t="str">
        <x:v>AUTO-BS-A</x:v>
      </x:c>
      <x:c r="G44" t="str">
        <x:v>汽車精密零組件</x:v>
      </x:c>
      <x:c r="H44" s="20" t="n">
        <x:v>45252</x:v>
      </x:c>
      <x:c r="I44" t="n">
        <x:v>5000</x:v>
      </x:c>
      <x:c r="J44" t="n">
        <x:v>741.84</x:v>
      </x:c>
      <x:c r="K44" t="str">
        <x:v>TWD</x:v>
      </x:c>
      <x:c r="L44" s="20" t="n">
        <x:v>45263</x:v>
      </x:c>
      <x:c r="M44" s="20" t="n">
        <x:v>45266</x:v>
      </x:c>
      <x:c r="N44" t="str">
        <x:v>是</x:v>
      </x:c>
      <x:c r="O44" t="str">
        <x:v>重要</x:v>
      </x:c>
      <x:c r="P44" t="str">
        <x:v>部分出貨</x:v>
      </x:c>
    </x:row>
    <x:row r="45" ht="20" customHeight="1">
      <x:c r="A45" t="str">
        <x:v>SO00044-01</x:v>
      </x:c>
      <x:c r="B45" t="str">
        <x:v>SO00044</x:v>
      </x:c>
      <x:c r="C45" t="str">
        <x:v>Q00068</x:v>
      </x:c>
      <x:c r="D45" t="str">
        <x:v>IAT-005</x:v>
      </x:c>
      <x:c r="E45" t="str">
        <x:v>S02</x:v>
      </x:c>
      <x:c r="F45" t="str">
        <x:v>AUTO-BS-A</x:v>
      </x:c>
      <x:c r="G45" t="str">
        <x:v>汽車精密零組件</x:v>
      </x:c>
      <x:c r="H45" s="20" t="n">
        <x:v>45260</x:v>
      </x:c>
      <x:c r="I45" t="n">
        <x:v>13000</x:v>
      </x:c>
      <x:c r="J45" t="n">
        <x:v>735.33</x:v>
      </x:c>
      <x:c r="K45" t="str">
        <x:v>TWD</x:v>
      </x:c>
      <x:c r="L45" s="20" t="n">
        <x:v>45270</x:v>
      </x:c>
      <x:c r="M45" s="20" t="n">
        <x:v>45273</x:v>
      </x:c>
      <x:c r="N45" t="str">
        <x:v>是</x:v>
      </x:c>
      <x:c r="O45" t="str">
        <x:v>一般</x:v>
      </x:c>
      <x:c r="P45" t="str">
        <x:v>部分出貨</x:v>
      </x:c>
    </x:row>
    <x:row r="46" ht="20" customHeight="1">
      <x:c r="A46" t="str">
        <x:v>SO00045-01</x:v>
      </x:c>
      <x:c r="B46" t="str">
        <x:v>SO00045</x:v>
      </x:c>
      <x:c r="C46" t="str">
        <x:v>Q00069</x:v>
      </x:c>
      <x:c r="D46" t="str">
        <x:v>EMS-005</x:v>
      </x:c>
      <x:c r="E46" t="str">
        <x:v>S01</x:v>
      </x:c>
      <x:c r="F46" t="str">
        <x:v>AUTO-BS-B</x:v>
      </x:c>
      <x:c r="G46" t="str">
        <x:v>汽車精密零組件</x:v>
      </x:c>
      <x:c r="H46" s="20" t="n">
        <x:v>45249</x:v>
      </x:c>
      <x:c r="I46" t="n">
        <x:v>5000</x:v>
      </x:c>
      <x:c r="J46" t="n">
        <x:v>818.23</x:v>
      </x:c>
      <x:c r="K46" t="str">
        <x:v>TWD</x:v>
      </x:c>
      <x:c r="L46" s="20" t="n">
        <x:v>45263</x:v>
      </x:c>
      <x:c r="M46" s="20" t="n">
        <x:v>45264</x:v>
      </x:c>
      <x:c r="N46" t="str">
        <x:v>否</x:v>
      </x:c>
      <x:c r="O46" t="str">
        <x:v>VIP</x:v>
      </x:c>
      <x:c r="P46" t="str">
        <x:v>部分出貨</x:v>
      </x:c>
    </x:row>
    <x:row r="47" ht="20" customHeight="1">
      <x:c r="A47" t="str">
        <x:v>SO00046-01</x:v>
      </x:c>
      <x:c r="B47" t="str">
        <x:v>SO00046</x:v>
      </x:c>
      <x:c r="C47" t="str">
        <x:v>Q00071</x:v>
      </x:c>
      <x:c r="D47" t="str">
        <x:v>SEM-009</x:v>
      </x:c>
      <x:c r="E47" t="str">
        <x:v>S02</x:v>
      </x:c>
      <x:c r="F47" t="str">
        <x:v>PM-BRG-B</x:v>
      </x:c>
      <x:c r="G47" t="str">
        <x:v>精密金屬加工件</x:v>
      </x:c>
      <x:c r="H47" s="20" t="n">
        <x:v>45249</x:v>
      </x:c>
      <x:c r="I47" t="n">
        <x:v>1600</x:v>
      </x:c>
      <x:c r="J47" t="n">
        <x:v>7859.52</x:v>
      </x:c>
      <x:c r="K47" t="str">
        <x:v>TWD</x:v>
      </x:c>
      <x:c r="L47" s="20" t="n">
        <x:v>45272</x:v>
      </x:c>
      <x:c r="M47" s="20" t="n">
        <x:v>45272</x:v>
      </x:c>
      <x:c r="N47" t="str">
        <x:v>否</x:v>
      </x:c>
      <x:c r="O47" t="str">
        <x:v>重要</x:v>
      </x:c>
      <x:c r="P47" t="str">
        <x:v>部分出貨</x:v>
      </x:c>
    </x:row>
    <x:row r="48" ht="20" customHeight="1">
      <x:c r="A48" t="str">
        <x:v>SO00047-01</x:v>
      </x:c>
      <x:c r="B48" t="str">
        <x:v>SO00047</x:v>
      </x:c>
      <x:c r="C48" t="str">
        <x:v>Q00075</x:v>
      </x:c>
      <x:c r="D48" t="str">
        <x:v>AUT-014</x:v>
      </x:c>
      <x:c r="E48" t="str">
        <x:v>S06</x:v>
      </x:c>
      <x:c r="F48" t="str">
        <x:v>PM-ALB-B</x:v>
      </x:c>
      <x:c r="G48" t="str">
        <x:v>精密金屬加工件</x:v>
      </x:c>
      <x:c r="H48" s="20" t="n">
        <x:v>45247</x:v>
      </x:c>
      <x:c r="I48" t="n">
        <x:v>800</x:v>
      </x:c>
      <x:c r="J48" t="n">
        <x:v>15687.59</x:v>
      </x:c>
      <x:c r="K48" t="str">
        <x:v>TWD</x:v>
      </x:c>
      <x:c r="L48" s="20" t="n">
        <x:v>45272</x:v>
      </x:c>
      <x:c r="M48" s="20" t="n">
        <x:v>45275</x:v>
      </x:c>
      <x:c r="N48" t="str">
        <x:v>否</x:v>
      </x:c>
      <x:c r="O48" t="str">
        <x:v>重要</x:v>
      </x:c>
      <x:c r="P48" t="str">
        <x:v>部分出貨</x:v>
      </x:c>
    </x:row>
    <x:row r="49" ht="20" customHeight="1">
      <x:c r="A49" t="str">
        <x:v>SO00048-01</x:v>
      </x:c>
      <x:c r="B49" t="str">
        <x:v>SO00048</x:v>
      </x:c>
      <x:c r="C49" t="str">
        <x:v>Q00076</x:v>
      </x:c>
      <x:c r="D49" t="str">
        <x:v>IAT-002</x:v>
      </x:c>
      <x:c r="E49" t="str">
        <x:v>S01</x:v>
      </x:c>
      <x:c r="F49" t="str">
        <x:v>AUTO-BRK-B</x:v>
      </x:c>
      <x:c r="G49" t="str">
        <x:v>汽車精密零組件</x:v>
      </x:c>
      <x:c r="H49" s="20" t="n">
        <x:v>45243</x:v>
      </x:c>
      <x:c r="I49" t="n">
        <x:v>7000</x:v>
      </x:c>
      <x:c r="J49" t="n">
        <x:v>2098.11</x:v>
      </x:c>
      <x:c r="K49" t="str">
        <x:v>TWD</x:v>
      </x:c>
      <x:c r="L49" s="20" t="n">
        <x:v>45257</x:v>
      </x:c>
      <x:c r="M49" s="20" t="n">
        <x:v>45262</x:v>
      </x:c>
      <x:c r="N49" t="str">
        <x:v>是</x:v>
      </x:c>
      <x:c r="O49" t="str">
        <x:v>一般</x:v>
      </x:c>
      <x:c r="P49" t="str">
        <x:v>部分出貨</x:v>
      </x:c>
    </x:row>
    <x:row r="50" ht="20" customHeight="1">
      <x:c r="A50" t="str">
        <x:v>SO00049-01</x:v>
      </x:c>
      <x:c r="B50" t="str">
        <x:v>SO00049</x:v>
      </x:c>
      <x:c r="C50" t="str">
        <x:v>Q00078</x:v>
      </x:c>
      <x:c r="D50" t="str">
        <x:v>AUT-006</x:v>
      </x:c>
      <x:c r="E50" t="str">
        <x:v>S03</x:v>
      </x:c>
      <x:c r="F50" t="str">
        <x:v>AUTO-LG-A</x:v>
      </x:c>
      <x:c r="G50" t="str">
        <x:v>汽車精密零組件</x:v>
      </x:c>
      <x:c r="H50" s="20" t="n">
        <x:v>45253</x:v>
      </x:c>
      <x:c r="I50" t="n">
        <x:v>10000</x:v>
      </x:c>
      <x:c r="J50" t="n">
        <x:v>1145.43</x:v>
      </x:c>
      <x:c r="K50" t="str">
        <x:v>TWD</x:v>
      </x:c>
      <x:c r="L50" s="20" t="n">
        <x:v>45268</x:v>
      </x:c>
      <x:c r="M50" s="20" t="n">
        <x:v>45272</x:v>
      </x:c>
      <x:c r="N50" t="str">
        <x:v>否</x:v>
      </x:c>
      <x:c r="O50" t="str">
        <x:v>一般</x:v>
      </x:c>
      <x:c r="P50" t="str">
        <x:v>部分出貨</x:v>
      </x:c>
    </x:row>
    <x:row r="51" ht="20" customHeight="1">
      <x:c r="A51" t="str">
        <x:v>SO00050-01</x:v>
      </x:c>
      <x:c r="B51" t="str">
        <x:v>SO00050</x:v>
      </x:c>
      <x:c r="C51" t="str">
        <x:v>Q00079</x:v>
      </x:c>
      <x:c r="D51" t="str">
        <x:v>AUT-013</x:v>
      </x:c>
      <x:c r="E51" t="str">
        <x:v>S01</x:v>
      </x:c>
      <x:c r="F51" t="str">
        <x:v>MECH-CON-A</x:v>
      </x:c>
      <x:c r="G51" t="str">
        <x:v>機電／自動化模組</x:v>
      </x:c>
      <x:c r="H51" s="20" t="n">
        <x:v>45261</x:v>
      </x:c>
      <x:c r="I51" t="n">
        <x:v>10</x:v>
      </x:c>
      <x:c r="J51" t="n">
        <x:v>114420.28</x:v>
      </x:c>
      <x:c r="K51" t="str">
        <x:v>TWD</x:v>
      </x:c>
      <x:c r="L51" s="20" t="n">
        <x:v>45294</x:v>
      </x:c>
      <x:c r="M51" s="20" t="n">
        <x:v>45295</x:v>
      </x:c>
      <x:c r="N51" t="str">
        <x:v>否</x:v>
      </x:c>
      <x:c r="O51" t="str">
        <x:v>重要</x:v>
      </x:c>
      <x:c r="P51" t="str">
        <x:v>已出貨</x:v>
      </x:c>
    </x:row>
    <x:row r="52" ht="20" customHeight="1">
      <x:c r="A52" t="str">
        <x:v>SO00051-01</x:v>
      </x:c>
      <x:c r="B52" t="str">
        <x:v>SO00051</x:v>
      </x:c>
      <x:c r="C52" t="str">
        <x:v>Q00080</x:v>
      </x:c>
      <x:c r="D52" t="str">
        <x:v>EMS-007</x:v>
      </x:c>
      <x:c r="E52" t="str">
        <x:v>S04</x:v>
      </x:c>
      <x:c r="F52" t="str">
        <x:v>SEMI-WH-A</x:v>
      </x:c>
      <x:c r="G52" t="str">
        <x:v>半導體設備零組件</x:v>
      </x:c>
      <x:c r="H52" s="20" t="n">
        <x:v>45253</x:v>
      </x:c>
      <x:c r="I52" t="n">
        <x:v>160</x:v>
      </x:c>
      <x:c r="J52" t="n">
        <x:v>115298.61</x:v>
      </x:c>
      <x:c r="K52" t="str">
        <x:v>TWD</x:v>
      </x:c>
      <x:c r="L52" s="20" t="n">
        <x:v>45305</x:v>
      </x:c>
      <x:c r="M52" s="20" t="n">
        <x:v>45305</x:v>
      </x:c>
      <x:c r="N52" t="str">
        <x:v>是</x:v>
      </x:c>
      <x:c r="O52" t="str">
        <x:v>一般</x:v>
      </x:c>
      <x:c r="P52" t="str">
        <x:v>部分出貨</x:v>
      </x:c>
    </x:row>
    <x:row r="53" ht="20" customHeight="1">
      <x:c r="A53" t="str">
        <x:v>SO00052-01</x:v>
      </x:c>
      <x:c r="B53" t="str">
        <x:v>SO00052</x:v>
      </x:c>
      <x:c r="C53" t="str">
        <x:v>Q00082</x:v>
      </x:c>
      <x:c r="D53" t="str">
        <x:v>IAT-010</x:v>
      </x:c>
      <x:c r="E53" t="str">
        <x:v>S04</x:v>
      </x:c>
      <x:c r="F53" t="str">
        <x:v>AUTO-BRK-B</x:v>
      </x:c>
      <x:c r="G53" t="str">
        <x:v>汽車精密零組件</x:v>
      </x:c>
      <x:c r="H53" s="20" t="n">
        <x:v>45266</x:v>
      </x:c>
      <x:c r="I53" t="n">
        <x:v>13000</x:v>
      </x:c>
      <x:c r="J53" t="n">
        <x:v>2157.04</x:v>
      </x:c>
      <x:c r="K53" t="str">
        <x:v>TWD</x:v>
      </x:c>
      <x:c r="L53" s="20" t="n">
        <x:v>45287</x:v>
      </x:c>
      <x:c r="M53" s="20" t="n">
        <x:v>45287</x:v>
      </x:c>
      <x:c r="N53" t="str">
        <x:v>否</x:v>
      </x:c>
      <x:c r="O53" t="str">
        <x:v>重要</x:v>
      </x:c>
      <x:c r="P53" t="str">
        <x:v>部分出貨</x:v>
      </x:c>
    </x:row>
    <x:row r="54" ht="20" customHeight="1">
      <x:c r="A54" t="str">
        <x:v>SO00053-01</x:v>
      </x:c>
      <x:c r="B54" t="str">
        <x:v>SO00053</x:v>
      </x:c>
      <x:c r="C54" t="str">
        <x:v>Q00083</x:v>
      </x:c>
      <x:c r="D54" t="str">
        <x:v>IAT-005</x:v>
      </x:c>
      <x:c r="E54" t="str">
        <x:v>S02</x:v>
      </x:c>
      <x:c r="F54" t="str">
        <x:v>AUTO-KN-A</x:v>
      </x:c>
      <x:c r="G54" t="str">
        <x:v>汽車精密零組件</x:v>
      </x:c>
      <x:c r="H54" s="20" t="n">
        <x:v>45249</x:v>
      </x:c>
      <x:c r="I54" t="n">
        <x:v>3000</x:v>
      </x:c>
      <x:c r="J54" t="n">
        <x:v>3034.85</x:v>
      </x:c>
      <x:c r="K54" t="str">
        <x:v>TWD</x:v>
      </x:c>
      <x:c r="L54" s="20" t="n">
        <x:v>45269</x:v>
      </x:c>
      <x:c r="M54" s="20" t="n">
        <x:v>45271</x:v>
      </x:c>
      <x:c r="N54" t="str">
        <x:v>否</x:v>
      </x:c>
      <x:c r="O54" t="str">
        <x:v>一般</x:v>
      </x:c>
      <x:c r="P54" t="str">
        <x:v>部分出貨</x:v>
      </x:c>
    </x:row>
    <x:row r="55" ht="20" customHeight="1">
      <x:c r="A55" t="str">
        <x:v>SO00054-01</x:v>
      </x:c>
      <x:c r="B55" t="str">
        <x:v>SO00054</x:v>
      </x:c>
      <x:c r="C55" t="str">
        <x:v>Q00084</x:v>
      </x:c>
      <x:c r="D55" t="str">
        <x:v>AUT-005</x:v>
      </x:c>
      <x:c r="E55" t="str">
        <x:v>S04</x:v>
      </x:c>
      <x:c r="F55" t="str">
        <x:v>AUTO-BRK-A</x:v>
      </x:c>
      <x:c r="G55" t="str">
        <x:v>汽車精密零組件</x:v>
      </x:c>
      <x:c r="H55" s="20" t="n">
        <x:v>45246</x:v>
      </x:c>
      <x:c r="I55" t="n">
        <x:v>5000</x:v>
      </x:c>
      <x:c r="J55" t="n">
        <x:v>1690.79</x:v>
      </x:c>
      <x:c r="K55" t="str">
        <x:v>TWD</x:v>
      </x:c>
      <x:c r="L55" s="20" t="n">
        <x:v>45259</x:v>
      </x:c>
      <x:c r="M55" s="20" t="n">
        <x:v>45265</x:v>
      </x:c>
      <x:c r="N55" t="str">
        <x:v>是</x:v>
      </x:c>
      <x:c r="O55" t="str">
        <x:v>VIP</x:v>
      </x:c>
      <x:c r="P55" t="str">
        <x:v>部分出貨</x:v>
      </x:c>
    </x:row>
    <x:row r="56" ht="20" customHeight="1">
      <x:c r="A56" t="str">
        <x:v>SO00055-01</x:v>
      </x:c>
      <x:c r="B56" t="str">
        <x:v>SO00055</x:v>
      </x:c>
      <x:c r="C56" t="str">
        <x:v>Q00086</x:v>
      </x:c>
      <x:c r="D56" t="str">
        <x:v>EMS-005</x:v>
      </x:c>
      <x:c r="E56" t="str">
        <x:v>S01</x:v>
      </x:c>
      <x:c r="F56" t="str">
        <x:v>AUTO-MH-A</x:v>
      </x:c>
      <x:c r="G56" t="str">
        <x:v>汽車精密零組件</x:v>
      </x:c>
      <x:c r="H56" s="20" t="n">
        <x:v>45260</x:v>
      </x:c>
      <x:c r="I56" t="n">
        <x:v>3000</x:v>
      </x:c>
      <x:c r="J56" t="n">
        <x:v>2504.94</x:v>
      </x:c>
      <x:c r="K56" t="str">
        <x:v>TWD</x:v>
      </x:c>
      <x:c r="L56" s="20" t="n">
        <x:v>45283</x:v>
      </x:c>
      <x:c r="M56" s="20" t="n">
        <x:v>45283</x:v>
      </x:c>
      <x:c r="N56" t="str">
        <x:v>否</x:v>
      </x:c>
      <x:c r="O56" t="str">
        <x:v>VIP</x:v>
      </x:c>
      <x:c r="P56" t="str">
        <x:v>部分出貨</x:v>
      </x:c>
    </x:row>
    <x:row r="57" ht="20" customHeight="1">
      <x:c r="A57" t="str">
        <x:v>SO00056-01</x:v>
      </x:c>
      <x:c r="B57" t="str">
        <x:v>SO00056</x:v>
      </x:c>
      <x:c r="C57" t="str">
        <x:v>Q00087</x:v>
      </x:c>
      <x:c r="D57" t="str">
        <x:v>EMS-002</x:v>
      </x:c>
      <x:c r="E57" t="str">
        <x:v>S05</x:v>
      </x:c>
      <x:c r="F57" t="str">
        <x:v>AUTO-KN-A</x:v>
      </x:c>
      <x:c r="G57" t="str">
        <x:v>汽車精密零組件</x:v>
      </x:c>
      <x:c r="H57" s="20" t="n">
        <x:v>45268</x:v>
      </x:c>
      <x:c r="I57" t="n">
        <x:v>3000</x:v>
      </x:c>
      <x:c r="J57" t="n">
        <x:v>3159.73</x:v>
      </x:c>
      <x:c r="K57" t="str">
        <x:v>TWD</x:v>
      </x:c>
      <x:c r="L57" s="20" t="n">
        <x:v>45295</x:v>
      </x:c>
      <x:c r="M57" s="20" t="n">
        <x:v>45295</x:v>
      </x:c>
      <x:c r="N57" t="str">
        <x:v>否</x:v>
      </x:c>
      <x:c r="O57" t="str">
        <x:v>重要</x:v>
      </x:c>
      <x:c r="P57" t="str">
        <x:v>部分出貨</x:v>
      </x:c>
    </x:row>
    <x:row r="58" ht="20" customHeight="1">
      <x:c r="A58" t="str">
        <x:v>SO00057-01</x:v>
      </x:c>
      <x:c r="B58" t="str">
        <x:v>SO00057</x:v>
      </x:c>
      <x:c r="C58" t="str">
        <x:v>Q00089</x:v>
      </x:c>
      <x:c r="D58" t="str">
        <x:v>AFT-006</x:v>
      </x:c>
      <x:c r="E58" t="str">
        <x:v>S01</x:v>
      </x:c>
      <x:c r="F58" t="str">
        <x:v>AUTO-KN-A</x:v>
      </x:c>
      <x:c r="G58" t="str">
        <x:v>汽車精密零組件</x:v>
      </x:c>
      <x:c r="H58" s="20" t="n">
        <x:v>45281</x:v>
      </x:c>
      <x:c r="I58" t="n">
        <x:v>3000</x:v>
      </x:c>
      <x:c r="J58" t="n">
        <x:v>2865.64</x:v>
      </x:c>
      <x:c r="K58" t="str">
        <x:v>TWD</x:v>
      </x:c>
      <x:c r="L58" s="20" t="n">
        <x:v>45302</x:v>
      </x:c>
      <x:c r="M58" s="20" t="n">
        <x:v>45303</x:v>
      </x:c>
      <x:c r="N58" t="str">
        <x:v>否</x:v>
      </x:c>
      <x:c r="O58" t="str">
        <x:v>一般</x:v>
      </x:c>
      <x:c r="P58" t="str">
        <x:v>部分出貨</x:v>
      </x:c>
    </x:row>
    <x:row r="59" ht="20" customHeight="1">
      <x:c r="A59" t="str">
        <x:v>SO00058-01</x:v>
      </x:c>
      <x:c r="B59" t="str">
        <x:v>SO00058</x:v>
      </x:c>
      <x:c r="C59" t="str">
        <x:v>Q00091</x:v>
      </x:c>
      <x:c r="D59" t="str">
        <x:v>EMS-006</x:v>
      </x:c>
      <x:c r="E59" t="str">
        <x:v>S03</x:v>
      </x:c>
      <x:c r="F59" t="str">
        <x:v>AUTO-BRK-B</x:v>
      </x:c>
      <x:c r="G59" t="str">
        <x:v>汽車精密零組件</x:v>
      </x:c>
      <x:c r="H59" s="20" t="n">
        <x:v>45299</x:v>
      </x:c>
      <x:c r="I59" t="n">
        <x:v>5000</x:v>
      </x:c>
      <x:c r="J59" t="n">
        <x:v>2145.68</x:v>
      </x:c>
      <x:c r="K59" t="str">
        <x:v>TWD</x:v>
      </x:c>
      <x:c r="L59" s="20" t="n">
        <x:v>45315</x:v>
      </x:c>
      <x:c r="M59" s="20" t="n">
        <x:v>45319</x:v>
      </x:c>
      <x:c r="N59" t="str">
        <x:v>是</x:v>
      </x:c>
      <x:c r="O59" t="str">
        <x:v>重要</x:v>
      </x:c>
      <x:c r="P59" t="str">
        <x:v>部分出貨</x:v>
      </x:c>
    </x:row>
    <x:row r="60" ht="20" customHeight="1">
      <x:c r="A60" t="str">
        <x:v>SO00059-01</x:v>
      </x:c>
      <x:c r="B60" t="str">
        <x:v>SO00059</x:v>
      </x:c>
      <x:c r="C60" t="str">
        <x:v>Q00092</x:v>
      </x:c>
      <x:c r="D60" t="str">
        <x:v>AUT-013</x:v>
      </x:c>
      <x:c r="E60" t="str">
        <x:v>S01</x:v>
      </x:c>
      <x:c r="F60" t="str">
        <x:v>AUTO-MH-B</x:v>
      </x:c>
      <x:c r="G60" t="str">
        <x:v>汽車精密零組件</x:v>
      </x:c>
      <x:c r="H60" s="20" t="n">
        <x:v>45291</x:v>
      </x:c>
      <x:c r="I60" t="n">
        <x:v>7000</x:v>
      </x:c>
      <x:c r="J60" t="n">
        <x:v>2977.8</x:v>
      </x:c>
      <x:c r="K60" t="str">
        <x:v>TWD</x:v>
      </x:c>
      <x:c r="L60" s="20" t="n">
        <x:v>45310</x:v>
      </x:c>
      <x:c r="M60" s="20" t="n">
        <x:v>45313</x:v>
      </x:c>
      <x:c r="N60" t="str">
        <x:v>是</x:v>
      </x:c>
      <x:c r="O60" t="str">
        <x:v>重要</x:v>
      </x:c>
      <x:c r="P60" t="str">
        <x:v>部分出貨</x:v>
      </x:c>
    </x:row>
    <x:row r="61" ht="20" customHeight="1">
      <x:c r="A61" t="str">
        <x:v>SO00060-01</x:v>
      </x:c>
      <x:c r="B61" t="str">
        <x:v>SO00060</x:v>
      </x:c>
      <x:c r="C61" t="str">
        <x:v>Q00094</x:v>
      </x:c>
      <x:c r="D61" t="str">
        <x:v>IAT-002</x:v>
      </x:c>
      <x:c r="E61" t="str">
        <x:v>S01</x:v>
      </x:c>
      <x:c r="F61" t="str">
        <x:v>SEMI-WH-B</x:v>
      </x:c>
      <x:c r="G61" t="str">
        <x:v>半導體設備零組件</x:v>
      </x:c>
      <x:c r="H61" s="20" t="n">
        <x:v>45289</x:v>
      </x:c>
      <x:c r="I61" t="n">
        <x:v>120</x:v>
      </x:c>
      <x:c r="J61" t="n">
        <x:v>161059.88</x:v>
      </x:c>
      <x:c r="K61" t="str">
        <x:v>TWD</x:v>
      </x:c>
      <x:c r="L61" s="20" t="n">
        <x:v>45333</x:v>
      </x:c>
      <x:c r="M61" s="20" t="n">
        <x:v>45345</x:v>
      </x:c>
      <x:c r="N61" t="str">
        <x:v>是</x:v>
      </x:c>
      <x:c r="O61" t="str">
        <x:v>一般</x:v>
      </x:c>
      <x:c r="P61" t="str">
        <x:v>部分出貨</x:v>
      </x:c>
    </x:row>
    <x:row r="62" ht="20" customHeight="1">
      <x:c r="A62" t="str">
        <x:v>SO00061-01</x:v>
      </x:c>
      <x:c r="B62" t="str">
        <x:v>SO00061</x:v>
      </x:c>
      <x:c r="C62" t="str">
        <x:v>Q00097</x:v>
      </x:c>
      <x:c r="D62" t="str">
        <x:v>EMS-007</x:v>
      </x:c>
      <x:c r="E62" t="str">
        <x:v>S04</x:v>
      </x:c>
      <x:c r="F62" t="str">
        <x:v>PM-VAC-A</x:v>
      </x:c>
      <x:c r="G62" t="str">
        <x:v>精密金屬加工件</x:v>
      </x:c>
      <x:c r="H62" s="20" t="n">
        <x:v>45274</x:v>
      </x:c>
      <x:c r="I62" t="n">
        <x:v>300</x:v>
      </x:c>
      <x:c r="J62" t="n">
        <x:v>16421.41</x:v>
      </x:c>
      <x:c r="K62" t="str">
        <x:v>TWD</x:v>
      </x:c>
      <x:c r="L62" s="20" t="n">
        <x:v>45300</x:v>
      </x:c>
      <x:c r="M62" s="20" t="n">
        <x:v>45305</x:v>
      </x:c>
      <x:c r="N62" t="str">
        <x:v>否</x:v>
      </x:c>
      <x:c r="O62" t="str">
        <x:v>一般</x:v>
      </x:c>
      <x:c r="P62" t="str">
        <x:v>部分出貨</x:v>
      </x:c>
    </x:row>
    <x:row r="63" ht="20" customHeight="1">
      <x:c r="A63" t="str">
        <x:v>SO00062-01</x:v>
      </x:c>
      <x:c r="B63" t="str">
        <x:v>SO00062</x:v>
      </x:c>
      <x:c r="C63" t="str">
        <x:v>Q00100</x:v>
      </x:c>
      <x:c r="D63" t="str">
        <x:v>AUT-009</x:v>
      </x:c>
      <x:c r="E63" t="str">
        <x:v>S04</x:v>
      </x:c>
      <x:c r="F63" t="str">
        <x:v>AUTO-FL-A</x:v>
      </x:c>
      <x:c r="G63" t="str">
        <x:v>汽車精密零組件</x:v>
      </x:c>
      <x:c r="H63" s="20" t="n">
        <x:v>45281</x:v>
      </x:c>
      <x:c r="I63" t="n">
        <x:v>5000</x:v>
      </x:c>
      <x:c r="J63" t="n">
        <x:v>1273.32</x:v>
      </x:c>
      <x:c r="K63" t="str">
        <x:v>TWD</x:v>
      </x:c>
      <x:c r="L63" s="20" t="n">
        <x:v>45294</x:v>
      </x:c>
      <x:c r="M63" s="20" t="n">
        <x:v>45296</x:v>
      </x:c>
      <x:c r="N63" t="str">
        <x:v>是</x:v>
      </x:c>
      <x:c r="O63" t="str">
        <x:v>重要</x:v>
      </x:c>
      <x:c r="P63" t="str">
        <x:v>部分出貨</x:v>
      </x:c>
    </x:row>
    <x:row r="64" ht="20" customHeight="1">
      <x:c r="A64" t="str">
        <x:v>SO00063-01</x:v>
      </x:c>
      <x:c r="B64" t="str">
        <x:v>SO00063</x:v>
      </x:c>
      <x:c r="C64" t="str">
        <x:v>Q00101</x:v>
      </x:c>
      <x:c r="D64" t="str">
        <x:v>AUT-014</x:v>
      </x:c>
      <x:c r="E64" t="str">
        <x:v>S06</x:v>
      </x:c>
      <x:c r="F64" t="str">
        <x:v>AUTO-BS-B</x:v>
      </x:c>
      <x:c r="G64" t="str">
        <x:v>汽車精密零組件</x:v>
      </x:c>
      <x:c r="H64" s="20" t="n">
        <x:v>45274</x:v>
      </x:c>
      <x:c r="I64" t="n">
        <x:v>3000</x:v>
      </x:c>
      <x:c r="J64" t="n">
        <x:v>879.54</x:v>
      </x:c>
      <x:c r="K64" t="str">
        <x:v>TWD</x:v>
      </x:c>
      <x:c r="L64" s="20" t="n">
        <x:v>45289</x:v>
      </x:c>
      <x:c r="M64" s="20" t="n">
        <x:v>45290</x:v>
      </x:c>
      <x:c r="N64" t="str">
        <x:v>是</x:v>
      </x:c>
      <x:c r="O64" t="str">
        <x:v>重要</x:v>
      </x:c>
      <x:c r="P64" t="str">
        <x:v>部分出貨</x:v>
      </x:c>
    </x:row>
    <x:row r="65" ht="20" customHeight="1">
      <x:c r="A65" t="str">
        <x:v>SO00064-01</x:v>
      </x:c>
      <x:c r="B65" t="str">
        <x:v>SO00064</x:v>
      </x:c>
      <x:c r="C65" t="str">
        <x:v>Q00102</x:v>
      </x:c>
      <x:c r="D65" t="str">
        <x:v>IAT-005</x:v>
      </x:c>
      <x:c r="E65" t="str">
        <x:v>S02</x:v>
      </x:c>
      <x:c r="F65" t="str">
        <x:v>AUTO-BS-A</x:v>
      </x:c>
      <x:c r="G65" t="str">
        <x:v>汽車精密零組件</x:v>
      </x:c>
      <x:c r="H65" s="20" t="n">
        <x:v>45274</x:v>
      </x:c>
      <x:c r="I65" t="n">
        <x:v>10000</x:v>
      </x:c>
      <x:c r="J65" t="n">
        <x:v>795.98</x:v>
      </x:c>
      <x:c r="K65" t="str">
        <x:v>TWD</x:v>
      </x:c>
      <x:c r="L65" s="20" t="n">
        <x:v>45286</x:v>
      </x:c>
      <x:c r="M65" s="20" t="n">
        <x:v>45287</x:v>
      </x:c>
      <x:c r="N65" t="str">
        <x:v>否</x:v>
      </x:c>
      <x:c r="O65" t="str">
        <x:v>一般</x:v>
      </x:c>
      <x:c r="P65" t="str">
        <x:v>部分出貨</x:v>
      </x:c>
    </x:row>
    <x:row r="66" ht="20" customHeight="1">
      <x:c r="A66" t="str">
        <x:v>SO00065-01</x:v>
      </x:c>
      <x:c r="B66" t="str">
        <x:v>SO00065</x:v>
      </x:c>
      <x:c r="C66" t="str">
        <x:v>Q00103</x:v>
      </x:c>
      <x:c r="D66" t="str">
        <x:v>AUT-014</x:v>
      </x:c>
      <x:c r="E66" t="str">
        <x:v>S06</x:v>
      </x:c>
      <x:c r="F66" t="str">
        <x:v>AUTO-KN-B</x:v>
      </x:c>
      <x:c r="G66" t="str">
        <x:v>汽車精密零組件</x:v>
      </x:c>
      <x:c r="H66" s="20" t="n">
        <x:v>45267</x:v>
      </x:c>
      <x:c r="I66" t="n">
        <x:v>5000</x:v>
      </x:c>
      <x:c r="J66" t="n">
        <x:v>3661.2</x:v>
      </x:c>
      <x:c r="K66" t="str">
        <x:v>TWD</x:v>
      </x:c>
      <x:c r="L66" s="20" t="n">
        <x:v>45290</x:v>
      </x:c>
      <x:c r="M66" s="20" t="n">
        <x:v>45292</x:v>
      </x:c>
      <x:c r="N66" t="str">
        <x:v>否</x:v>
      </x:c>
      <x:c r="O66" t="str">
        <x:v>重要</x:v>
      </x:c>
      <x:c r="P66" t="str">
        <x:v>部分出貨</x:v>
      </x:c>
    </x:row>
    <x:row r="67" ht="20" customHeight="1">
      <x:c r="A67" t="str">
        <x:v>SO00066-01</x:v>
      </x:c>
      <x:c r="B67" t="str">
        <x:v>SO00066</x:v>
      </x:c>
      <x:c r="C67" t="str">
        <x:v>Q00104</x:v>
      </x:c>
      <x:c r="D67" t="str">
        <x:v>AUT-008</x:v>
      </x:c>
      <x:c r="E67" t="str">
        <x:v>S01</x:v>
      </x:c>
      <x:c r="F67" t="str">
        <x:v>AUTO-BS-A</x:v>
      </x:c>
      <x:c r="G67" t="str">
        <x:v>汽車精密零組件</x:v>
      </x:c>
      <x:c r="H67" s="20" t="n">
        <x:v>45279</x:v>
      </x:c>
      <x:c r="I67" t="n">
        <x:v>7000</x:v>
      </x:c>
      <x:c r="J67" t="n">
        <x:v>725.45</x:v>
      </x:c>
      <x:c r="K67" t="str">
        <x:v>TWD</x:v>
      </x:c>
      <x:c r="L67" s="20" t="n">
        <x:v>45293</x:v>
      </x:c>
      <x:c r="M67" s="20" t="n">
        <x:v>45293</x:v>
      </x:c>
      <x:c r="N67" t="str">
        <x:v>否</x:v>
      </x:c>
      <x:c r="O67" t="str">
        <x:v>重要</x:v>
      </x:c>
      <x:c r="P67" t="str">
        <x:v>部分出貨</x:v>
      </x:c>
    </x:row>
    <x:row r="68" ht="20" customHeight="1">
      <x:c r="A68" t="str">
        <x:v>SO00067-01</x:v>
      </x:c>
      <x:c r="B68" t="str">
        <x:v>SO00067</x:v>
      </x:c>
      <x:c r="C68" t="str">
        <x:v>Q00105</x:v>
      </x:c>
      <x:c r="D68" t="str">
        <x:v>SEM-008</x:v>
      </x:c>
      <x:c r="E68" t="str">
        <x:v>S04</x:v>
      </x:c>
      <x:c r="F68" t="str">
        <x:v>PM-ALB-A</x:v>
      </x:c>
      <x:c r="G68" t="str">
        <x:v>精密金屬加工件</x:v>
      </x:c>
      <x:c r="H68" s="20" t="n">
        <x:v>45295</x:v>
      </x:c>
      <x:c r="I68" t="n">
        <x:v>300</x:v>
      </x:c>
      <x:c r="J68" t="n">
        <x:v>9830.9</x:v>
      </x:c>
      <x:c r="K68" t="str">
        <x:v>TWD</x:v>
      </x:c>
      <x:c r="L68" s="20" t="n">
        <x:v>45316</x:v>
      </x:c>
      <x:c r="M68" s="20" t="n">
        <x:v>45318</x:v>
      </x:c>
      <x:c r="N68" t="str">
        <x:v>否</x:v>
      </x:c>
      <x:c r="O68" t="str">
        <x:v>VIP</x:v>
      </x:c>
      <x:c r="P68" t="str">
        <x:v>部分出貨</x:v>
      </x:c>
    </x:row>
    <x:row r="69" ht="20" customHeight="1">
      <x:c r="A69" t="str">
        <x:v>SO00068-01</x:v>
      </x:c>
      <x:c r="B69" t="str">
        <x:v>SO00068</x:v>
      </x:c>
      <x:c r="C69" t="str">
        <x:v>Q00107</x:v>
      </x:c>
      <x:c r="D69" t="str">
        <x:v>AUT-003</x:v>
      </x:c>
      <x:c r="E69" t="str">
        <x:v>S03</x:v>
      </x:c>
      <x:c r="F69" t="str">
        <x:v>AUTO-KN-B</x:v>
      </x:c>
      <x:c r="G69" t="str">
        <x:v>汽車精密零組件</x:v>
      </x:c>
      <x:c r="H69" s="20" t="n">
        <x:v>45275</x:v>
      </x:c>
      <x:c r="I69" t="n">
        <x:v>5000</x:v>
      </x:c>
      <x:c r="J69" t="n">
        <x:v>3408.76</x:v>
      </x:c>
      <x:c r="K69" t="str">
        <x:v>TWD</x:v>
      </x:c>
      <x:c r="L69" s="20" t="n">
        <x:v>45298</x:v>
      </x:c>
      <x:c r="M69" s="20" t="n">
        <x:v>45302</x:v>
      </x:c>
      <x:c r="N69" t="str">
        <x:v>否</x:v>
      </x:c>
      <x:c r="O69" t="str">
        <x:v>VIP</x:v>
      </x:c>
      <x:c r="P69" t="str">
        <x:v>部分出貨</x:v>
      </x:c>
    </x:row>
    <x:row r="70" ht="20" customHeight="1">
      <x:c r="A70" t="str">
        <x:v>SO00069-01</x:v>
      </x:c>
      <x:c r="B70" t="str">
        <x:v>SO00069</x:v>
      </x:c>
      <x:c r="C70" t="str">
        <x:v>Q00109</x:v>
      </x:c>
      <x:c r="D70" t="str">
        <x:v>AFT-002</x:v>
      </x:c>
      <x:c r="E70" t="str">
        <x:v>S04</x:v>
      </x:c>
      <x:c r="F70" t="str">
        <x:v>PM-SUS-B</x:v>
      </x:c>
      <x:c r="G70" t="str">
        <x:v>精密金屬加工件</x:v>
      </x:c>
      <x:c r="H70" s="20" t="n">
        <x:v>45286</x:v>
      </x:c>
      <x:c r="I70" t="n">
        <x:v>300</x:v>
      </x:c>
      <x:c r="J70" t="n">
        <x:v>14960.46</x:v>
      </x:c>
      <x:c r="K70" t="str">
        <x:v>TWD</x:v>
      </x:c>
      <x:c r="L70" s="20" t="n">
        <x:v>45314</x:v>
      </x:c>
      <x:c r="M70" s="20" t="n">
        <x:v>45314</x:v>
      </x:c>
      <x:c r="N70" t="str">
        <x:v>否</x:v>
      </x:c>
      <x:c r="O70" t="str">
        <x:v>一般</x:v>
      </x:c>
      <x:c r="P70" t="str">
        <x:v>部分出貨</x:v>
      </x:c>
    </x:row>
    <x:row r="71" ht="20" customHeight="1">
      <x:c r="A71" t="str">
        <x:v>SO00070-01</x:v>
      </x:c>
      <x:c r="B71" t="str">
        <x:v>SO00070</x:v>
      </x:c>
      <x:c r="C71" t="str">
        <x:v>Q00110</x:v>
      </x:c>
      <x:c r="D71" t="str">
        <x:v>AUT-004</x:v>
      </x:c>
      <x:c r="E71" t="str">
        <x:v>S03</x:v>
      </x:c>
      <x:c r="F71" t="str">
        <x:v>AUTO-BS-B</x:v>
      </x:c>
      <x:c r="G71" t="str">
        <x:v>汽車精密零組件</x:v>
      </x:c>
      <x:c r="H71" s="20" t="n">
        <x:v>45275</x:v>
      </x:c>
      <x:c r="I71" t="n">
        <x:v>13000</x:v>
      </x:c>
      <x:c r="J71" t="n">
        <x:v>941.71</x:v>
      </x:c>
      <x:c r="K71" t="str">
        <x:v>TWD</x:v>
      </x:c>
      <x:c r="L71" s="20" t="n">
        <x:v>45287</x:v>
      </x:c>
      <x:c r="M71" s="20" t="n">
        <x:v>45290</x:v>
      </x:c>
      <x:c r="N71" t="str">
        <x:v>是</x:v>
      </x:c>
      <x:c r="O71" t="str">
        <x:v>VIP</x:v>
      </x:c>
      <x:c r="P71" t="str">
        <x:v>部分出貨</x:v>
      </x:c>
    </x:row>
    <x:row r="72" ht="20" customHeight="1">
      <x:c r="A72" t="str">
        <x:v>SO00071-01</x:v>
      </x:c>
      <x:c r="B72" t="str">
        <x:v>SO00071</x:v>
      </x:c>
      <x:c r="C72" t="str">
        <x:v>Q00112</x:v>
      </x:c>
      <x:c r="D72" t="str">
        <x:v>EMS-001</x:v>
      </x:c>
      <x:c r="E72" t="str">
        <x:v>S02</x:v>
      </x:c>
      <x:c r="F72" t="str">
        <x:v>AUTO-BS-A</x:v>
      </x:c>
      <x:c r="G72" t="str">
        <x:v>汽車精密零組件</x:v>
      </x:c>
      <x:c r="H72" s="20" t="n">
        <x:v>45273</x:v>
      </x:c>
      <x:c r="I72" t="n">
        <x:v>10000</x:v>
      </x:c>
      <x:c r="J72" t="n">
        <x:v>723.29</x:v>
      </x:c>
      <x:c r="K72" t="str">
        <x:v>TWD</x:v>
      </x:c>
      <x:c r="L72" s="20" t="n">
        <x:v>45287</x:v>
      </x:c>
      <x:c r="M72" s="20" t="n">
        <x:v>45287</x:v>
      </x:c>
      <x:c r="N72" t="str">
        <x:v>否</x:v>
      </x:c>
      <x:c r="O72" t="str">
        <x:v>一般</x:v>
      </x:c>
      <x:c r="P72" t="str">
        <x:v>部分出貨</x:v>
      </x:c>
    </x:row>
    <x:row r="73" ht="20" customHeight="1">
      <x:c r="A73" t="str">
        <x:v>SO00072-01</x:v>
      </x:c>
      <x:c r="B73" t="str">
        <x:v>SO00072</x:v>
      </x:c>
      <x:c r="C73" t="str">
        <x:v>Q00113</x:v>
      </x:c>
      <x:c r="D73" t="str">
        <x:v>EMS-003</x:v>
      </x:c>
      <x:c r="E73" t="str">
        <x:v>S05</x:v>
      </x:c>
      <x:c r="F73" t="str">
        <x:v>SEMI-WH-B</x:v>
      </x:c>
      <x:c r="G73" t="str">
        <x:v>半導體設備零組件</x:v>
      </x:c>
      <x:c r="H73" s="20" t="n">
        <x:v>45302</x:v>
      </x:c>
      <x:c r="I73" t="n">
        <x:v>80</x:v>
      </x:c>
      <x:c r="J73" t="n">
        <x:v>163207</x:v>
      </x:c>
      <x:c r="K73" t="str">
        <x:v>TWD</x:v>
      </x:c>
      <x:c r="L73" s="20" t="n">
        <x:v>45367</x:v>
      </x:c>
      <x:c r="M73" s="20" t="n">
        <x:v>45367</x:v>
      </x:c>
      <x:c r="N73" t="str">
        <x:v>否</x:v>
      </x:c>
      <x:c r="O73" t="str">
        <x:v>一般</x:v>
      </x:c>
      <x:c r="P73" t="str">
        <x:v>部分出貨</x:v>
      </x:c>
    </x:row>
    <x:row r="74" ht="20" customHeight="1">
      <x:c r="A74" t="str">
        <x:v>SO00073-01</x:v>
      </x:c>
      <x:c r="B74" t="str">
        <x:v>SO00073</x:v>
      </x:c>
      <x:c r="C74" t="str">
        <x:v>Q00114</x:v>
      </x:c>
      <x:c r="D74" t="str">
        <x:v>AUT-005</x:v>
      </x:c>
      <x:c r="E74" t="str">
        <x:v>S04</x:v>
      </x:c>
      <x:c r="F74" t="str">
        <x:v>PM-ALB-B</x:v>
      </x:c>
      <x:c r="G74" t="str">
        <x:v>精密金屬加工件</x:v>
      </x:c>
      <x:c r="H74" s="20" t="n">
        <x:v>45273</x:v>
      </x:c>
      <x:c r="I74" t="n">
        <x:v>1600</x:v>
      </x:c>
      <x:c r="J74" t="n">
        <x:v>14999.33</x:v>
      </x:c>
      <x:c r="K74" t="str">
        <x:v>TWD</x:v>
      </x:c>
      <x:c r="L74" s="20" t="n">
        <x:v>45301</x:v>
      </x:c>
      <x:c r="M74" s="20" t="n">
        <x:v>45302</x:v>
      </x:c>
      <x:c r="N74" t="str">
        <x:v>否</x:v>
      </x:c>
      <x:c r="O74" t="str">
        <x:v>VIP</x:v>
      </x:c>
      <x:c r="P74" t="str">
        <x:v>部分出貨</x:v>
      </x:c>
    </x:row>
    <x:row r="75" ht="20" customHeight="1">
      <x:c r="A75" t="str">
        <x:v>SO00074-01</x:v>
      </x:c>
      <x:c r="B75" t="str">
        <x:v>SO00074</x:v>
      </x:c>
      <x:c r="C75" t="str">
        <x:v>Q00116</x:v>
      </x:c>
      <x:c r="D75" t="str">
        <x:v>AUT-007</x:v>
      </x:c>
      <x:c r="E75" t="str">
        <x:v>S04</x:v>
      </x:c>
      <x:c r="F75" t="str">
        <x:v>PM-BRG-A</x:v>
      </x:c>
      <x:c r="G75" t="str">
        <x:v>精密金屬加工件</x:v>
      </x:c>
      <x:c r="H75" s="20" t="n">
        <x:v>45317</x:v>
      </x:c>
      <x:c r="I75" t="n">
        <x:v>300</x:v>
      </x:c>
      <x:c r="J75" t="n">
        <x:v>6975.36</x:v>
      </x:c>
      <x:c r="K75" t="str">
        <x:v>TWD</x:v>
      </x:c>
      <x:c r="L75" s="20" t="n">
        <x:v>45332</x:v>
      </x:c>
      <x:c r="M75" s="20" t="n">
        <x:v>45336</x:v>
      </x:c>
      <x:c r="N75" t="str">
        <x:v>是</x:v>
      </x:c>
      <x:c r="O75" t="str">
        <x:v>一般</x:v>
      </x:c>
      <x:c r="P75" t="str">
        <x:v>部分出貨</x:v>
      </x:c>
    </x:row>
    <x:row r="76" ht="20" customHeight="1">
      <x:c r="A76" t="str">
        <x:v>SO00075-01</x:v>
      </x:c>
      <x:c r="B76" t="str">
        <x:v>SO00075</x:v>
      </x:c>
      <x:c r="C76" t="str">
        <x:v>Q00117</x:v>
      </x:c>
      <x:c r="D76" t="str">
        <x:v>EMS-006</x:v>
      </x:c>
      <x:c r="E76" t="str">
        <x:v>S03</x:v>
      </x:c>
      <x:c r="F76" t="str">
        <x:v>AUTO-BRK-A</x:v>
      </x:c>
      <x:c r="G76" t="str">
        <x:v>汽車精密零組件</x:v>
      </x:c>
      <x:c r="H76" s="20" t="n">
        <x:v>45302</x:v>
      </x:c>
      <x:c r="I76" t="n">
        <x:v>7000</x:v>
      </x:c>
      <x:c r="J76" t="n">
        <x:v>1821.77</x:v>
      </x:c>
      <x:c r="K76" t="str">
        <x:v>TWD</x:v>
      </x:c>
      <x:c r="L76" s="20" t="n">
        <x:v>45316</x:v>
      </x:c>
      <x:c r="M76" s="20" t="n">
        <x:v>45321</x:v>
      </x:c>
      <x:c r="N76" t="str">
        <x:v>是</x:v>
      </x:c>
      <x:c r="O76" t="str">
        <x:v>重要</x:v>
      </x:c>
      <x:c r="P76" t="str">
        <x:v>部分出貨</x:v>
      </x:c>
    </x:row>
    <x:row r="77" ht="20" customHeight="1">
      <x:c r="A77" t="str">
        <x:v>SO00076-01</x:v>
      </x:c>
      <x:c r="B77" t="str">
        <x:v>SO00076</x:v>
      </x:c>
      <x:c r="C77" t="str">
        <x:v>Q00118</x:v>
      </x:c>
      <x:c r="D77" t="str">
        <x:v>IAT-004</x:v>
      </x:c>
      <x:c r="E77" t="str">
        <x:v>S05</x:v>
      </x:c>
      <x:c r="F77" t="str">
        <x:v>AUTO-BRK-A</x:v>
      </x:c>
      <x:c r="G77" t="str">
        <x:v>汽車精密零組件</x:v>
      </x:c>
      <x:c r="H77" s="20" t="n">
        <x:v>45315</x:v>
      </x:c>
      <x:c r="I77" t="n">
        <x:v>13000</x:v>
      </x:c>
      <x:c r="J77" t="n">
        <x:v>1655.69</x:v>
      </x:c>
      <x:c r="K77" t="str">
        <x:v>TWD</x:v>
      </x:c>
      <x:c r="L77" s="20" t="n">
        <x:v>45331</x:v>
      </x:c>
      <x:c r="M77" s="20" t="n">
        <x:v>45332</x:v>
      </x:c>
      <x:c r="N77" t="str">
        <x:v>否</x:v>
      </x:c>
      <x:c r="O77" t="str">
        <x:v>重要</x:v>
      </x:c>
      <x:c r="P77" t="str">
        <x:v>部分出貨</x:v>
      </x:c>
    </x:row>
    <x:row r="78" ht="20" customHeight="1">
      <x:c r="A78" t="str">
        <x:v>SO00077-01</x:v>
      </x:c>
      <x:c r="B78" t="str">
        <x:v>SO00077</x:v>
      </x:c>
      <x:c r="C78" t="str">
        <x:v>Q00119</x:v>
      </x:c>
      <x:c r="D78" t="str">
        <x:v>IAT-007</x:v>
      </x:c>
      <x:c r="E78" t="str">
        <x:v>S04</x:v>
      </x:c>
      <x:c r="F78" t="str">
        <x:v>MECH-STG-A</x:v>
      </x:c>
      <x:c r="G78" t="str">
        <x:v>機電／自動化模組</x:v>
      </x:c>
      <x:c r="H78" s="20" t="n">
        <x:v>45325</x:v>
      </x:c>
      <x:c r="I78" t="n">
        <x:v>50</x:v>
      </x:c>
      <x:c r="J78" t="n">
        <x:v>134354.83</x:v>
      </x:c>
      <x:c r="K78" t="str">
        <x:v>TWD</x:v>
      </x:c>
      <x:c r="L78" s="20" t="n">
        <x:v>45365</x:v>
      </x:c>
      <x:c r="M78" s="20" t="n">
        <x:v>45365</x:v>
      </x:c>
      <x:c r="N78" t="str">
        <x:v>否</x:v>
      </x:c>
      <x:c r="O78" t="str">
        <x:v>重要</x:v>
      </x:c>
      <x:c r="P78" t="str">
        <x:v>已出貨</x:v>
      </x:c>
    </x:row>
    <x:row r="79" ht="20" customHeight="1">
      <x:c r="A79" t="str">
        <x:v>SO00078-01</x:v>
      </x:c>
      <x:c r="B79" t="str">
        <x:v>SO00078</x:v>
      </x:c>
      <x:c r="C79" t="str">
        <x:v>Q00120</x:v>
      </x:c>
      <x:c r="D79" t="str">
        <x:v>IAT-002</x:v>
      </x:c>
      <x:c r="E79" t="str">
        <x:v>S01</x:v>
      </x:c>
      <x:c r="F79" t="str">
        <x:v>PM-SUS-A</x:v>
      </x:c>
      <x:c r="G79" t="str">
        <x:v>精密金屬加工件</x:v>
      </x:c>
      <x:c r="H79" s="20" t="n">
        <x:v>45307</x:v>
      </x:c>
      <x:c r="I79" t="n">
        <x:v>1200</x:v>
      </x:c>
      <x:c r="J79" t="n">
        <x:v>10613.43</x:v>
      </x:c>
      <x:c r="K79" t="str">
        <x:v>TWD</x:v>
      </x:c>
      <x:c r="L79" s="20" t="n">
        <x:v>45329</x:v>
      </x:c>
      <x:c r="M79" s="20" t="n">
        <x:v>45330</x:v>
      </x:c>
      <x:c r="N79" t="str">
        <x:v>否</x:v>
      </x:c>
      <x:c r="O79" t="str">
        <x:v>一般</x:v>
      </x:c>
      <x:c r="P79" t="str">
        <x:v>部分出貨</x:v>
      </x:c>
    </x:row>
    <x:row r="80" ht="20" customHeight="1">
      <x:c r="A80" t="str">
        <x:v>SO00079-01</x:v>
      </x:c>
      <x:c r="B80" t="str">
        <x:v>SO00079</x:v>
      </x:c>
      <x:c r="C80" t="str">
        <x:v>Q00121</x:v>
      </x:c>
      <x:c r="D80" t="str">
        <x:v>AUT-009</x:v>
      </x:c>
      <x:c r="E80" t="str">
        <x:v>S04</x:v>
      </x:c>
      <x:c r="F80" t="str">
        <x:v>PM-BRG-A</x:v>
      </x:c>
      <x:c r="G80" t="str">
        <x:v>精密金屬加工件</x:v>
      </x:c>
      <x:c r="H80" s="20" t="n">
        <x:v>45301</x:v>
      </x:c>
      <x:c r="I80" t="n">
        <x:v>1600</x:v>
      </x:c>
      <x:c r="J80" t="n">
        <x:v>6961.29</x:v>
      </x:c>
      <x:c r="K80" t="str">
        <x:v>TWD</x:v>
      </x:c>
      <x:c r="L80" s="20" t="n">
        <x:v>45320</x:v>
      </x:c>
      <x:c r="M80" s="20" t="n">
        <x:v>45320</x:v>
      </x:c>
      <x:c r="N80" t="str">
        <x:v>否</x:v>
      </x:c>
      <x:c r="O80" t="str">
        <x:v>重要</x:v>
      </x:c>
      <x:c r="P80" t="str">
        <x:v>部分出貨</x:v>
      </x:c>
    </x:row>
    <x:row r="81" ht="20" customHeight="1">
      <x:c r="A81" t="str">
        <x:v>SO00080-01</x:v>
      </x:c>
      <x:c r="B81" t="str">
        <x:v>SO00080</x:v>
      </x:c>
      <x:c r="C81" t="str">
        <x:v>Q00122</x:v>
      </x:c>
      <x:c r="D81" t="str">
        <x:v>SEM-002</x:v>
      </x:c>
      <x:c r="E81" t="str">
        <x:v>S02</x:v>
      </x:c>
      <x:c r="F81" t="str">
        <x:v>PM-VAC-B</x:v>
      </x:c>
      <x:c r="G81" t="str">
        <x:v>精密金屬加工件</x:v>
      </x:c>
      <x:c r="H81" s="20" t="n">
        <x:v>45328</x:v>
      </x:c>
      <x:c r="I81" t="n">
        <x:v>1600</x:v>
      </x:c>
      <x:c r="J81" t="n">
        <x:v>23009.88</x:v>
      </x:c>
      <x:c r="K81" t="str">
        <x:v>TWD</x:v>
      </x:c>
      <x:c r="L81" s="20" t="n">
        <x:v>45361</x:v>
      </x:c>
      <x:c r="M81" s="20" t="n">
        <x:v>45363</x:v>
      </x:c>
      <x:c r="N81" t="str">
        <x:v>否</x:v>
      </x:c>
      <x:c r="O81" t="str">
        <x:v>重要</x:v>
      </x:c>
      <x:c r="P81" t="str">
        <x:v>部分出貨</x:v>
      </x:c>
    </x:row>
    <x:row r="82" ht="20" customHeight="1">
      <x:c r="A82" t="str">
        <x:v>SO00081-01</x:v>
      </x:c>
      <x:c r="B82" t="str">
        <x:v>SO00081</x:v>
      </x:c>
      <x:c r="C82" t="str">
        <x:v>Q00124</x:v>
      </x:c>
      <x:c r="D82" t="str">
        <x:v>SEM-010</x:v>
      </x:c>
      <x:c r="E82" t="str">
        <x:v>S01</x:v>
      </x:c>
      <x:c r="F82" t="str">
        <x:v>PM-BRG-B</x:v>
      </x:c>
      <x:c r="G82" t="str">
        <x:v>精密金屬加工件</x:v>
      </x:c>
      <x:c r="H82" s="20" t="n">
        <x:v>45297</x:v>
      </x:c>
      <x:c r="I82" t="n">
        <x:v>800</x:v>
      </x:c>
      <x:c r="J82" t="n">
        <x:v>7960.84</x:v>
      </x:c>
      <x:c r="K82" t="str">
        <x:v>TWD</x:v>
      </x:c>
      <x:c r="L82" s="20" t="n">
        <x:v>45320</x:v>
      </x:c>
      <x:c r="M82" s="20" t="n">
        <x:v>45320</x:v>
      </x:c>
      <x:c r="N82" t="str">
        <x:v>否</x:v>
      </x:c>
      <x:c r="O82" t="str">
        <x:v>一般</x:v>
      </x:c>
      <x:c r="P82" t="str">
        <x:v>部分出貨</x:v>
      </x:c>
    </x:row>
    <x:row r="83" ht="20" customHeight="1">
      <x:c r="A83" t="str">
        <x:v>SO00082-01</x:v>
      </x:c>
      <x:c r="B83" t="str">
        <x:v>SO00082</x:v>
      </x:c>
      <x:c r="C83" t="str">
        <x:v>Q00126</x:v>
      </x:c>
      <x:c r="D83" t="str">
        <x:v>AFT-007</x:v>
      </x:c>
      <x:c r="E83" t="str">
        <x:v>S04</x:v>
      </x:c>
      <x:c r="F83" t="str">
        <x:v>PM-VAC-A</x:v>
      </x:c>
      <x:c r="G83" t="str">
        <x:v>精密金屬加工件</x:v>
      </x:c>
      <x:c r="H83" s="20" t="n">
        <x:v>45305</x:v>
      </x:c>
      <x:c r="I83" t="n">
        <x:v>1600</x:v>
      </x:c>
      <x:c r="J83" t="n">
        <x:v>16148.56</x:v>
      </x:c>
      <x:c r="K83" t="str">
        <x:v>TWD</x:v>
      </x:c>
      <x:c r="L83" s="20" t="n">
        <x:v>45337</x:v>
      </x:c>
      <x:c r="M83" s="20" t="n">
        <x:v>45337</x:v>
      </x:c>
      <x:c r="N83" t="str">
        <x:v>是</x:v>
      </x:c>
      <x:c r="O83" t="str">
        <x:v>一般</x:v>
      </x:c>
      <x:c r="P83" t="str">
        <x:v>部分出貨</x:v>
      </x:c>
    </x:row>
    <x:row r="84" ht="20" customHeight="1">
      <x:c r="A84" t="str">
        <x:v>SO00083-01</x:v>
      </x:c>
      <x:c r="B84" t="str">
        <x:v>SO00083</x:v>
      </x:c>
      <x:c r="C84" t="str">
        <x:v>Q00128</x:v>
      </x:c>
      <x:c r="D84" t="str">
        <x:v>AFT-004</x:v>
      </x:c>
      <x:c r="E84" t="str">
        <x:v>S02</x:v>
      </x:c>
      <x:c r="F84" t="str">
        <x:v>PM-VAC-B</x:v>
      </x:c>
      <x:c r="G84" t="str">
        <x:v>精密金屬加工件</x:v>
      </x:c>
      <x:c r="H84" s="20" t="n">
        <x:v>45318</x:v>
      </x:c>
      <x:c r="I84" t="n">
        <x:v>300</x:v>
      </x:c>
      <x:c r="J84" t="n">
        <x:v>22046.61</x:v>
      </x:c>
      <x:c r="K84" t="str">
        <x:v>TWD</x:v>
      </x:c>
      <x:c r="L84" s="20" t="n">
        <x:v>45356</x:v>
      </x:c>
      <x:c r="M84" s="20" t="n">
        <x:v>45356</x:v>
      </x:c>
      <x:c r="N84" t="str">
        <x:v>否</x:v>
      </x:c>
      <x:c r="O84" t="str">
        <x:v>重要</x:v>
      </x:c>
      <x:c r="P84" t="str">
        <x:v>部分出貨</x:v>
      </x:c>
    </x:row>
    <x:row r="85" ht="20" customHeight="1">
      <x:c r="A85" t="str">
        <x:v>SO00084-01</x:v>
      </x:c>
      <x:c r="B85" t="str">
        <x:v>SO00084</x:v>
      </x:c>
      <x:c r="C85" t="str">
        <x:v>Q00129</x:v>
      </x:c>
      <x:c r="D85" t="str">
        <x:v>AFT-005</x:v>
      </x:c>
      <x:c r="E85" t="str">
        <x:v>S05</x:v>
      </x:c>
      <x:c r="F85" t="str">
        <x:v>AUTO-LG-A</x:v>
      </x:c>
      <x:c r="G85" t="str">
        <x:v>汽車精密零組件</x:v>
      </x:c>
      <x:c r="H85" s="20" t="n">
        <x:v>45296</x:v>
      </x:c>
      <x:c r="I85" t="n">
        <x:v>13000</x:v>
      </x:c>
      <x:c r="J85" t="n">
        <x:v>1049.91</x:v>
      </x:c>
      <x:c r="K85" t="str">
        <x:v>TWD</x:v>
      </x:c>
      <x:c r="L85" s="20" t="n">
        <x:v>45312</x:v>
      </x:c>
      <x:c r="M85" s="20" t="n">
        <x:v>45312</x:v>
      </x:c>
      <x:c r="N85" t="str">
        <x:v>否</x:v>
      </x:c>
      <x:c r="O85" t="str">
        <x:v>VIP</x:v>
      </x:c>
      <x:c r="P85" t="str">
        <x:v>部分出貨</x:v>
      </x:c>
    </x:row>
    <x:row r="86" ht="20" customHeight="1">
      <x:c r="A86" t="str">
        <x:v>SO00085-01</x:v>
      </x:c>
      <x:c r="B86" t="str">
        <x:v>SO00085</x:v>
      </x:c>
      <x:c r="C86" t="str">
        <x:v>Q00130</x:v>
      </x:c>
      <x:c r="D86" t="str">
        <x:v>SEM-006</x:v>
      </x:c>
      <x:c r="E86" t="str">
        <x:v>S06</x:v>
      </x:c>
      <x:c r="F86" t="str">
        <x:v>PM-BRG-A</x:v>
      </x:c>
      <x:c r="G86" t="str">
        <x:v>精密金屬加工件</x:v>
      </x:c>
      <x:c r="H86" s="20" t="n">
        <x:v>45305</x:v>
      </x:c>
      <x:c r="I86" t="n">
        <x:v>500</x:v>
      </x:c>
      <x:c r="J86" t="n">
        <x:v>6731.55</x:v>
      </x:c>
      <x:c r="K86" t="str">
        <x:v>TWD</x:v>
      </x:c>
      <x:c r="L86" s="20" t="n">
        <x:v>45323</x:v>
      </x:c>
      <x:c r="M86" s="20" t="n">
        <x:v>45326</x:v>
      </x:c>
      <x:c r="N86" t="str">
        <x:v>否</x:v>
      </x:c>
      <x:c r="O86" t="str">
        <x:v>重要</x:v>
      </x:c>
      <x:c r="P86" t="str">
        <x:v>部分出貨</x:v>
      </x:c>
    </x:row>
    <x:row r="87" ht="20" customHeight="1">
      <x:c r="A87" t="str">
        <x:v>SO00086-01</x:v>
      </x:c>
      <x:c r="B87" t="str">
        <x:v>SO00086</x:v>
      </x:c>
      <x:c r="C87" t="str">
        <x:v>Q00131</x:v>
      </x:c>
      <x:c r="D87" t="str">
        <x:v>AFT-003</x:v>
      </x:c>
      <x:c r="E87" t="str">
        <x:v>S01</x:v>
      </x:c>
      <x:c r="F87" t="str">
        <x:v>PM-ALB-B</x:v>
      </x:c>
      <x:c r="G87" t="str">
        <x:v>精密金屬加工件</x:v>
      </x:c>
      <x:c r="H87" s="20" t="n">
        <x:v>45329</x:v>
      </x:c>
      <x:c r="I87" t="n">
        <x:v>500</x:v>
      </x:c>
      <x:c r="J87" t="n">
        <x:v>16850.49</x:v>
      </x:c>
      <x:c r="K87" t="str">
        <x:v>TWD</x:v>
      </x:c>
      <x:c r="L87" s="20" t="n">
        <x:v>45355</x:v>
      </x:c>
      <x:c r="M87" s="20" t="n">
        <x:v>45358</x:v>
      </x:c>
      <x:c r="N87" t="str">
        <x:v>否</x:v>
      </x:c>
      <x:c r="O87" t="str">
        <x:v>重要</x:v>
      </x:c>
      <x:c r="P87" t="str">
        <x:v>部分出貨</x:v>
      </x:c>
    </x:row>
    <x:row r="88" ht="20" customHeight="1">
      <x:c r="A88" t="str">
        <x:v>SO00087-01</x:v>
      </x:c>
      <x:c r="B88" t="str">
        <x:v>SO00087</x:v>
      </x:c>
      <x:c r="C88" t="str">
        <x:v>Q00133</x:v>
      </x:c>
      <x:c r="D88" t="str">
        <x:v>AUT-006</x:v>
      </x:c>
      <x:c r="E88" t="str">
        <x:v>S03</x:v>
      </x:c>
      <x:c r="F88" t="str">
        <x:v>PM-SUS-B</x:v>
      </x:c>
      <x:c r="G88" t="str">
        <x:v>精密金屬加工件</x:v>
      </x:c>
      <x:c r="H88" s="20" t="n">
        <x:v>45305</x:v>
      </x:c>
      <x:c r="I88" t="n">
        <x:v>1600</x:v>
      </x:c>
      <x:c r="J88" t="n">
        <x:v>13672.49</x:v>
      </x:c>
      <x:c r="K88" t="str">
        <x:v>TWD</x:v>
      </x:c>
      <x:c r="L88" s="20" t="n">
        <x:v>45329</x:v>
      </x:c>
      <x:c r="M88" s="20" t="n">
        <x:v>45335</x:v>
      </x:c>
      <x:c r="N88" t="str">
        <x:v>否</x:v>
      </x:c>
      <x:c r="O88" t="str">
        <x:v>一般</x:v>
      </x:c>
      <x:c r="P88" t="str">
        <x:v>部分出貨</x:v>
      </x:c>
    </x:row>
    <x:row r="89" ht="20" customHeight="1">
      <x:c r="A89" t="str">
        <x:v>SO00088-01</x:v>
      </x:c>
      <x:c r="B89" t="str">
        <x:v>SO00088</x:v>
      </x:c>
      <x:c r="C89" t="str">
        <x:v>Q00134</x:v>
      </x:c>
      <x:c r="D89" t="str">
        <x:v>EMS-003</x:v>
      </x:c>
      <x:c r="E89" t="str">
        <x:v>S05</x:v>
      </x:c>
      <x:c r="F89" t="str">
        <x:v>PM-BRG-B</x:v>
      </x:c>
      <x:c r="G89" t="str">
        <x:v>精密金屬加工件</x:v>
      </x:c>
      <x:c r="H89" s="20" t="n">
        <x:v>45302</x:v>
      </x:c>
      <x:c r="I89" t="n">
        <x:v>300</x:v>
      </x:c>
      <x:c r="J89" t="n">
        <x:v>7549.15</x:v>
      </x:c>
      <x:c r="K89" t="str">
        <x:v>TWD</x:v>
      </x:c>
      <x:c r="L89" s="20" t="n">
        <x:v>45325</x:v>
      </x:c>
      <x:c r="M89" s="20" t="n">
        <x:v>45325</x:v>
      </x:c>
      <x:c r="N89" t="str">
        <x:v>否</x:v>
      </x:c>
      <x:c r="O89" t="str">
        <x:v>一般</x:v>
      </x:c>
      <x:c r="P89" t="str">
        <x:v>部分出貨</x:v>
      </x:c>
    </x:row>
    <x:row r="90" ht="20" customHeight="1">
      <x:c r="A90" t="str">
        <x:v>SO00089-01</x:v>
      </x:c>
      <x:c r="B90" t="str">
        <x:v>SO00089</x:v>
      </x:c>
      <x:c r="C90" t="str">
        <x:v>Q00136</x:v>
      </x:c>
      <x:c r="D90" t="str">
        <x:v>AUT-012</x:v>
      </x:c>
      <x:c r="E90" t="str">
        <x:v>S06</x:v>
      </x:c>
      <x:c r="F90" t="str">
        <x:v>PM-ALB-A</x:v>
      </x:c>
      <x:c r="G90" t="str">
        <x:v>精密金屬加工件</x:v>
      </x:c>
      <x:c r="H90" s="20" t="n">
        <x:v>45318</x:v>
      </x:c>
      <x:c r="I90" t="n">
        <x:v>800</x:v>
      </x:c>
      <x:c r="J90" t="n">
        <x:v>10998.81</x:v>
      </x:c>
      <x:c r="K90" t="str">
        <x:v>TWD</x:v>
      </x:c>
      <x:c r="L90" s="20" t="n">
        <x:v>45336</x:v>
      </x:c>
      <x:c r="M90" s="20" t="n">
        <x:v>45342</x:v>
      </x:c>
      <x:c r="N90" t="str">
        <x:v>是</x:v>
      </x:c>
      <x:c r="O90" t="str">
        <x:v>VIP</x:v>
      </x:c>
      <x:c r="P90" t="str">
        <x:v>部分出貨</x:v>
      </x:c>
    </x:row>
    <x:row r="91" ht="20" customHeight="1">
      <x:c r="A91" t="str">
        <x:v>SO00090-01</x:v>
      </x:c>
      <x:c r="B91" t="str">
        <x:v>SO00090</x:v>
      </x:c>
      <x:c r="C91" t="str">
        <x:v>Q00139</x:v>
      </x:c>
      <x:c r="D91" t="str">
        <x:v>AUT-006</x:v>
      </x:c>
      <x:c r="E91" t="str">
        <x:v>S03</x:v>
      </x:c>
      <x:c r="F91" t="str">
        <x:v>PM-SUS-B</x:v>
      </x:c>
      <x:c r="G91" t="str">
        <x:v>精密金屬加工件</x:v>
      </x:c>
      <x:c r="H91" s="20" t="n">
        <x:v>45304</x:v>
      </x:c>
      <x:c r="I91" t="n">
        <x:v>1200</x:v>
      </x:c>
      <x:c r="J91" t="n">
        <x:v>14974.58</x:v>
      </x:c>
      <x:c r="K91" t="str">
        <x:v>TWD</x:v>
      </x:c>
      <x:c r="L91" s="20" t="n">
        <x:v>45334</x:v>
      </x:c>
      <x:c r="M91" s="20" t="n">
        <x:v>45334</x:v>
      </x:c>
      <x:c r="N91" t="str">
        <x:v>否</x:v>
      </x:c>
      <x:c r="O91" t="str">
        <x:v>一般</x:v>
      </x:c>
      <x:c r="P91" t="str">
        <x:v>部分出貨</x:v>
      </x:c>
    </x:row>
    <x:row r="92" ht="20" customHeight="1">
      <x:c r="A92" t="str">
        <x:v>SO00091-01</x:v>
      </x:c>
      <x:c r="B92" t="str">
        <x:v>SO00091</x:v>
      </x:c>
      <x:c r="C92" t="str">
        <x:v>Q00140</x:v>
      </x:c>
      <x:c r="D92" t="str">
        <x:v>AFT-001</x:v>
      </x:c>
      <x:c r="E92" t="str">
        <x:v>S05</x:v>
      </x:c>
      <x:c r="F92" t="str">
        <x:v>AUTO-KN-A</x:v>
      </x:c>
      <x:c r="G92" t="str">
        <x:v>汽車精密零組件</x:v>
      </x:c>
      <x:c r="H92" s="20" t="n">
        <x:v>45329</x:v>
      </x:c>
      <x:c r="I92" t="n">
        <x:v>13000</x:v>
      </x:c>
      <x:c r="J92" t="n">
        <x:v>3006.32</x:v>
      </x:c>
      <x:c r="K92" t="str">
        <x:v>TWD</x:v>
      </x:c>
      <x:c r="L92" s="20" t="n">
        <x:v>45354</x:v>
      </x:c>
      <x:c r="M92" s="20" t="n">
        <x:v>45354</x:v>
      </x:c>
      <x:c r="N92" t="str">
        <x:v>否</x:v>
      </x:c>
      <x:c r="O92" t="str">
        <x:v>重要</x:v>
      </x:c>
      <x:c r="P92" t="str">
        <x:v>部分出貨</x:v>
      </x:c>
    </x:row>
    <x:row r="93" ht="20" customHeight="1">
      <x:c r="A93" t="str">
        <x:v>SO00092-01</x:v>
      </x:c>
      <x:c r="B93" t="str">
        <x:v>SO00092</x:v>
      </x:c>
      <x:c r="C93" t="str">
        <x:v>Q00142</x:v>
      </x:c>
      <x:c r="D93" t="str">
        <x:v>IAT-004</x:v>
      </x:c>
      <x:c r="E93" t="str">
        <x:v>S05</x:v>
      </x:c>
      <x:c r="F93" t="str">
        <x:v>MECH-CON-B</x:v>
      </x:c>
      <x:c r="G93" t="str">
        <x:v>機電／自動化模組</x:v>
      </x:c>
      <x:c r="H93" s="20" t="n">
        <x:v>45300</x:v>
      </x:c>
      <x:c r="I93" t="n">
        <x:v>40</x:v>
      </x:c>
      <x:c r="J93" t="n">
        <x:v>161644.14</x:v>
      </x:c>
      <x:c r="K93" t="str">
        <x:v>TWD</x:v>
      </x:c>
      <x:c r="L93" s="20" t="n">
        <x:v>45340</x:v>
      </x:c>
      <x:c r="M93" s="20" t="n">
        <x:v>45343</x:v>
      </x:c>
      <x:c r="N93" t="str">
        <x:v>否</x:v>
      </x:c>
      <x:c r="O93" t="str">
        <x:v>重要</x:v>
      </x:c>
      <x:c r="P93" t="str">
        <x:v>已出貨</x:v>
      </x:c>
    </x:row>
    <x:row r="94" ht="20" customHeight="1">
      <x:c r="A94" t="str">
        <x:v>SO00093-01</x:v>
      </x:c>
      <x:c r="B94" t="str">
        <x:v>SO00093</x:v>
      </x:c>
      <x:c r="C94" t="str">
        <x:v>Q00143</x:v>
      </x:c>
      <x:c r="D94" t="str">
        <x:v>SEM-007</x:v>
      </x:c>
      <x:c r="E94" t="str">
        <x:v>S03</x:v>
      </x:c>
      <x:c r="F94" t="str">
        <x:v>SEMI-WH-B</x:v>
      </x:c>
      <x:c r="G94" t="str">
        <x:v>半導體設備零組件</x:v>
      </x:c>
      <x:c r="H94" s="20" t="n">
        <x:v>45321</x:v>
      </x:c>
      <x:c r="I94" t="n">
        <x:v>40</x:v>
      </x:c>
      <x:c r="J94" t="n">
        <x:v>176207.24</x:v>
      </x:c>
      <x:c r="K94" t="str">
        <x:v>TWD</x:v>
      </x:c>
      <x:c r="L94" s="20" t="n">
        <x:v>45377</x:v>
      </x:c>
      <x:c r="M94" s="20" t="n">
        <x:v>45377</x:v>
      </x:c>
      <x:c r="N94" t="str">
        <x:v>是</x:v>
      </x:c>
      <x:c r="O94" t="str">
        <x:v>重要</x:v>
      </x:c>
      <x:c r="P94" t="str">
        <x:v>部分出貨</x:v>
      </x:c>
    </x:row>
    <x:row r="95" ht="20" customHeight="1">
      <x:c r="A95" t="str">
        <x:v>SO00094-01</x:v>
      </x:c>
      <x:c r="B95" t="str">
        <x:v>SO00094</x:v>
      </x:c>
      <x:c r="C95" t="str">
        <x:v>Q00144</x:v>
      </x:c>
      <x:c r="D95" t="str">
        <x:v>IAT-002</x:v>
      </x:c>
      <x:c r="E95" t="str">
        <x:v>S01</x:v>
      </x:c>
      <x:c r="F95" t="str">
        <x:v>MECH-CON-A</x:v>
      </x:c>
      <x:c r="G95" t="str">
        <x:v>機電／自動化模組</x:v>
      </x:c>
      <x:c r="H95" s="20" t="n">
        <x:v>45302</x:v>
      </x:c>
      <x:c r="I95" t="n">
        <x:v>40</x:v>
      </x:c>
      <x:c r="J95" t="n">
        <x:v>106945.07</x:v>
      </x:c>
      <x:c r="K95" t="str">
        <x:v>TWD</x:v>
      </x:c>
      <x:c r="L95" s="20" t="n">
        <x:v>45337</x:v>
      </x:c>
      <x:c r="M95" s="20" t="n">
        <x:v>45338</x:v>
      </x:c>
      <x:c r="N95" t="str">
        <x:v>否</x:v>
      </x:c>
      <x:c r="O95" t="str">
        <x:v>一般</x:v>
      </x:c>
      <x:c r="P95" t="str">
        <x:v>部分出貨</x:v>
      </x:c>
    </x:row>
    <x:row r="96" ht="20" customHeight="1">
      <x:c r="A96" t="str">
        <x:v>SO00095-01</x:v>
      </x:c>
      <x:c r="B96" t="str">
        <x:v>SO00095</x:v>
      </x:c>
      <x:c r="C96" t="str">
        <x:v>Q00145</x:v>
      </x:c>
      <x:c r="D96" t="str">
        <x:v>IAT-001</x:v>
      </x:c>
      <x:c r="E96" t="str">
        <x:v>S05</x:v>
      </x:c>
      <x:c r="F96" t="str">
        <x:v>MECH-CON-B</x:v>
      </x:c>
      <x:c r="G96" t="str">
        <x:v>機電／自動化模組</x:v>
      </x:c>
      <x:c r="H96" s="20" t="n">
        <x:v>45330</x:v>
      </x:c>
      <x:c r="I96" t="n">
        <x:v>10</x:v>
      </x:c>
      <x:c r="J96" t="n">
        <x:v>154716.26</x:v>
      </x:c>
      <x:c r="K96" t="str">
        <x:v>TWD</x:v>
      </x:c>
      <x:c r="L96" s="20" t="n">
        <x:v>45374</x:v>
      </x:c>
      <x:c r="M96" s="20" t="n">
        <x:v>45376</x:v>
      </x:c>
      <x:c r="N96" t="str">
        <x:v>否</x:v>
      </x:c>
      <x:c r="O96" t="str">
        <x:v>一般</x:v>
      </x:c>
      <x:c r="P96" t="str">
        <x:v>已出貨</x:v>
      </x:c>
    </x:row>
    <x:row r="97" ht="20" customHeight="1">
      <x:c r="A97" t="str">
        <x:v>SO00096-01</x:v>
      </x:c>
      <x:c r="B97" t="str">
        <x:v>SO00096</x:v>
      </x:c>
      <x:c r="C97" t="str">
        <x:v>Q00146</x:v>
      </x:c>
      <x:c r="D97" t="str">
        <x:v>EMS-008</x:v>
      </x:c>
      <x:c r="E97" t="str">
        <x:v>S02</x:v>
      </x:c>
      <x:c r="F97" t="str">
        <x:v>AUTO-MH-B</x:v>
      </x:c>
      <x:c r="G97" t="str">
        <x:v>汽車精密零組件</x:v>
      </x:c>
      <x:c r="H97" s="20" t="n">
        <x:v>45323</x:v>
      </x:c>
      <x:c r="I97" t="n">
        <x:v>5000</x:v>
      </x:c>
      <x:c r="J97" t="n">
        <x:v>2742.98</x:v>
      </x:c>
      <x:c r="K97" t="str">
        <x:v>TWD</x:v>
      </x:c>
      <x:c r="L97" s="20" t="n">
        <x:v>45341</x:v>
      </x:c>
      <x:c r="M97" s="20" t="n">
        <x:v>45345</x:v>
      </x:c>
      <x:c r="N97" t="str">
        <x:v>是</x:v>
      </x:c>
      <x:c r="O97" t="str">
        <x:v>重要</x:v>
      </x:c>
      <x:c r="P97" t="str">
        <x:v>部分出貨</x:v>
      </x:c>
    </x:row>
    <x:row r="98" ht="20" customHeight="1">
      <x:c r="A98" t="str">
        <x:v>SO00097-01</x:v>
      </x:c>
      <x:c r="B98" t="str">
        <x:v>SO00097</x:v>
      </x:c>
      <x:c r="C98" t="str">
        <x:v>Q00148</x:v>
      </x:c>
      <x:c r="D98" t="str">
        <x:v>EMS-008</x:v>
      </x:c>
      <x:c r="E98" t="str">
        <x:v>S02</x:v>
      </x:c>
      <x:c r="F98" t="str">
        <x:v>SEMI-WH-B</x:v>
      </x:c>
      <x:c r="G98" t="str">
        <x:v>半導體設備零組件</x:v>
      </x:c>
      <x:c r="H98" s="20" t="n">
        <x:v>45339</x:v>
      </x:c>
      <x:c r="I98" t="n">
        <x:v>160</x:v>
      </x:c>
      <x:c r="J98" t="n">
        <x:v>156982.55</x:v>
      </x:c>
      <x:c r="K98" t="str">
        <x:v>TWD</x:v>
      </x:c>
      <x:c r="L98" s="20" t="n">
        <x:v>45406</x:v>
      </x:c>
      <x:c r="M98" s="20" t="n">
        <x:v>45406</x:v>
      </x:c>
      <x:c r="N98" t="str">
        <x:v>否</x:v>
      </x:c>
      <x:c r="O98" t="str">
        <x:v>重要</x:v>
      </x:c>
      <x:c r="P98" t="str">
        <x:v>部分出貨</x:v>
      </x:c>
    </x:row>
    <x:row r="99" ht="20" customHeight="1">
      <x:c r="A99" t="str">
        <x:v>SO00098-01</x:v>
      </x:c>
      <x:c r="B99" t="str">
        <x:v>SO00098</x:v>
      </x:c>
      <x:c r="C99" t="str">
        <x:v>Q00149</x:v>
      </x:c>
      <x:c r="D99" t="str">
        <x:v>IAT-005</x:v>
      </x:c>
      <x:c r="E99" t="str">
        <x:v>S02</x:v>
      </x:c>
      <x:c r="F99" t="str">
        <x:v>SEMI-WH-B</x:v>
      </x:c>
      <x:c r="G99" t="str">
        <x:v>半導體設備零組件</x:v>
      </x:c>
      <x:c r="H99" s="20" t="n">
        <x:v>45335</x:v>
      </x:c>
      <x:c r="I99" t="n">
        <x:v>80</x:v>
      </x:c>
      <x:c r="J99" t="n">
        <x:v>157688.78</x:v>
      </x:c>
      <x:c r="K99" t="str">
        <x:v>TWD</x:v>
      </x:c>
      <x:c r="L99" s="20" t="n">
        <x:v>45399</x:v>
      </x:c>
      <x:c r="M99" s="20" t="n">
        <x:v>45399</x:v>
      </x:c>
      <x:c r="N99" t="str">
        <x:v>否</x:v>
      </x:c>
      <x:c r="O99" t="str">
        <x:v>一般</x:v>
      </x:c>
      <x:c r="P99" t="str">
        <x:v>部分出貨</x:v>
      </x:c>
    </x:row>
    <x:row r="100" ht="20" customHeight="1">
      <x:c r="A100" t="str">
        <x:v>SO00099-01</x:v>
      </x:c>
      <x:c r="B100" t="str">
        <x:v>SO00099</x:v>
      </x:c>
      <x:c r="C100" t="str">
        <x:v>Q00152</x:v>
      </x:c>
      <x:c r="D100" t="str">
        <x:v>EMS-002</x:v>
      </x:c>
      <x:c r="E100" t="str">
        <x:v>S05</x:v>
      </x:c>
      <x:c r="F100" t="str">
        <x:v>PM-VAC-A</x:v>
      </x:c>
      <x:c r="G100" t="str">
        <x:v>精密金屬加工件</x:v>
      </x:c>
      <x:c r="H100" s="20" t="n">
        <x:v>45330</x:v>
      </x:c>
      <x:c r="I100" t="n">
        <x:v>500</x:v>
      </x:c>
      <x:c r="J100" t="n">
        <x:v>14185.25</x:v>
      </x:c>
      <x:c r="K100" t="str">
        <x:v>TWD</x:v>
      </x:c>
      <x:c r="L100" s="20" t="n">
        <x:v>45359</x:v>
      </x:c>
      <x:c r="M100" s="20" t="n">
        <x:v>45359</x:v>
      </x:c>
      <x:c r="N100" t="str">
        <x:v>是</x:v>
      </x:c>
      <x:c r="O100" t="str">
        <x:v>重要</x:v>
      </x:c>
      <x:c r="P100" t="str">
        <x:v>部分出貨</x:v>
      </x:c>
    </x:row>
    <x:row r="101" ht="20" customHeight="1">
      <x:c r="A101" t="str">
        <x:v>SO00100-01</x:v>
      </x:c>
      <x:c r="B101" t="str">
        <x:v>SO00100</x:v>
      </x:c>
      <x:c r="C101" t="str">
        <x:v>Q00155</x:v>
      </x:c>
      <x:c r="D101" t="str">
        <x:v>IAT-002</x:v>
      </x:c>
      <x:c r="E101" t="str">
        <x:v>S01</x:v>
      </x:c>
      <x:c r="F101" t="str">
        <x:v>AUTO-MH-A</x:v>
      </x:c>
      <x:c r="G101" t="str">
        <x:v>汽車精密零組件</x:v>
      </x:c>
      <x:c r="H101" s="20" t="n">
        <x:v>45333</x:v>
      </x:c>
      <x:c r="I101" t="n">
        <x:v>13000</x:v>
      </x:c>
      <x:c r="J101" t="n">
        <x:v>2359.72</x:v>
      </x:c>
      <x:c r="K101" t="str">
        <x:v>TWD</x:v>
      </x:c>
      <x:c r="L101" s="20" t="n">
        <x:v>45353</x:v>
      </x:c>
      <x:c r="M101" s="20" t="n">
        <x:v>45355</x:v>
      </x:c>
      <x:c r="N101" t="str">
        <x:v>否</x:v>
      </x:c>
      <x:c r="O101" t="str">
        <x:v>一般</x:v>
      </x:c>
      <x:c r="P101" t="str">
        <x:v>部分出貨</x:v>
      </x:c>
    </x:row>
    <x:row r="102" ht="20" customHeight="1">
      <x:c r="A102" t="str">
        <x:v>SO00101-01</x:v>
      </x:c>
      <x:c r="B102" t="str">
        <x:v>SO00101</x:v>
      </x:c>
      <x:c r="C102" t="str">
        <x:v>Q00156</x:v>
      </x:c>
      <x:c r="D102" t="str">
        <x:v>AFT-004</x:v>
      </x:c>
      <x:c r="E102" t="str">
        <x:v>S02</x:v>
      </x:c>
      <x:c r="F102" t="str">
        <x:v>AUTO-KN-B</x:v>
      </x:c>
      <x:c r="G102" t="str">
        <x:v>汽車精密零組件</x:v>
      </x:c>
      <x:c r="H102" s="20" t="n">
        <x:v>45344</x:v>
      </x:c>
      <x:c r="I102" t="n">
        <x:v>13000</x:v>
      </x:c>
      <x:c r="J102" t="n">
        <x:v>3782.02</x:v>
      </x:c>
      <x:c r="K102" t="str">
        <x:v>TWD</x:v>
      </x:c>
      <x:c r="L102" s="20" t="n">
        <x:v>45363</x:v>
      </x:c>
      <x:c r="M102" s="20" t="n">
        <x:v>45370</x:v>
      </x:c>
      <x:c r="N102" t="str">
        <x:v>是</x:v>
      </x:c>
      <x:c r="O102" t="str">
        <x:v>重要</x:v>
      </x:c>
      <x:c r="P102" t="str">
        <x:v>部分出貨</x:v>
      </x:c>
    </x:row>
    <x:row r="103" ht="20" customHeight="1">
      <x:c r="A103" t="str">
        <x:v>SO00102-01</x:v>
      </x:c>
      <x:c r="B103" t="str">
        <x:v>SO00102</x:v>
      </x:c>
      <x:c r="C103" t="str">
        <x:v>Q00158</x:v>
      </x:c>
      <x:c r="D103" t="str">
        <x:v>EMS-001</x:v>
      </x:c>
      <x:c r="E103" t="str">
        <x:v>S02</x:v>
      </x:c>
      <x:c r="F103" t="str">
        <x:v>SEMI-CHB-B</x:v>
      </x:c>
      <x:c r="G103" t="str">
        <x:v>半導體設備零組件</x:v>
      </x:c>
      <x:c r="H103" s="20" t="n">
        <x:v>45350</x:v>
      </x:c>
      <x:c r="I103" t="n">
        <x:v>60</x:v>
      </x:c>
      <x:c r="J103" t="n">
        <x:v>136733.57</x:v>
      </x:c>
      <x:c r="K103" t="str">
        <x:v>TWD</x:v>
      </x:c>
      <x:c r="L103" s="20" t="n">
        <x:v>45401</x:v>
      </x:c>
      <x:c r="M103" s="20" t="n">
        <x:v>45408</x:v>
      </x:c>
      <x:c r="N103" t="str">
        <x:v>否</x:v>
      </x:c>
      <x:c r="O103" t="str">
        <x:v>一般</x:v>
      </x:c>
      <x:c r="P103" t="str">
        <x:v>部分出貨</x:v>
      </x:c>
    </x:row>
    <x:row r="104" ht="20" customHeight="1">
      <x:c r="A104" t="str">
        <x:v>SO00103-01</x:v>
      </x:c>
      <x:c r="B104" t="str">
        <x:v>SO00103</x:v>
      </x:c>
      <x:c r="C104" t="str">
        <x:v>Q00159</x:v>
      </x:c>
      <x:c r="D104" t="str">
        <x:v>AFT-004</x:v>
      </x:c>
      <x:c r="E104" t="str">
        <x:v>S02</x:v>
      </x:c>
      <x:c r="F104" t="str">
        <x:v>PM-SUS-A</x:v>
      </x:c>
      <x:c r="G104" t="str">
        <x:v>精密金屬加工件</x:v>
      </x:c>
      <x:c r="H104" s="20" t="n">
        <x:v>45328</x:v>
      </x:c>
      <x:c r="I104" t="n">
        <x:v>300</x:v>
      </x:c>
      <x:c r="J104" t="n">
        <x:v>10596.64</x:v>
      </x:c>
      <x:c r="K104" t="str">
        <x:v>TWD</x:v>
      </x:c>
      <x:c r="L104" s="20" t="n">
        <x:v>45353</x:v>
      </x:c>
      <x:c r="M104" s="20" t="n">
        <x:v>45353</x:v>
      </x:c>
      <x:c r="N104" t="str">
        <x:v>是</x:v>
      </x:c>
      <x:c r="O104" t="str">
        <x:v>重要</x:v>
      </x:c>
      <x:c r="P104" t="str">
        <x:v>部分出貨</x:v>
      </x:c>
    </x:row>
    <x:row r="105" ht="20" customHeight="1">
      <x:c r="A105" t="str">
        <x:v>SO00104-01</x:v>
      </x:c>
      <x:c r="B105" t="str">
        <x:v>SO00104</x:v>
      </x:c>
      <x:c r="C105" t="str">
        <x:v>Q00160</x:v>
      </x:c>
      <x:c r="D105" t="str">
        <x:v>AUT-002</x:v>
      </x:c>
      <x:c r="E105" t="str">
        <x:v>S04</x:v>
      </x:c>
      <x:c r="F105" t="str">
        <x:v>AUTO-BS-A</x:v>
      </x:c>
      <x:c r="G105" t="str">
        <x:v>汽車精密零組件</x:v>
      </x:c>
      <x:c r="H105" s="20" t="n">
        <x:v>45336</x:v>
      </x:c>
      <x:c r="I105" t="n">
        <x:v>3000</x:v>
      </x:c>
      <x:c r="J105" t="n">
        <x:v>743.16</x:v>
      </x:c>
      <x:c r="K105" t="str">
        <x:v>TWD</x:v>
      </x:c>
      <x:c r="L105" s="20" t="n">
        <x:v>45348</x:v>
      </x:c>
      <x:c r="M105" s="20" t="n">
        <x:v>45349</x:v>
      </x:c>
      <x:c r="N105" t="str">
        <x:v>否</x:v>
      </x:c>
      <x:c r="O105" t="str">
        <x:v>重要</x:v>
      </x:c>
      <x:c r="P105" t="str">
        <x:v>部分出貨</x:v>
      </x:c>
    </x:row>
    <x:row r="106" ht="20" customHeight="1">
      <x:c r="A106" t="str">
        <x:v>SO00105-01</x:v>
      </x:c>
      <x:c r="B106" t="str">
        <x:v>SO00105</x:v>
      </x:c>
      <x:c r="C106" t="str">
        <x:v>Q00162</x:v>
      </x:c>
      <x:c r="D106" t="str">
        <x:v>IAT-010</x:v>
      </x:c>
      <x:c r="E106" t="str">
        <x:v>S04</x:v>
      </x:c>
      <x:c r="F106" t="str">
        <x:v>PM-SUS-A</x:v>
      </x:c>
      <x:c r="G106" t="str">
        <x:v>精密金屬加工件</x:v>
      </x:c>
      <x:c r="H106" s="20" t="n">
        <x:v>45338</x:v>
      </x:c>
      <x:c r="I106" t="n">
        <x:v>1200</x:v>
      </x:c>
      <x:c r="J106" t="n">
        <x:v>10960.83</x:v>
      </x:c>
      <x:c r="K106" t="str">
        <x:v>TWD</x:v>
      </x:c>
      <x:c r="L106" s="20" t="n">
        <x:v>45362</x:v>
      </x:c>
      <x:c r="M106" s="20" t="n">
        <x:v>45363</x:v>
      </x:c>
      <x:c r="N106" t="str">
        <x:v>否</x:v>
      </x:c>
      <x:c r="O106" t="str">
        <x:v>重要</x:v>
      </x:c>
      <x:c r="P106" t="str">
        <x:v>部分出貨</x:v>
      </x:c>
    </x:row>
    <x:row r="107" ht="20" customHeight="1">
      <x:c r="A107" t="str">
        <x:v>SO00106-01</x:v>
      </x:c>
      <x:c r="B107" t="str">
        <x:v>SO00106</x:v>
      </x:c>
      <x:c r="C107" t="str">
        <x:v>Q00166</x:v>
      </x:c>
      <x:c r="D107" t="str">
        <x:v>EMS-007</x:v>
      </x:c>
      <x:c r="E107" t="str">
        <x:v>S04</x:v>
      </x:c>
      <x:c r="F107" t="str">
        <x:v>SEMI-WH-B</x:v>
      </x:c>
      <x:c r="G107" t="str">
        <x:v>半導體設備零組件</x:v>
      </x:c>
      <x:c r="H107" s="20" t="n">
        <x:v>45336</x:v>
      </x:c>
      <x:c r="I107" t="n">
        <x:v>60</x:v>
      </x:c>
      <x:c r="J107" t="n">
        <x:v>167716.44</x:v>
      </x:c>
      <x:c r="K107" t="str">
        <x:v>TWD</x:v>
      </x:c>
      <x:c r="L107" s="20" t="n">
        <x:v>45382</x:v>
      </x:c>
      <x:c r="M107" s="20" t="n">
        <x:v>45400</x:v>
      </x:c>
      <x:c r="N107" t="str">
        <x:v>是</x:v>
      </x:c>
      <x:c r="O107" t="str">
        <x:v>一般</x:v>
      </x:c>
      <x:c r="P107" t="str">
        <x:v>部分出貨</x:v>
      </x:c>
    </x:row>
    <x:row r="108" ht="20" customHeight="1">
      <x:c r="A108" t="str">
        <x:v>SO00107-01</x:v>
      </x:c>
      <x:c r="B108" t="str">
        <x:v>SO00107</x:v>
      </x:c>
      <x:c r="C108" t="str">
        <x:v>Q00167</x:v>
      </x:c>
      <x:c r="D108" t="str">
        <x:v>IAT-007</x:v>
      </x:c>
      <x:c r="E108" t="str">
        <x:v>S04</x:v>
      </x:c>
      <x:c r="F108" t="str">
        <x:v>AUTO-FL-A</x:v>
      </x:c>
      <x:c r="G108" t="str">
        <x:v>汽車精密零組件</x:v>
      </x:c>
      <x:c r="H108" s="20" t="n">
        <x:v>45334</x:v>
      </x:c>
      <x:c r="I108" t="n">
        <x:v>13000</x:v>
      </x:c>
      <x:c r="J108" t="n">
        <x:v>1374.42</x:v>
      </x:c>
      <x:c r="K108" t="str">
        <x:v>TWD</x:v>
      </x:c>
      <x:c r="L108" s="20" t="n">
        <x:v>45350</x:v>
      </x:c>
      <x:c r="M108" s="20" t="n">
        <x:v>45350</x:v>
      </x:c>
      <x:c r="N108" t="str">
        <x:v>否</x:v>
      </x:c>
      <x:c r="O108" t="str">
        <x:v>重要</x:v>
      </x:c>
      <x:c r="P108" t="str">
        <x:v>部分出貨</x:v>
      </x:c>
    </x:row>
    <x:row r="109" ht="20" customHeight="1">
      <x:c r="A109" t="str">
        <x:v>SO00108-01</x:v>
      </x:c>
      <x:c r="B109" t="str">
        <x:v>SO00108</x:v>
      </x:c>
      <x:c r="C109" t="str">
        <x:v>Q00168</x:v>
      </x:c>
      <x:c r="D109" t="str">
        <x:v>AUT-005</x:v>
      </x:c>
      <x:c r="E109" t="str">
        <x:v>S04</x:v>
      </x:c>
      <x:c r="F109" t="str">
        <x:v>AUTO-KN-B</x:v>
      </x:c>
      <x:c r="G109" t="str">
        <x:v>汽車精密零組件</x:v>
      </x:c>
      <x:c r="H109" s="20" t="n">
        <x:v>45339</x:v>
      </x:c>
      <x:c r="I109" t="n">
        <x:v>5000</x:v>
      </x:c>
      <x:c r="J109" t="n">
        <x:v>3809.77</x:v>
      </x:c>
      <x:c r="K109" t="str">
        <x:v>TWD</x:v>
      </x:c>
      <x:c r="L109" s="20" t="n">
        <x:v>45367</x:v>
      </x:c>
      <x:c r="M109" s="20" t="n">
        <x:v>45367</x:v>
      </x:c>
      <x:c r="N109" t="str">
        <x:v>是</x:v>
      </x:c>
      <x:c r="O109" t="str">
        <x:v>VIP</x:v>
      </x:c>
      <x:c r="P109" t="str">
        <x:v>部分出貨</x:v>
      </x:c>
    </x:row>
    <x:row r="110" ht="20" customHeight="1">
      <x:c r="A110" t="str">
        <x:v>SO00109-01</x:v>
      </x:c>
      <x:c r="B110" t="str">
        <x:v>SO00109</x:v>
      </x:c>
      <x:c r="C110" t="str">
        <x:v>Q00169</x:v>
      </x:c>
      <x:c r="D110" t="str">
        <x:v>AUT-014</x:v>
      </x:c>
      <x:c r="E110" t="str">
        <x:v>S06</x:v>
      </x:c>
      <x:c r="F110" t="str">
        <x:v>MECH-CON-B</x:v>
      </x:c>
      <x:c r="G110" t="str">
        <x:v>機電／自動化模組</x:v>
      </x:c>
      <x:c r="H110" s="20" t="n">
        <x:v>45334</x:v>
      </x:c>
      <x:c r="I110" t="n">
        <x:v>30</x:v>
      </x:c>
      <x:c r="J110" t="n">
        <x:v>160422.92</x:v>
      </x:c>
      <x:c r="K110" t="str">
        <x:v>TWD</x:v>
      </x:c>
      <x:c r="L110" s="20" t="n">
        <x:v>45368</x:v>
      </x:c>
      <x:c r="M110" s="20" t="n">
        <x:v>45381</x:v>
      </x:c>
      <x:c r="N110" t="str">
        <x:v>是</x:v>
      </x:c>
      <x:c r="O110" t="str">
        <x:v>重要</x:v>
      </x:c>
      <x:c r="P110" t="str">
        <x:v>已出貨</x:v>
      </x:c>
    </x:row>
    <x:row r="111" ht="20" customHeight="1">
      <x:c r="A111" t="str">
        <x:v>SO00110-01</x:v>
      </x:c>
      <x:c r="B111" t="str">
        <x:v>SO00110</x:v>
      </x:c>
      <x:c r="C111" t="str">
        <x:v>Q00170</x:v>
      </x:c>
      <x:c r="D111" t="str">
        <x:v>AFT-005</x:v>
      </x:c>
      <x:c r="E111" t="str">
        <x:v>S05</x:v>
      </x:c>
      <x:c r="F111" t="str">
        <x:v>AUTO-BRK-A</x:v>
      </x:c>
      <x:c r="G111" t="str">
        <x:v>汽車精密零組件</x:v>
      </x:c>
      <x:c r="H111" s="20" t="n">
        <x:v>45350</x:v>
      </x:c>
      <x:c r="I111" t="n">
        <x:v>5000</x:v>
      </x:c>
      <x:c r="J111" t="n">
        <x:v>1793.2</x:v>
      </x:c>
      <x:c r="K111" t="str">
        <x:v>TWD</x:v>
      </x:c>
      <x:c r="L111" s="20" t="n">
        <x:v>45368</x:v>
      </x:c>
      <x:c r="M111" s="20" t="n">
        <x:v>45368</x:v>
      </x:c>
      <x:c r="N111" t="str">
        <x:v>否</x:v>
      </x:c>
      <x:c r="O111" t="str">
        <x:v>VIP</x:v>
      </x:c>
      <x:c r="P111" t="str">
        <x:v>部分出貨</x:v>
      </x:c>
    </x:row>
    <x:row r="112" ht="20" customHeight="1">
      <x:c r="A112" t="str">
        <x:v>SO00111-01</x:v>
      </x:c>
      <x:c r="B112" t="str">
        <x:v>SO00111</x:v>
      </x:c>
      <x:c r="C112" t="str">
        <x:v>Q00171</x:v>
      </x:c>
      <x:c r="D112" t="str">
        <x:v>AFT-002</x:v>
      </x:c>
      <x:c r="E112" t="str">
        <x:v>S04</x:v>
      </x:c>
      <x:c r="F112" t="str">
        <x:v>AUTO-MH-A</x:v>
      </x:c>
      <x:c r="G112" t="str">
        <x:v>汽車精密零組件</x:v>
      </x:c>
      <x:c r="H112" s="20" t="n">
        <x:v>45330</x:v>
      </x:c>
      <x:c r="I112" t="n">
        <x:v>10000</x:v>
      </x:c>
      <x:c r="J112" t="n">
        <x:v>2529.74</x:v>
      </x:c>
      <x:c r="K112" t="str">
        <x:v>TWD</x:v>
      </x:c>
      <x:c r="L112" s="20" t="n">
        <x:v>45351</x:v>
      </x:c>
      <x:c r="M112" s="20" t="n">
        <x:v>45352</x:v>
      </x:c>
      <x:c r="N112" t="str">
        <x:v>否</x:v>
      </x:c>
      <x:c r="O112" t="str">
        <x:v>一般</x:v>
      </x:c>
      <x:c r="P112" t="str">
        <x:v>部分出貨</x:v>
      </x:c>
    </x:row>
    <x:row r="113" ht="20" customHeight="1">
      <x:c r="A113" t="str">
        <x:v>SO00112-01</x:v>
      </x:c>
      <x:c r="B113" t="str">
        <x:v>SO00112</x:v>
      </x:c>
      <x:c r="C113" t="str">
        <x:v>Q00172</x:v>
      </x:c>
      <x:c r="D113" t="str">
        <x:v>IAT-003</x:v>
      </x:c>
      <x:c r="E113" t="str">
        <x:v>S04</x:v>
      </x:c>
      <x:c r="F113" t="str">
        <x:v>PM-BRG-B</x:v>
      </x:c>
      <x:c r="G113" t="str">
        <x:v>精密金屬加工件</x:v>
      </x:c>
      <x:c r="H113" s="20" t="n">
        <x:v>45330</x:v>
      </x:c>
      <x:c r="I113" t="n">
        <x:v>300</x:v>
      </x:c>
      <x:c r="J113" t="n">
        <x:v>8162.49</x:v>
      </x:c>
      <x:c r="K113" t="str">
        <x:v>TWD</x:v>
      </x:c>
      <x:c r="L113" s="20" t="n">
        <x:v>45345</x:v>
      </x:c>
      <x:c r="M113" s="20" t="n">
        <x:v>45352</x:v>
      </x:c>
      <x:c r="N113" t="str">
        <x:v>是</x:v>
      </x:c>
      <x:c r="O113" t="str">
        <x:v>重要</x:v>
      </x:c>
      <x:c r="P113" t="str">
        <x:v>部分出貨</x:v>
      </x:c>
    </x:row>
    <x:row r="114" ht="20" customHeight="1">
      <x:c r="A114" t="str">
        <x:v>SO00113-01</x:v>
      </x:c>
      <x:c r="B114" t="str">
        <x:v>SO00113</x:v>
      </x:c>
      <x:c r="C114" t="str">
        <x:v>Q00175</x:v>
      </x:c>
      <x:c r="D114" t="str">
        <x:v>IAT-003</x:v>
      </x:c>
      <x:c r="E114" t="str">
        <x:v>S04</x:v>
      </x:c>
      <x:c r="F114" t="str">
        <x:v>PM-BRG-B</x:v>
      </x:c>
      <x:c r="G114" t="str">
        <x:v>精密金屬加工件</x:v>
      </x:c>
      <x:c r="H114" s="20" t="n">
        <x:v>45391</x:v>
      </x:c>
      <x:c r="I114" t="n">
        <x:v>1200</x:v>
      </x:c>
      <x:c r="J114" t="n">
        <x:v>7931.24</x:v>
      </x:c>
      <x:c r="K114" t="str">
        <x:v>TWD</x:v>
      </x:c>
      <x:c r="L114" s="20" t="n">
        <x:v>45409</x:v>
      </x:c>
      <x:c r="M114" s="20" t="n">
        <x:v>45411</x:v>
      </x:c>
      <x:c r="N114" t="str">
        <x:v>是</x:v>
      </x:c>
      <x:c r="O114" t="str">
        <x:v>重要</x:v>
      </x:c>
      <x:c r="P114" t="str">
        <x:v>部分出貨</x:v>
      </x:c>
    </x:row>
    <x:row r="115" ht="20" customHeight="1">
      <x:c r="A115" t="str">
        <x:v>SO00114-01</x:v>
      </x:c>
      <x:c r="B115" t="str">
        <x:v>SO00114</x:v>
      </x:c>
      <x:c r="C115" t="str">
        <x:v>Q00179</x:v>
      </x:c>
      <x:c r="D115" t="str">
        <x:v>IAT-002</x:v>
      </x:c>
      <x:c r="E115" t="str">
        <x:v>S01</x:v>
      </x:c>
      <x:c r="F115" t="str">
        <x:v>PM-BRG-A</x:v>
      </x:c>
      <x:c r="G115" t="str">
        <x:v>精密金屬加工件</x:v>
      </x:c>
      <x:c r="H115" s="20" t="n">
        <x:v>45383</x:v>
      </x:c>
      <x:c r="I115" t="n">
        <x:v>800</x:v>
      </x:c>
      <x:c r="J115" t="n">
        <x:v>6563.62</x:v>
      </x:c>
      <x:c r="K115" t="str">
        <x:v>TWD</x:v>
      </x:c>
      <x:c r="L115" s="20" t="n">
        <x:v>45402</x:v>
      </x:c>
      <x:c r="M115" s="20" t="n">
        <x:v>45402</x:v>
      </x:c>
      <x:c r="N115" t="str">
        <x:v>否</x:v>
      </x:c>
      <x:c r="O115" t="str">
        <x:v>一般</x:v>
      </x:c>
      <x:c r="P115" t="str">
        <x:v>部分出貨</x:v>
      </x:c>
    </x:row>
    <x:row r="116" ht="20" customHeight="1">
      <x:c r="A116" t="str">
        <x:v>SO00115-01</x:v>
      </x:c>
      <x:c r="B116" t="str">
        <x:v>SO00115</x:v>
      </x:c>
      <x:c r="C116" t="str">
        <x:v>Q00180</x:v>
      </x:c>
      <x:c r="D116" t="str">
        <x:v>IAT-010</x:v>
      </x:c>
      <x:c r="E116" t="str">
        <x:v>S04</x:v>
      </x:c>
      <x:c r="F116" t="str">
        <x:v>AUTO-LG-A</x:v>
      </x:c>
      <x:c r="G116" t="str">
        <x:v>汽車精密零組件</x:v>
      </x:c>
      <x:c r="H116" s="20" t="n">
        <x:v>45382</x:v>
      </x:c>
      <x:c r="I116" t="n">
        <x:v>5000</x:v>
      </x:c>
      <x:c r="J116" t="n">
        <x:v>1099.5</x:v>
      </x:c>
      <x:c r="K116" t="str">
        <x:v>TWD</x:v>
      </x:c>
      <x:c r="L116" s="20" t="n">
        <x:v>45401</x:v>
      </x:c>
      <x:c r="M116" s="20" t="n">
        <x:v>45401</x:v>
      </x:c>
      <x:c r="N116" t="str">
        <x:v>否</x:v>
      </x:c>
      <x:c r="O116" t="str">
        <x:v>重要</x:v>
      </x:c>
      <x:c r="P116" t="str">
        <x:v>部分出貨</x:v>
      </x:c>
    </x:row>
    <x:row r="117" ht="20" customHeight="1">
      <x:c r="A117" t="str">
        <x:v>SO00116-01</x:v>
      </x:c>
      <x:c r="B117" t="str">
        <x:v>SO00116</x:v>
      </x:c>
      <x:c r="C117" t="str">
        <x:v>Q00181</x:v>
      </x:c>
      <x:c r="D117" t="str">
        <x:v>AFT-006</x:v>
      </x:c>
      <x:c r="E117" t="str">
        <x:v>S01</x:v>
      </x:c>
      <x:c r="F117" t="str">
        <x:v>AUTO-BRK-A</x:v>
      </x:c>
      <x:c r="G117" t="str">
        <x:v>汽車精密零組件</x:v>
      </x:c>
      <x:c r="H117" s="20" t="n">
        <x:v>45383</x:v>
      </x:c>
      <x:c r="I117" t="n">
        <x:v>5000</x:v>
      </x:c>
      <x:c r="J117" t="n">
        <x:v>1750.79</x:v>
      </x:c>
      <x:c r="K117" t="str">
        <x:v>TWD</x:v>
      </x:c>
      <x:c r="L117" s="20" t="n">
        <x:v>45397</x:v>
      </x:c>
      <x:c r="M117" s="20" t="n">
        <x:v>45400</x:v>
      </x:c>
      <x:c r="N117" t="str">
        <x:v>是</x:v>
      </x:c>
      <x:c r="O117" t="str">
        <x:v>一般</x:v>
      </x:c>
      <x:c r="P117" t="str">
        <x:v>部分出貨</x:v>
      </x:c>
    </x:row>
    <x:row r="118" ht="20" customHeight="1">
      <x:c r="A118" t="str">
        <x:v>SO00117-01</x:v>
      </x:c>
      <x:c r="B118" t="str">
        <x:v>SO00117</x:v>
      </x:c>
      <x:c r="C118" t="str">
        <x:v>Q00183</x:v>
      </x:c>
      <x:c r="D118" t="str">
        <x:v>IAT-009</x:v>
      </x:c>
      <x:c r="E118" t="str">
        <x:v>S04</x:v>
      </x:c>
      <x:c r="F118" t="str">
        <x:v>AUTO-MH-A</x:v>
      </x:c>
      <x:c r="G118" t="str">
        <x:v>汽車精密零組件</x:v>
      </x:c>
      <x:c r="H118" s="20" t="n">
        <x:v>45392</x:v>
      </x:c>
      <x:c r="I118" t="n">
        <x:v>5000</x:v>
      </x:c>
      <x:c r="J118" t="n">
        <x:v>2588.75</x:v>
      </x:c>
      <x:c r="K118" t="str">
        <x:v>TWD</x:v>
      </x:c>
      <x:c r="L118" s="20" t="n">
        <x:v>45408</x:v>
      </x:c>
      <x:c r="M118" s="20" t="n">
        <x:v>45415</x:v>
      </x:c>
      <x:c r="N118" t="str">
        <x:v>是</x:v>
      </x:c>
      <x:c r="O118" t="str">
        <x:v>重要</x:v>
      </x:c>
      <x:c r="P118" t="str">
        <x:v>部分出貨</x:v>
      </x:c>
    </x:row>
    <x:row r="119" ht="20" customHeight="1">
      <x:c r="A119" t="str">
        <x:v>SO00118-01</x:v>
      </x:c>
      <x:c r="B119" t="str">
        <x:v>SO00118</x:v>
      </x:c>
      <x:c r="C119" t="str">
        <x:v>Q00185</x:v>
      </x:c>
      <x:c r="D119" t="str">
        <x:v>IAT-008</x:v>
      </x:c>
      <x:c r="E119" t="str">
        <x:v>S01</x:v>
      </x:c>
      <x:c r="F119" t="str">
        <x:v>PM-SUS-B</x:v>
      </x:c>
      <x:c r="G119" t="str">
        <x:v>精密金屬加工件</x:v>
      </x:c>
      <x:c r="H119" s="20" t="n">
        <x:v>45392</x:v>
      </x:c>
      <x:c r="I119" t="n">
        <x:v>1200</x:v>
      </x:c>
      <x:c r="J119" t="n">
        <x:v>13696.26</x:v>
      </x:c>
      <x:c r="K119" t="str">
        <x:v>TWD</x:v>
      </x:c>
      <x:c r="L119" s="20" t="n">
        <x:v>45413</x:v>
      </x:c>
      <x:c r="M119" s="20" t="n">
        <x:v>45421</x:v>
      </x:c>
      <x:c r="N119" t="str">
        <x:v>是</x:v>
      </x:c>
      <x:c r="O119" t="str">
        <x:v>重要</x:v>
      </x:c>
      <x:c r="P119" t="str">
        <x:v>部分出貨</x:v>
      </x:c>
    </x:row>
    <x:row r="120" ht="20" customHeight="1">
      <x:c r="A120" t="str">
        <x:v>SO00119-01</x:v>
      </x:c>
      <x:c r="B120" t="str">
        <x:v>SO00119</x:v>
      </x:c>
      <x:c r="C120" t="str">
        <x:v>Q00186</x:v>
      </x:c>
      <x:c r="D120" t="str">
        <x:v>AUT-014</x:v>
      </x:c>
      <x:c r="E120" t="str">
        <x:v>S06</x:v>
      </x:c>
      <x:c r="F120" t="str">
        <x:v>AUTO-KN-B</x:v>
      </x:c>
      <x:c r="G120" t="str">
        <x:v>汽車精密零組件</x:v>
      </x:c>
      <x:c r="H120" s="20" t="n">
        <x:v>45370</x:v>
      </x:c>
      <x:c r="I120" t="n">
        <x:v>5000</x:v>
      </x:c>
      <x:c r="J120" t="n">
        <x:v>3553.23</x:v>
      </x:c>
      <x:c r="K120" t="str">
        <x:v>TWD</x:v>
      </x:c>
      <x:c r="L120" s="20" t="n">
        <x:v>45391</x:v>
      </x:c>
      <x:c r="M120" s="20" t="n">
        <x:v>45397</x:v>
      </x:c>
      <x:c r="N120" t="str">
        <x:v>是</x:v>
      </x:c>
      <x:c r="O120" t="str">
        <x:v>重要</x:v>
      </x:c>
      <x:c r="P120" t="str">
        <x:v>部分出貨</x:v>
      </x:c>
    </x:row>
    <x:row r="121" ht="20" customHeight="1">
      <x:c r="A121" t="str">
        <x:v>SO00120-01</x:v>
      </x:c>
      <x:c r="B121" t="str">
        <x:v>SO00120</x:v>
      </x:c>
      <x:c r="C121" t="str">
        <x:v>Q00187</x:v>
      </x:c>
      <x:c r="D121" t="str">
        <x:v>AUT-005</x:v>
      </x:c>
      <x:c r="E121" t="str">
        <x:v>S04</x:v>
      </x:c>
      <x:c r="F121" t="str">
        <x:v>PM-ALB-A</x:v>
      </x:c>
      <x:c r="G121" t="str">
        <x:v>精密金屬加工件</x:v>
      </x:c>
      <x:c r="H121" s="20" t="n">
        <x:v>45363</x:v>
      </x:c>
      <x:c r="I121" t="n">
        <x:v>1600</x:v>
      </x:c>
      <x:c r="J121" t="n">
        <x:v>10693.73</x:v>
      </x:c>
      <x:c r="K121" t="str">
        <x:v>TWD</x:v>
      </x:c>
      <x:c r="L121" s="20" t="n">
        <x:v>45384</x:v>
      </x:c>
      <x:c r="M121" s="20" t="n">
        <x:v>45387</x:v>
      </x:c>
      <x:c r="N121" t="str">
        <x:v>否</x:v>
      </x:c>
      <x:c r="O121" t="str">
        <x:v>VIP</x:v>
      </x:c>
      <x:c r="P121" t="str">
        <x:v>部分出貨</x:v>
      </x:c>
    </x:row>
    <x:row r="122" ht="20" customHeight="1">
      <x:c r="A122" t="str">
        <x:v>SO00121-01</x:v>
      </x:c>
      <x:c r="B122" t="str">
        <x:v>SO00121</x:v>
      </x:c>
      <x:c r="C122" t="str">
        <x:v>Q00188</x:v>
      </x:c>
      <x:c r="D122" t="str">
        <x:v>AUT-012</x:v>
      </x:c>
      <x:c r="E122" t="str">
        <x:v>S06</x:v>
      </x:c>
      <x:c r="F122" t="str">
        <x:v>AUTO-BS-A</x:v>
      </x:c>
      <x:c r="G122" t="str">
        <x:v>汽車精密零組件</x:v>
      </x:c>
      <x:c r="H122" s="20" t="n">
        <x:v>45369</x:v>
      </x:c>
      <x:c r="I122" t="n">
        <x:v>10000</x:v>
      </x:c>
      <x:c r="J122" t="n">
        <x:v>697.79</x:v>
      </x:c>
      <x:c r="K122" t="str">
        <x:v>TWD</x:v>
      </x:c>
      <x:c r="L122" s="20" t="n">
        <x:v>45382</x:v>
      </x:c>
      <x:c r="M122" s="20" t="n">
        <x:v>45382</x:v>
      </x:c>
      <x:c r="N122" t="str">
        <x:v>否</x:v>
      </x:c>
      <x:c r="O122" t="str">
        <x:v>VIP</x:v>
      </x:c>
      <x:c r="P122" t="str">
        <x:v>部分出貨</x:v>
      </x:c>
    </x:row>
    <x:row r="123" ht="20" customHeight="1">
      <x:c r="A123" t="str">
        <x:v>SO00122-01</x:v>
      </x:c>
      <x:c r="B123" t="str">
        <x:v>SO00122</x:v>
      </x:c>
      <x:c r="C123" t="str">
        <x:v>Q00190</x:v>
      </x:c>
      <x:c r="D123" t="str">
        <x:v>EMS-005</x:v>
      </x:c>
      <x:c r="E123" t="str">
        <x:v>S01</x:v>
      </x:c>
      <x:c r="F123" t="str">
        <x:v>SEMI-CHB-A</x:v>
      </x:c>
      <x:c r="G123" t="str">
        <x:v>半導體設備零組件</x:v>
      </x:c>
      <x:c r="H123" s="20" t="n">
        <x:v>45370</x:v>
      </x:c>
      <x:c r="I123" t="n">
        <x:v>80</x:v>
      </x:c>
      <x:c r="J123" t="n">
        <x:v>90851.74</x:v>
      </x:c>
      <x:c r="K123" t="str">
        <x:v>TWD</x:v>
      </x:c>
      <x:c r="L123" s="20" t="n">
        <x:v>45418</x:v>
      </x:c>
      <x:c r="M123" s="20" t="n">
        <x:v>45418</x:v>
      </x:c>
      <x:c r="N123" t="str">
        <x:v>否</x:v>
      </x:c>
      <x:c r="O123" t="str">
        <x:v>VIP</x:v>
      </x:c>
      <x:c r="P123" t="str">
        <x:v>部分出貨</x:v>
      </x:c>
    </x:row>
    <x:row r="124" ht="20" customHeight="1">
      <x:c r="A124" t="str">
        <x:v>SO00123-01</x:v>
      </x:c>
      <x:c r="B124" t="str">
        <x:v>SO00123</x:v>
      </x:c>
      <x:c r="C124" t="str">
        <x:v>Q00191</x:v>
      </x:c>
      <x:c r="D124" t="str">
        <x:v>EMS-007</x:v>
      </x:c>
      <x:c r="E124" t="str">
        <x:v>S04</x:v>
      </x:c>
      <x:c r="F124" t="str">
        <x:v>AUTO-BRK-A</x:v>
      </x:c>
      <x:c r="G124" t="str">
        <x:v>汽車精密零組件</x:v>
      </x:c>
      <x:c r="H124" s="20" t="n">
        <x:v>45377</x:v>
      </x:c>
      <x:c r="I124" t="n">
        <x:v>5000</x:v>
      </x:c>
      <x:c r="J124" t="n">
        <x:v>1783.42</x:v>
      </x:c>
      <x:c r="K124" t="str">
        <x:v>TWD</x:v>
      </x:c>
      <x:c r="L124" s="20" t="n">
        <x:v>45397</x:v>
      </x:c>
      <x:c r="M124" s="20" t="n">
        <x:v>45397</x:v>
      </x:c>
      <x:c r="N124" t="str">
        <x:v>否</x:v>
      </x:c>
      <x:c r="O124" t="str">
        <x:v>一般</x:v>
      </x:c>
      <x:c r="P124" t="str">
        <x:v>部分出貨</x:v>
      </x:c>
    </x:row>
    <x:row r="125" ht="20" customHeight="1">
      <x:c r="A125" t="str">
        <x:v>SO00124-01</x:v>
      </x:c>
      <x:c r="B125" t="str">
        <x:v>SO00124</x:v>
      </x:c>
      <x:c r="C125" t="str">
        <x:v>Q00193</x:v>
      </x:c>
      <x:c r="D125" t="str">
        <x:v>SEM-010</x:v>
      </x:c>
      <x:c r="E125" t="str">
        <x:v>S01</x:v>
      </x:c>
      <x:c r="F125" t="str">
        <x:v>MECH-CON-B</x:v>
      </x:c>
      <x:c r="G125" t="str">
        <x:v>機電／自動化模組</x:v>
      </x:c>
      <x:c r="H125" s="20" t="n">
        <x:v>45386</x:v>
      </x:c>
      <x:c r="I125" t="n">
        <x:v>40</x:v>
      </x:c>
      <x:c r="J125" t="n">
        <x:v>152064.23</x:v>
      </x:c>
      <x:c r="K125" t="str">
        <x:v>TWD</x:v>
      </x:c>
      <x:c r="L125" s="20" t="n">
        <x:v>45433</x:v>
      </x:c>
      <x:c r="M125" s="20" t="n">
        <x:v>45433</x:v>
      </x:c>
      <x:c r="N125" t="str">
        <x:v>否</x:v>
      </x:c>
      <x:c r="O125" t="str">
        <x:v>一般</x:v>
      </x:c>
      <x:c r="P125" t="str">
        <x:v>部分出貨</x:v>
      </x:c>
    </x:row>
    <x:row r="126" ht="20" customHeight="1">
      <x:c r="A126" t="str">
        <x:v>SO00125-01</x:v>
      </x:c>
      <x:c r="B126" t="str">
        <x:v>SO00125</x:v>
      </x:c>
      <x:c r="C126" t="str">
        <x:v>Q00194</x:v>
      </x:c>
      <x:c r="D126" t="str">
        <x:v>IAT-002</x:v>
      </x:c>
      <x:c r="E126" t="str">
        <x:v>S01</x:v>
      </x:c>
      <x:c r="F126" t="str">
        <x:v>AUTO-FL-B</x:v>
      </x:c>
      <x:c r="G126" t="str">
        <x:v>汽車精密零組件</x:v>
      </x:c>
      <x:c r="H126" s="20" t="n">
        <x:v>45382</x:v>
      </x:c>
      <x:c r="I126" t="n">
        <x:v>7000</x:v>
      </x:c>
      <x:c r="J126" t="n">
        <x:v>1560.45</x:v>
      </x:c>
      <x:c r="K126" t="str">
        <x:v>TWD</x:v>
      </x:c>
      <x:c r="L126" s="20" t="n">
        <x:v>45399</x:v>
      </x:c>
      <x:c r="M126" s="20" t="n">
        <x:v>45400</x:v>
      </x:c>
      <x:c r="N126" t="str">
        <x:v>是</x:v>
      </x:c>
      <x:c r="O126" t="str">
        <x:v>一般</x:v>
      </x:c>
      <x:c r="P126" t="str">
        <x:v>部分出貨</x:v>
      </x:c>
    </x:row>
    <x:row r="127" ht="20" customHeight="1">
      <x:c r="A127" t="str">
        <x:v>SO00126-01</x:v>
      </x:c>
      <x:c r="B127" t="str">
        <x:v>SO00126</x:v>
      </x:c>
      <x:c r="C127" t="str">
        <x:v>Q00196</x:v>
      </x:c>
      <x:c r="D127" t="str">
        <x:v>EMS-007</x:v>
      </x:c>
      <x:c r="E127" t="str">
        <x:v>S04</x:v>
      </x:c>
      <x:c r="F127" t="str">
        <x:v>AUTO-KN-A</x:v>
      </x:c>
      <x:c r="G127" t="str">
        <x:v>汽車精密零組件</x:v>
      </x:c>
      <x:c r="H127" s="20" t="n">
        <x:v>45379</x:v>
      </x:c>
      <x:c r="I127" t="n">
        <x:v>13000</x:v>
      </x:c>
      <x:c r="J127" t="n">
        <x:v>2951.82</x:v>
      </x:c>
      <x:c r="K127" t="str">
        <x:v>TWD</x:v>
      </x:c>
      <x:c r="L127" s="20" t="n">
        <x:v>45400</x:v>
      </x:c>
      <x:c r="M127" s="20" t="n">
        <x:v>45401</x:v>
      </x:c>
      <x:c r="N127" t="str">
        <x:v>否</x:v>
      </x:c>
      <x:c r="O127" t="str">
        <x:v>一般</x:v>
      </x:c>
      <x:c r="P127" t="str">
        <x:v>部分出貨</x:v>
      </x:c>
    </x:row>
    <x:row r="128" ht="20" customHeight="1">
      <x:c r="A128" t="str">
        <x:v>SO00127-01</x:v>
      </x:c>
      <x:c r="B128" t="str">
        <x:v>SO00127</x:v>
      </x:c>
      <x:c r="C128" t="str">
        <x:v>Q00197</x:v>
      </x:c>
      <x:c r="D128" t="str">
        <x:v>EMS-004</x:v>
      </x:c>
      <x:c r="E128" t="str">
        <x:v>S03</x:v>
      </x:c>
      <x:c r="F128" t="str">
        <x:v>SEMI-CHB-A</x:v>
      </x:c>
      <x:c r="G128" t="str">
        <x:v>半導體設備零組件</x:v>
      </x:c>
      <x:c r="H128" s="20" t="n">
        <x:v>45382</x:v>
      </x:c>
      <x:c r="I128" t="n">
        <x:v>120</x:v>
      </x:c>
      <x:c r="J128" t="n">
        <x:v>86227.04</x:v>
      </x:c>
      <x:c r="K128" t="str">
        <x:v>TWD</x:v>
      </x:c>
      <x:c r="L128" s="20" t="n">
        <x:v>45418</x:v>
      </x:c>
      <x:c r="M128" s="20" t="n">
        <x:v>45426</x:v>
      </x:c>
      <x:c r="N128" t="str">
        <x:v>是</x:v>
      </x:c>
      <x:c r="O128" t="str">
        <x:v>VIP</x:v>
      </x:c>
      <x:c r="P128" t="str">
        <x:v>部分出貨</x:v>
      </x:c>
    </x:row>
    <x:row r="129" ht="20" customHeight="1">
      <x:c r="A129" t="str">
        <x:v>SO00128-01</x:v>
      </x:c>
      <x:c r="B129" t="str">
        <x:v>SO00128</x:v>
      </x:c>
      <x:c r="C129" t="str">
        <x:v>Q00199</x:v>
      </x:c>
      <x:c r="D129" t="str">
        <x:v>EMS-007</x:v>
      </x:c>
      <x:c r="E129" t="str">
        <x:v>S04</x:v>
      </x:c>
      <x:c r="F129" t="str">
        <x:v>AUTO-LG-B</x:v>
      </x:c>
      <x:c r="G129" t="str">
        <x:v>汽車精密零組件</x:v>
      </x:c>
      <x:c r="H129" s="20" t="n">
        <x:v>45372</x:v>
      </x:c>
      <x:c r="I129" t="n">
        <x:v>3000</x:v>
      </x:c>
      <x:c r="J129" t="n">
        <x:v>1208.15</x:v>
      </x:c>
      <x:c r="K129" t="str">
        <x:v>TWD</x:v>
      </x:c>
      <x:c r="L129" s="20" t="n">
        <x:v>45385</x:v>
      </x:c>
      <x:c r="M129" s="20" t="n">
        <x:v>45389</x:v>
      </x:c>
      <x:c r="N129" t="str">
        <x:v>是</x:v>
      </x:c>
      <x:c r="O129" t="str">
        <x:v>一般</x:v>
      </x:c>
      <x:c r="P129" t="str">
        <x:v>部分出貨</x:v>
      </x:c>
    </x:row>
    <x:row r="130" ht="20" customHeight="1">
      <x:c r="A130" t="str">
        <x:v>SO00129-01</x:v>
      </x:c>
      <x:c r="B130" t="str">
        <x:v>SO00129</x:v>
      </x:c>
      <x:c r="C130" t="str">
        <x:v>Q00201</x:v>
      </x:c>
      <x:c r="D130" t="str">
        <x:v>AUT-011</x:v>
      </x:c>
      <x:c r="E130" t="str">
        <x:v>S02</x:v>
      </x:c>
      <x:c r="F130" t="str">
        <x:v>PM-SUS-B</x:v>
      </x:c>
      <x:c r="G130" t="str">
        <x:v>精密金屬加工件</x:v>
      </x:c>
      <x:c r="H130" s="20" t="n">
        <x:v>45366</x:v>
      </x:c>
      <x:c r="I130" t="n">
        <x:v>1200</x:v>
      </x:c>
      <x:c r="J130" t="n">
        <x:v>15275.7</x:v>
      </x:c>
      <x:c r="K130" t="str">
        <x:v>TWD</x:v>
      </x:c>
      <x:c r="L130" s="20" t="n">
        <x:v>45392</x:v>
      </x:c>
      <x:c r="M130" s="20" t="n">
        <x:v>45396</x:v>
      </x:c>
      <x:c r="N130" t="str">
        <x:v>否</x:v>
      </x:c>
      <x:c r="O130" t="str">
        <x:v>重要</x:v>
      </x:c>
      <x:c r="P130" t="str">
        <x:v>部分出貨</x:v>
      </x:c>
    </x:row>
    <x:row r="131" ht="20" customHeight="1">
      <x:c r="A131" t="str">
        <x:v>SO00130-01</x:v>
      </x:c>
      <x:c r="B131" t="str">
        <x:v>SO00130</x:v>
      </x:c>
      <x:c r="C131" t="str">
        <x:v>Q00203</x:v>
      </x:c>
      <x:c r="D131" t="str">
        <x:v>IAT-003</x:v>
      </x:c>
      <x:c r="E131" t="str">
        <x:v>S04</x:v>
      </x:c>
      <x:c r="F131" t="str">
        <x:v>AUTO-LG-B</x:v>
      </x:c>
      <x:c r="G131" t="str">
        <x:v>汽車精密零組件</x:v>
      </x:c>
      <x:c r="H131" s="20" t="n">
        <x:v>45376</x:v>
      </x:c>
      <x:c r="I131" t="n">
        <x:v>7000</x:v>
      </x:c>
      <x:c r="J131" t="n">
        <x:v>1113.16</x:v>
      </x:c>
      <x:c r="K131" t="str">
        <x:v>TWD</x:v>
      </x:c>
      <x:c r="L131" s="20" t="n">
        <x:v>45394</x:v>
      </x:c>
      <x:c r="M131" s="20" t="n">
        <x:v>45395</x:v>
      </x:c>
      <x:c r="N131" t="str">
        <x:v>否</x:v>
      </x:c>
      <x:c r="O131" t="str">
        <x:v>重要</x:v>
      </x:c>
      <x:c r="P131" t="str">
        <x:v>部分出貨</x:v>
      </x:c>
    </x:row>
    <x:row r="132" ht="20" customHeight="1">
      <x:c r="A132" t="str">
        <x:v>SO00131-01</x:v>
      </x:c>
      <x:c r="B132" t="str">
        <x:v>SO00131</x:v>
      </x:c>
      <x:c r="C132" t="str">
        <x:v>Q00204</x:v>
      </x:c>
      <x:c r="D132" t="str">
        <x:v>AUT-010</x:v>
      </x:c>
      <x:c r="E132" t="str">
        <x:v>S05</x:v>
      </x:c>
      <x:c r="F132" t="str">
        <x:v>AUTO-FL-B</x:v>
      </x:c>
      <x:c r="G132" t="str">
        <x:v>汽車精密零組件</x:v>
      </x:c>
      <x:c r="H132" s="20" t="n">
        <x:v>45382</x:v>
      </x:c>
      <x:c r="I132" t="n">
        <x:v>3000</x:v>
      </x:c>
      <x:c r="J132" t="n">
        <x:v>1511.77</x:v>
      </x:c>
      <x:c r="K132" t="str">
        <x:v>TWD</x:v>
      </x:c>
      <x:c r="L132" s="20" t="n">
        <x:v>45397</x:v>
      </x:c>
      <x:c r="M132" s="20" t="n">
        <x:v>45400</x:v>
      </x:c>
      <x:c r="N132" t="str">
        <x:v>否</x:v>
      </x:c>
      <x:c r="O132" t="str">
        <x:v>VIP</x:v>
      </x:c>
      <x:c r="P132" t="str">
        <x:v>部分出貨</x:v>
      </x:c>
    </x:row>
    <x:row r="133" ht="20" customHeight="1">
      <x:c r="A133" t="str">
        <x:v>SO00132-01</x:v>
      </x:c>
      <x:c r="B133" t="str">
        <x:v>SO00132</x:v>
      </x:c>
      <x:c r="C133" t="str">
        <x:v>Q00205</x:v>
      </x:c>
      <x:c r="D133" t="str">
        <x:v>AFT-002</x:v>
      </x:c>
      <x:c r="E133" t="str">
        <x:v>S04</x:v>
      </x:c>
      <x:c r="F133" t="str">
        <x:v>AUTO-BS-A</x:v>
      </x:c>
      <x:c r="G133" t="str">
        <x:v>汽車精密零組件</x:v>
      </x:c>
      <x:c r="H133" s="20" t="n">
        <x:v>45362</x:v>
      </x:c>
      <x:c r="I133" t="n">
        <x:v>5000</x:v>
      </x:c>
      <x:c r="J133" t="n">
        <x:v>727.45</x:v>
      </x:c>
      <x:c r="K133" t="str">
        <x:v>TWD</x:v>
      </x:c>
      <x:c r="L133" s="20" t="n">
        <x:v>45377</x:v>
      </x:c>
      <x:c r="M133" s="20" t="n">
        <x:v>45377</x:v>
      </x:c>
      <x:c r="N133" t="str">
        <x:v>否</x:v>
      </x:c>
      <x:c r="O133" t="str">
        <x:v>一般</x:v>
      </x:c>
      <x:c r="P133" t="str">
        <x:v>已出貨</x:v>
      </x:c>
    </x:row>
    <x:row r="134" ht="20" customHeight="1">
      <x:c r="A134" t="str">
        <x:v>SO00133-01</x:v>
      </x:c>
      <x:c r="B134" t="str">
        <x:v>SO00133</x:v>
      </x:c>
      <x:c r="C134" t="str">
        <x:v>Q00208</x:v>
      </x:c>
      <x:c r="D134" t="str">
        <x:v>AUT-012</x:v>
      </x:c>
      <x:c r="E134" t="str">
        <x:v>S06</x:v>
      </x:c>
      <x:c r="F134" t="str">
        <x:v>AUTO-KN-A</x:v>
      </x:c>
      <x:c r="G134" t="str">
        <x:v>汽車精密零組件</x:v>
      </x:c>
      <x:c r="H134" s="20" t="n">
        <x:v>45395</x:v>
      </x:c>
      <x:c r="I134" t="n">
        <x:v>7000</x:v>
      </x:c>
      <x:c r="J134" t="n">
        <x:v>3227.55</x:v>
      </x:c>
      <x:c r="K134" t="str">
        <x:v>TWD</x:v>
      </x:c>
      <x:c r="L134" s="20" t="n">
        <x:v>45418</x:v>
      </x:c>
      <x:c r="M134" s="20" t="n">
        <x:v>45419</x:v>
      </x:c>
      <x:c r="N134" t="str">
        <x:v>否</x:v>
      </x:c>
      <x:c r="O134" t="str">
        <x:v>VIP</x:v>
      </x:c>
      <x:c r="P134" t="str">
        <x:v>部分出貨</x:v>
      </x:c>
    </x:row>
    <x:row r="135" ht="20" customHeight="1">
      <x:c r="A135" t="str">
        <x:v>SO00134-01</x:v>
      </x:c>
      <x:c r="B135" t="str">
        <x:v>SO00134</x:v>
      </x:c>
      <x:c r="C135" t="str">
        <x:v>Q00209</x:v>
      </x:c>
      <x:c r="D135" t="str">
        <x:v>EMS-005</x:v>
      </x:c>
      <x:c r="E135" t="str">
        <x:v>S01</x:v>
      </x:c>
      <x:c r="F135" t="str">
        <x:v>PM-VAC-A</x:v>
      </x:c>
      <x:c r="G135" t="str">
        <x:v>精密金屬加工件</x:v>
      </x:c>
      <x:c r="H135" s="20" t="n">
        <x:v>45412</x:v>
      </x:c>
      <x:c r="I135" t="n">
        <x:v>1600</x:v>
      </x:c>
      <x:c r="J135" t="n">
        <x:v>15967.79</x:v>
      </x:c>
      <x:c r="K135" t="str">
        <x:v>TWD</x:v>
      </x:c>
      <x:c r="L135" s="20" t="n">
        <x:v>45434</x:v>
      </x:c>
      <x:c r="M135" s="20" t="n">
        <x:v>45440</x:v>
      </x:c>
      <x:c r="N135" t="str">
        <x:v>是</x:v>
      </x:c>
      <x:c r="O135" t="str">
        <x:v>VIP</x:v>
      </x:c>
      <x:c r="P135" t="str">
        <x:v>部分出貨</x:v>
      </x:c>
    </x:row>
    <x:row r="136" ht="20" customHeight="1">
      <x:c r="A136" t="str">
        <x:v>SO00135-01</x:v>
      </x:c>
      <x:c r="B136" t="str">
        <x:v>SO00135</x:v>
      </x:c>
      <x:c r="C136" t="str">
        <x:v>Q00210</x:v>
      </x:c>
      <x:c r="D136" t="str">
        <x:v>AUT-002</x:v>
      </x:c>
      <x:c r="E136" t="str">
        <x:v>S04</x:v>
      </x:c>
      <x:c r="F136" t="str">
        <x:v>AUTO-LG-A</x:v>
      </x:c>
      <x:c r="G136" t="str">
        <x:v>汽車精密零組件</x:v>
      </x:c>
      <x:c r="H136" s="20" t="n">
        <x:v>45408</x:v>
      </x:c>
      <x:c r="I136" t="n">
        <x:v>10000</x:v>
      </x:c>
      <x:c r="J136" t="n">
        <x:v>1164.76</x:v>
      </x:c>
      <x:c r="K136" t="str">
        <x:v>TWD</x:v>
      </x:c>
      <x:c r="L136" s="20" t="n">
        <x:v>45428</x:v>
      </x:c>
      <x:c r="M136" s="20" t="n">
        <x:v>45428</x:v>
      </x:c>
      <x:c r="N136" t="str">
        <x:v>否</x:v>
      </x:c>
      <x:c r="O136" t="str">
        <x:v>重要</x:v>
      </x:c>
      <x:c r="P136" t="str">
        <x:v>部分出貨</x:v>
      </x:c>
    </x:row>
    <x:row r="137" ht="20" customHeight="1">
      <x:c r="A137" t="str">
        <x:v>SO00136-01</x:v>
      </x:c>
      <x:c r="B137" t="str">
        <x:v>SO00136</x:v>
      </x:c>
      <x:c r="C137" t="str">
        <x:v>Q00211</x:v>
      </x:c>
      <x:c r="D137" t="str">
        <x:v>EMS-002</x:v>
      </x:c>
      <x:c r="E137" t="str">
        <x:v>S05</x:v>
      </x:c>
      <x:c r="F137" t="str">
        <x:v>AUTO-KN-B</x:v>
      </x:c>
      <x:c r="G137" t="str">
        <x:v>汽車精密零組件</x:v>
      </x:c>
      <x:c r="H137" s="20" t="n">
        <x:v>45393</x:v>
      </x:c>
      <x:c r="I137" t="n">
        <x:v>3000</x:v>
      </x:c>
      <x:c r="J137" t="n">
        <x:v>3674.13</x:v>
      </x:c>
      <x:c r="K137" t="str">
        <x:v>TWD</x:v>
      </x:c>
      <x:c r="L137" s="20" t="n">
        <x:v>45414</x:v>
      </x:c>
      <x:c r="M137" s="20" t="n">
        <x:v>45417</x:v>
      </x:c>
      <x:c r="N137" t="str">
        <x:v>是</x:v>
      </x:c>
      <x:c r="O137" t="str">
        <x:v>重要</x:v>
      </x:c>
      <x:c r="P137" t="str">
        <x:v>部分出貨</x:v>
      </x:c>
    </x:row>
    <x:row r="138" ht="20" customHeight="1">
      <x:c r="A138" t="str">
        <x:v>SO00137-01</x:v>
      </x:c>
      <x:c r="B138" t="str">
        <x:v>SO00137</x:v>
      </x:c>
      <x:c r="C138" t="str">
        <x:v>Q00212</x:v>
      </x:c>
      <x:c r="D138" t="str">
        <x:v>SEM-006</x:v>
      </x:c>
      <x:c r="E138" t="str">
        <x:v>S06</x:v>
      </x:c>
      <x:c r="F138" t="str">
        <x:v>PM-SUS-B</x:v>
      </x:c>
      <x:c r="G138" t="str">
        <x:v>精密金屬加工件</x:v>
      </x:c>
      <x:c r="H138" s="20" t="n">
        <x:v>45405</x:v>
      </x:c>
      <x:c r="I138" t="n">
        <x:v>1200</x:v>
      </x:c>
      <x:c r="J138" t="n">
        <x:v>14158.31</x:v>
      </x:c>
      <x:c r="K138" t="str">
        <x:v>TWD</x:v>
      </x:c>
      <x:c r="L138" s="20" t="n">
        <x:v>45436</x:v>
      </x:c>
      <x:c r="M138" s="20" t="n">
        <x:v>45436</x:v>
      </x:c>
      <x:c r="N138" t="str">
        <x:v>否</x:v>
      </x:c>
      <x:c r="O138" t="str">
        <x:v>重要</x:v>
      </x:c>
      <x:c r="P138" t="str">
        <x:v>部分出貨</x:v>
      </x:c>
    </x:row>
    <x:row r="139" ht="20" customHeight="1">
      <x:c r="A139" t="str">
        <x:v>SO00138-01</x:v>
      </x:c>
      <x:c r="B139" t="str">
        <x:v>SO00138</x:v>
      </x:c>
      <x:c r="C139" t="str">
        <x:v>Q00213</x:v>
      </x:c>
      <x:c r="D139" t="str">
        <x:v>IAT-007</x:v>
      </x:c>
      <x:c r="E139" t="str">
        <x:v>S04</x:v>
      </x:c>
      <x:c r="F139" t="str">
        <x:v>PM-VAC-B</x:v>
      </x:c>
      <x:c r="G139" t="str">
        <x:v>精密金屬加工件</x:v>
      </x:c>
      <x:c r="H139" s="20" t="n">
        <x:v>45414</x:v>
      </x:c>
      <x:c r="I139" t="n">
        <x:v>1200</x:v>
      </x:c>
      <x:c r="J139" t="n">
        <x:v>20570.18</x:v>
      </x:c>
      <x:c r="K139" t="str">
        <x:v>TWD</x:v>
      </x:c>
      <x:c r="L139" s="20" t="n">
        <x:v>45441</x:v>
      </x:c>
      <x:c r="M139" s="20" t="n">
        <x:v>45450</x:v>
      </x:c>
      <x:c r="N139" t="str">
        <x:v>是</x:v>
      </x:c>
      <x:c r="O139" t="str">
        <x:v>重要</x:v>
      </x:c>
      <x:c r="P139" t="str">
        <x:v>部分出貨</x:v>
      </x:c>
    </x:row>
    <x:row r="140" ht="20" customHeight="1">
      <x:c r="A140" t="str">
        <x:v>SO00139-01</x:v>
      </x:c>
      <x:c r="B140" t="str">
        <x:v>SO00139</x:v>
      </x:c>
      <x:c r="C140" t="str">
        <x:v>Q00215</x:v>
      </x:c>
      <x:c r="D140" t="str">
        <x:v>AUT-009</x:v>
      </x:c>
      <x:c r="E140" t="str">
        <x:v>S04</x:v>
      </x:c>
      <x:c r="F140" t="str">
        <x:v>AUTO-BS-A</x:v>
      </x:c>
      <x:c r="G140" t="str">
        <x:v>汽車精密零組件</x:v>
      </x:c>
      <x:c r="H140" s="20" t="n">
        <x:v>45394</x:v>
      </x:c>
      <x:c r="I140" t="n">
        <x:v>7000</x:v>
      </x:c>
      <x:c r="J140" t="n">
        <x:v>766.18</x:v>
      </x:c>
      <x:c r="K140" t="str">
        <x:v>TWD</x:v>
      </x:c>
      <x:c r="L140" s="20" t="n">
        <x:v>45404</x:v>
      </x:c>
      <x:c r="M140" s="20" t="n">
        <x:v>45408</x:v>
      </x:c>
      <x:c r="N140" t="str">
        <x:v>是</x:v>
      </x:c>
      <x:c r="O140" t="str">
        <x:v>重要</x:v>
      </x:c>
      <x:c r="P140" t="str">
        <x:v>部分出貨</x:v>
      </x:c>
    </x:row>
    <x:row r="141" ht="20" customHeight="1">
      <x:c r="A141" t="str">
        <x:v>SO00140-01</x:v>
      </x:c>
      <x:c r="B141" t="str">
        <x:v>SO00140</x:v>
      </x:c>
      <x:c r="C141" t="str">
        <x:v>Q00216</x:v>
      </x:c>
      <x:c r="D141" t="str">
        <x:v>SEM-001</x:v>
      </x:c>
      <x:c r="E141" t="str">
        <x:v>S01</x:v>
      </x:c>
      <x:c r="F141" t="str">
        <x:v>PM-VAC-A</x:v>
      </x:c>
      <x:c r="G141" t="str">
        <x:v>精密金屬加工件</x:v>
      </x:c>
      <x:c r="H141" s="20" t="n">
        <x:v>45396</x:v>
      </x:c>
      <x:c r="I141" t="n">
        <x:v>1200</x:v>
      </x:c>
      <x:c r="J141" t="n">
        <x:v>15626.19</x:v>
      </x:c>
      <x:c r="K141" t="str">
        <x:v>TWD</x:v>
      </x:c>
      <x:c r="L141" s="20" t="n">
        <x:v>45419</x:v>
      </x:c>
      <x:c r="M141" s="20" t="n">
        <x:v>45427</x:v>
      </x:c>
      <x:c r="N141" t="str">
        <x:v>是</x:v>
      </x:c>
      <x:c r="O141" t="str">
        <x:v>重要</x:v>
      </x:c>
      <x:c r="P141" t="str">
        <x:v>部分出貨</x:v>
      </x:c>
    </x:row>
    <x:row r="142" ht="20" customHeight="1">
      <x:c r="A142" t="str">
        <x:v>SO00141-01</x:v>
      </x:c>
      <x:c r="B142" t="str">
        <x:v>SO00141</x:v>
      </x:c>
      <x:c r="C142" t="str">
        <x:v>Q00220</x:v>
      </x:c>
      <x:c r="D142" t="str">
        <x:v>IAT-003</x:v>
      </x:c>
      <x:c r="E142" t="str">
        <x:v>S04</x:v>
      </x:c>
      <x:c r="F142" t="str">
        <x:v>PM-BRG-A</x:v>
      </x:c>
      <x:c r="G142" t="str">
        <x:v>精密金屬加工件</x:v>
      </x:c>
      <x:c r="H142" s="20" t="n">
        <x:v>45417</x:v>
      </x:c>
      <x:c r="I142" t="n">
        <x:v>500</x:v>
      </x:c>
      <x:c r="J142" t="n">
        <x:v>6847.95</x:v>
      </x:c>
      <x:c r="K142" t="str">
        <x:v>TWD</x:v>
      </x:c>
      <x:c r="L142" s="20" t="n">
        <x:v>45437</x:v>
      </x:c>
      <x:c r="M142" s="20" t="n">
        <x:v>45437</x:v>
      </x:c>
      <x:c r="N142" t="str">
        <x:v>否</x:v>
      </x:c>
      <x:c r="O142" t="str">
        <x:v>重要</x:v>
      </x:c>
      <x:c r="P142" t="str">
        <x:v>部分出貨</x:v>
      </x:c>
    </x:row>
    <x:row r="143" ht="20" customHeight="1">
      <x:c r="A143" t="str">
        <x:v>SO00142-01</x:v>
      </x:c>
      <x:c r="B143" t="str">
        <x:v>SO00142</x:v>
      </x:c>
      <x:c r="C143" t="str">
        <x:v>Q00221</x:v>
      </x:c>
      <x:c r="D143" t="str">
        <x:v>AFT-007</x:v>
      </x:c>
      <x:c r="E143" t="str">
        <x:v>S04</x:v>
      </x:c>
      <x:c r="F143" t="str">
        <x:v>PM-ALB-B</x:v>
      </x:c>
      <x:c r="G143" t="str">
        <x:v>精密金屬加工件</x:v>
      </x:c>
      <x:c r="H143" s="20" t="n">
        <x:v>45387</x:v>
      </x:c>
      <x:c r="I143" t="n">
        <x:v>1200</x:v>
      </x:c>
      <x:c r="J143" t="n">
        <x:v>15800.51</x:v>
      </x:c>
      <x:c r="K143" t="str">
        <x:v>TWD</x:v>
      </x:c>
      <x:c r="L143" s="20" t="n">
        <x:v>45420</x:v>
      </x:c>
      <x:c r="M143" s="20" t="n">
        <x:v>45420</x:v>
      </x:c>
      <x:c r="N143" t="str">
        <x:v>否</x:v>
      </x:c>
      <x:c r="O143" t="str">
        <x:v>一般</x:v>
      </x:c>
      <x:c r="P143" t="str">
        <x:v>部分出貨</x:v>
      </x:c>
    </x:row>
    <x:row r="144" ht="20" customHeight="1">
      <x:c r="A144" t="str">
        <x:v>SO00143-01</x:v>
      </x:c>
      <x:c r="B144" t="str">
        <x:v>SO00143</x:v>
      </x:c>
      <x:c r="C144" t="str">
        <x:v>Q00222</x:v>
      </x:c>
      <x:c r="D144" t="str">
        <x:v>EMS-003</x:v>
      </x:c>
      <x:c r="E144" t="str">
        <x:v>S05</x:v>
      </x:c>
      <x:c r="F144" t="str">
        <x:v>MECH-STG-A</x:v>
      </x:c>
      <x:c r="G144" t="str">
        <x:v>機電／自動化模組</x:v>
      </x:c>
      <x:c r="H144" s="20" t="n">
        <x:v>45413</x:v>
      </x:c>
      <x:c r="I144" t="n">
        <x:v>50</x:v>
      </x:c>
      <x:c r="J144" t="n">
        <x:v>139461.63</x:v>
      </x:c>
      <x:c r="K144" t="str">
        <x:v>TWD</x:v>
      </x:c>
      <x:c r="L144" s="20" t="n">
        <x:v>45443</x:v>
      </x:c>
      <x:c r="M144" s="20" t="n">
        <x:v>45455</x:v>
      </x:c>
      <x:c r="N144" t="str">
        <x:v>是</x:v>
      </x:c>
      <x:c r="O144" t="str">
        <x:v>一般</x:v>
      </x:c>
      <x:c r="P144" t="str">
        <x:v>已出貨</x:v>
      </x:c>
    </x:row>
    <x:row r="145" ht="20" customHeight="1">
      <x:c r="A145" t="str">
        <x:v>SO00144-01</x:v>
      </x:c>
      <x:c r="B145" t="str">
        <x:v>SO00144</x:v>
      </x:c>
      <x:c r="C145" t="str">
        <x:v>Q00225</x:v>
      </x:c>
      <x:c r="D145" t="str">
        <x:v>AUT-011</x:v>
      </x:c>
      <x:c r="E145" t="str">
        <x:v>S02</x:v>
      </x:c>
      <x:c r="F145" t="str">
        <x:v>PM-VAC-B</x:v>
      </x:c>
      <x:c r="G145" t="str">
        <x:v>精密金屬加工件</x:v>
      </x:c>
      <x:c r="H145" s="20" t="n">
        <x:v>45409</x:v>
      </x:c>
      <x:c r="I145" t="n">
        <x:v>500</x:v>
      </x:c>
      <x:c r="J145" t="n">
        <x:v>23502.53</x:v>
      </x:c>
      <x:c r="K145" t="str">
        <x:v>TWD</x:v>
      </x:c>
      <x:c r="L145" s="20" t="n">
        <x:v>45439</x:v>
      </x:c>
      <x:c r="M145" s="20" t="n">
        <x:v>45442</x:v>
      </x:c>
      <x:c r="N145" t="str">
        <x:v>否</x:v>
      </x:c>
      <x:c r="O145" t="str">
        <x:v>重要</x:v>
      </x:c>
      <x:c r="P145" t="str">
        <x:v>部分出貨</x:v>
      </x:c>
    </x:row>
    <x:row r="146" ht="20" customHeight="1">
      <x:c r="A146" t="str">
        <x:v>SO00145-01</x:v>
      </x:c>
      <x:c r="B146" t="str">
        <x:v>SO00145</x:v>
      </x:c>
      <x:c r="C146" t="str">
        <x:v>Q00228</x:v>
      </x:c>
      <x:c r="D146" t="str">
        <x:v>AFT-005</x:v>
      </x:c>
      <x:c r="E146" t="str">
        <x:v>S05</x:v>
      </x:c>
      <x:c r="F146" t="str">
        <x:v>AUTO-BS-A</x:v>
      </x:c>
      <x:c r="G146" t="str">
        <x:v>汽車精密零組件</x:v>
      </x:c>
      <x:c r="H146" s="20" t="n">
        <x:v>45411</x:v>
      </x:c>
      <x:c r="I146" t="n">
        <x:v>5000</x:v>
      </x:c>
      <x:c r="J146" t="n">
        <x:v>751.94</x:v>
      </x:c>
      <x:c r="K146" t="str">
        <x:v>TWD</x:v>
      </x:c>
      <x:c r="L146" s="20" t="n">
        <x:v>45423</x:v>
      </x:c>
      <x:c r="M146" s="20" t="n">
        <x:v>45426</x:v>
      </x:c>
      <x:c r="N146" t="str">
        <x:v>否</x:v>
      </x:c>
      <x:c r="O146" t="str">
        <x:v>VIP</x:v>
      </x:c>
      <x:c r="P146" t="str">
        <x:v>部分出貨</x:v>
      </x:c>
    </x:row>
    <x:row r="147" ht="20" customHeight="1">
      <x:c r="A147" t="str">
        <x:v>SO00146-01</x:v>
      </x:c>
      <x:c r="B147" t="str">
        <x:v>SO00146</x:v>
      </x:c>
      <x:c r="C147" t="str">
        <x:v>Q00229</x:v>
      </x:c>
      <x:c r="D147" t="str">
        <x:v>AUT-008</x:v>
      </x:c>
      <x:c r="E147" t="str">
        <x:v>S01</x:v>
      </x:c>
      <x:c r="F147" t="str">
        <x:v>AUTO-BRK-A</x:v>
      </x:c>
      <x:c r="G147" t="str">
        <x:v>汽車精密零組件</x:v>
      </x:c>
      <x:c r="H147" s="20" t="n">
        <x:v>45398</x:v>
      </x:c>
      <x:c r="I147" t="n">
        <x:v>10000</x:v>
      </x:c>
      <x:c r="J147" t="n">
        <x:v>1594.31</x:v>
      </x:c>
      <x:c r="K147" t="str">
        <x:v>TWD</x:v>
      </x:c>
      <x:c r="L147" s="20" t="n">
        <x:v>45412</x:v>
      </x:c>
      <x:c r="M147" s="20" t="n">
        <x:v>45414</x:v>
      </x:c>
      <x:c r="N147" t="str">
        <x:v>是</x:v>
      </x:c>
      <x:c r="O147" t="str">
        <x:v>重要</x:v>
      </x:c>
      <x:c r="P147" t="str">
        <x:v>部分出貨</x:v>
      </x:c>
    </x:row>
    <x:row r="148" ht="20" customHeight="1">
      <x:c r="A148" t="str">
        <x:v>SO00147-01</x:v>
      </x:c>
      <x:c r="B148" t="str">
        <x:v>SO00147</x:v>
      </x:c>
      <x:c r="C148" t="str">
        <x:v>Q00233</x:v>
      </x:c>
      <x:c r="D148" t="str">
        <x:v>SEM-009</x:v>
      </x:c>
      <x:c r="E148" t="str">
        <x:v>S02</x:v>
      </x:c>
      <x:c r="F148" t="str">
        <x:v>SEMI-WH-A</x:v>
      </x:c>
      <x:c r="G148" t="str">
        <x:v>半導體設備零組件</x:v>
      </x:c>
      <x:c r="H148" s="20" t="n">
        <x:v>45409</x:v>
      </x:c>
      <x:c r="I148" t="n">
        <x:v>160</x:v>
      </x:c>
      <x:c r="J148" t="n">
        <x:v>115841.81</x:v>
      </x:c>
      <x:c r="K148" t="str">
        <x:v>TWD</x:v>
      </x:c>
      <x:c r="L148" s="20" t="n">
        <x:v>45462</x:v>
      </x:c>
      <x:c r="M148" s="20" t="n">
        <x:v>45462</x:v>
      </x:c>
      <x:c r="N148" t="str">
        <x:v>否</x:v>
      </x:c>
      <x:c r="O148" t="str">
        <x:v>重要</x:v>
      </x:c>
      <x:c r="P148" t="str">
        <x:v>部分出貨</x:v>
      </x:c>
    </x:row>
    <x:row r="149" ht="20" customHeight="1">
      <x:c r="A149" t="str">
        <x:v>SO00148-01</x:v>
      </x:c>
      <x:c r="B149" t="str">
        <x:v>SO00148</x:v>
      </x:c>
      <x:c r="C149" t="str">
        <x:v>Q00235</x:v>
      </x:c>
      <x:c r="D149" t="str">
        <x:v>AUT-013</x:v>
      </x:c>
      <x:c r="E149" t="str">
        <x:v>S01</x:v>
      </x:c>
      <x:c r="F149" t="str">
        <x:v>AUTO-BS-A</x:v>
      </x:c>
      <x:c r="G149" t="str">
        <x:v>汽車精密零組件</x:v>
      </x:c>
      <x:c r="H149" s="20" t="n">
        <x:v>45429</x:v>
      </x:c>
      <x:c r="I149" t="n">
        <x:v>5000</x:v>
      </x:c>
      <x:c r="J149" t="n">
        <x:v>764.9</x:v>
      </x:c>
      <x:c r="K149" t="str">
        <x:v>TWD</x:v>
      </x:c>
      <x:c r="L149" s="20" t="n">
        <x:v>45440</x:v>
      </x:c>
      <x:c r="M149" s="20" t="n">
        <x:v>45442</x:v>
      </x:c>
      <x:c r="N149" t="str">
        <x:v>是</x:v>
      </x:c>
      <x:c r="O149" t="str">
        <x:v>重要</x:v>
      </x:c>
      <x:c r="P149" t="str">
        <x:v>部分出貨</x:v>
      </x:c>
    </x:row>
    <x:row r="150" ht="20" customHeight="1">
      <x:c r="A150" t="str">
        <x:v>SO00149-01</x:v>
      </x:c>
      <x:c r="B150" t="str">
        <x:v>SO00149</x:v>
      </x:c>
      <x:c r="C150" t="str">
        <x:v>Q00236</x:v>
      </x:c>
      <x:c r="D150" t="str">
        <x:v>AUT-013</x:v>
      </x:c>
      <x:c r="E150" t="str">
        <x:v>S01</x:v>
      </x:c>
      <x:c r="F150" t="str">
        <x:v>AUTO-FL-B</x:v>
      </x:c>
      <x:c r="G150" t="str">
        <x:v>汽車精密零組件</x:v>
      </x:c>
      <x:c r="H150" s="20" t="n">
        <x:v>45446</x:v>
      </x:c>
      <x:c r="I150" t="n">
        <x:v>5000</x:v>
      </x:c>
      <x:c r="J150" t="n">
        <x:v>1465.98</x:v>
      </x:c>
      <x:c r="K150" t="str">
        <x:v>TWD</x:v>
      </x:c>
      <x:c r="L150" s="20" t="n">
        <x:v>45462</x:v>
      </x:c>
      <x:c r="M150" s="20" t="n">
        <x:v>45464</x:v>
      </x:c>
      <x:c r="N150" t="str">
        <x:v>否</x:v>
      </x:c>
      <x:c r="O150" t="str">
        <x:v>重要</x:v>
      </x:c>
      <x:c r="P150" t="str">
        <x:v>部分出貨</x:v>
      </x:c>
    </x:row>
    <x:row r="151" ht="20" customHeight="1">
      <x:c r="A151" t="str">
        <x:v>SO00150-01</x:v>
      </x:c>
      <x:c r="B151" t="str">
        <x:v>SO00150</x:v>
      </x:c>
      <x:c r="C151" t="str">
        <x:v>Q00237</x:v>
      </x:c>
      <x:c r="D151" t="str">
        <x:v>SEM-004</x:v>
      </x:c>
      <x:c r="E151" t="str">
        <x:v>S02</x:v>
      </x:c>
      <x:c r="F151" t="str">
        <x:v>MECH-CON-A</x:v>
      </x:c>
      <x:c r="G151" t="str">
        <x:v>機電／自動化模組</x:v>
      </x:c>
      <x:c r="H151" s="20" t="n">
        <x:v>45424</x:v>
      </x:c>
      <x:c r="I151" t="n">
        <x:v>10</x:v>
      </x:c>
      <x:c r="J151" t="n">
        <x:v>112414.78</x:v>
      </x:c>
      <x:c r="K151" t="str">
        <x:v>TWD</x:v>
      </x:c>
      <x:c r="L151" s="20" t="n">
        <x:v>45462</x:v>
      </x:c>
      <x:c r="M151" s="20" t="n">
        <x:v>45462</x:v>
      </x:c>
      <x:c r="N151" t="str">
        <x:v>否</x:v>
      </x:c>
      <x:c r="O151" t="str">
        <x:v>一般</x:v>
      </x:c>
      <x:c r="P151" t="str">
        <x:v>已出貨</x:v>
      </x:c>
    </x:row>
    <x:row r="152" ht="20" customHeight="1">
      <x:c r="A152" t="str">
        <x:v>SO00151-01</x:v>
      </x:c>
      <x:c r="B152" t="str">
        <x:v>SO00151</x:v>
      </x:c>
      <x:c r="C152" t="str">
        <x:v>Q00238</x:v>
      </x:c>
      <x:c r="D152" t="str">
        <x:v>IAT-002</x:v>
      </x:c>
      <x:c r="E152" t="str">
        <x:v>S01</x:v>
      </x:c>
      <x:c r="F152" t="str">
        <x:v>SEMI-CHB-A</x:v>
      </x:c>
      <x:c r="G152" t="str">
        <x:v>半導體設備零組件</x:v>
      </x:c>
      <x:c r="H152" s="20" t="n">
        <x:v>45427</x:v>
      </x:c>
      <x:c r="I152" t="n">
        <x:v>160</x:v>
      </x:c>
      <x:c r="J152" t="n">
        <x:v>93347.01</x:v>
      </x:c>
      <x:c r="K152" t="str">
        <x:v>TWD</x:v>
      </x:c>
      <x:c r="L152" s="20" t="n">
        <x:v>45475</x:v>
      </x:c>
      <x:c r="M152" s="20" t="n">
        <x:v>45475</x:v>
      </x:c>
      <x:c r="N152" t="str">
        <x:v>是</x:v>
      </x:c>
      <x:c r="O152" t="str">
        <x:v>一般</x:v>
      </x:c>
      <x:c r="P152" t="str">
        <x:v>部分出貨</x:v>
      </x:c>
    </x:row>
    <x:row r="153" ht="20" customHeight="1">
      <x:c r="A153" t="str">
        <x:v>SO00152-01</x:v>
      </x:c>
      <x:c r="B153" t="str">
        <x:v>SO00152</x:v>
      </x:c>
      <x:c r="C153" t="str">
        <x:v>Q00240</x:v>
      </x:c>
      <x:c r="D153" t="str">
        <x:v>IAT-001</x:v>
      </x:c>
      <x:c r="E153" t="str">
        <x:v>S05</x:v>
      </x:c>
      <x:c r="F153" t="str">
        <x:v>PM-SUS-A</x:v>
      </x:c>
      <x:c r="G153" t="str">
        <x:v>精密金屬加工件</x:v>
      </x:c>
      <x:c r="H153" s="20" t="n">
        <x:v>45443</x:v>
      </x:c>
      <x:c r="I153" t="n">
        <x:v>800</x:v>
      </x:c>
      <x:c r="J153" t="n">
        <x:v>10538.79</x:v>
      </x:c>
      <x:c r="K153" t="str">
        <x:v>TWD</x:v>
      </x:c>
      <x:c r="L153" s="20" t="n">
        <x:v>45462</x:v>
      </x:c>
      <x:c r="M153" s="20" t="n">
        <x:v>45465</x:v>
      </x:c>
      <x:c r="N153" t="str">
        <x:v>是</x:v>
      </x:c>
      <x:c r="O153" t="str">
        <x:v>一般</x:v>
      </x:c>
      <x:c r="P153" t="str">
        <x:v>部分出貨</x:v>
      </x:c>
    </x:row>
    <x:row r="154" ht="20" customHeight="1">
      <x:c r="A154" t="str">
        <x:v>SO00153-01</x:v>
      </x:c>
      <x:c r="B154" t="str">
        <x:v>SO00153</x:v>
      </x:c>
      <x:c r="C154" t="str">
        <x:v>Q00241</x:v>
      </x:c>
      <x:c r="D154" t="str">
        <x:v>EMS-006</x:v>
      </x:c>
      <x:c r="E154" t="str">
        <x:v>S03</x:v>
      </x:c>
      <x:c r="F154" t="str">
        <x:v>SEMI-WH-B</x:v>
      </x:c>
      <x:c r="G154" t="str">
        <x:v>半導體設備零組件</x:v>
      </x:c>
      <x:c r="H154" s="20" t="n">
        <x:v>45428</x:v>
      </x:c>
      <x:c r="I154" t="n">
        <x:v>40</x:v>
      </x:c>
      <x:c r="J154" t="n">
        <x:v>164181.53</x:v>
      </x:c>
      <x:c r="K154" t="str">
        <x:v>TWD</x:v>
      </x:c>
      <x:c r="L154" s="20" t="n">
        <x:v>45484</x:v>
      </x:c>
      <x:c r="M154" s="20" t="n">
        <x:v>45488</x:v>
      </x:c>
      <x:c r="N154" t="str">
        <x:v>否</x:v>
      </x:c>
      <x:c r="O154" t="str">
        <x:v>重要</x:v>
      </x:c>
      <x:c r="P154" t="str">
        <x:v>部分出貨</x:v>
      </x:c>
    </x:row>
    <x:row r="155" ht="20" customHeight="1">
      <x:c r="A155" t="str">
        <x:v>SO00154-01</x:v>
      </x:c>
      <x:c r="B155" t="str">
        <x:v>SO00154</x:v>
      </x:c>
      <x:c r="C155" t="str">
        <x:v>Q00242</x:v>
      </x:c>
      <x:c r="D155" t="str">
        <x:v>IAT-006</x:v>
      </x:c>
      <x:c r="E155" t="str">
        <x:v>S01</x:v>
      </x:c>
      <x:c r="F155" t="str">
        <x:v>PM-BRG-A</x:v>
      </x:c>
      <x:c r="G155" t="str">
        <x:v>精密金屬加工件</x:v>
      </x:c>
      <x:c r="H155" s="20" t="n">
        <x:v>45450</x:v>
      </x:c>
      <x:c r="I155" t="n">
        <x:v>500</x:v>
      </x:c>
      <x:c r="J155" t="n">
        <x:v>6836.14</x:v>
      </x:c>
      <x:c r="K155" t="str">
        <x:v>TWD</x:v>
      </x:c>
      <x:c r="L155" s="20" t="n">
        <x:v>45465</x:v>
      </x:c>
      <x:c r="M155" s="20" t="n">
        <x:v>45468</x:v>
      </x:c>
      <x:c r="N155" t="str">
        <x:v>是</x:v>
      </x:c>
      <x:c r="O155" t="str">
        <x:v>重要</x:v>
      </x:c>
      <x:c r="P155" t="str">
        <x:v>部分出貨</x:v>
      </x:c>
    </x:row>
    <x:row r="156" ht="20" customHeight="1">
      <x:c r="A156" t="str">
        <x:v>SO00155-01</x:v>
      </x:c>
      <x:c r="B156" t="str">
        <x:v>SO00155</x:v>
      </x:c>
      <x:c r="C156" t="str">
        <x:v>Q00244</x:v>
      </x:c>
      <x:c r="D156" t="str">
        <x:v>AFT-001</x:v>
      </x:c>
      <x:c r="E156" t="str">
        <x:v>S05</x:v>
      </x:c>
      <x:c r="F156" t="str">
        <x:v>AUTO-KN-A</x:v>
      </x:c>
      <x:c r="G156" t="str">
        <x:v>汽車精密零組件</x:v>
      </x:c>
      <x:c r="H156" s="20" t="n">
        <x:v>45422</x:v>
      </x:c>
      <x:c r="I156" t="n">
        <x:v>10000</x:v>
      </x:c>
      <x:c r="J156" t="n">
        <x:v>3183.31</x:v>
      </x:c>
      <x:c r="K156" t="str">
        <x:v>TWD</x:v>
      </x:c>
      <x:c r="L156" s="20" t="n">
        <x:v>45443</x:v>
      </x:c>
      <x:c r="M156" s="20" t="n">
        <x:v>45444</x:v>
      </x:c>
      <x:c r="N156" t="str">
        <x:v>否</x:v>
      </x:c>
      <x:c r="O156" t="str">
        <x:v>重要</x:v>
      </x:c>
      <x:c r="P156" t="str">
        <x:v>部分出貨</x:v>
      </x:c>
    </x:row>
    <x:row r="157" ht="20" customHeight="1">
      <x:c r="A157" t="str">
        <x:v>SO00156-01</x:v>
      </x:c>
      <x:c r="B157" t="str">
        <x:v>SO00156</x:v>
      </x:c>
      <x:c r="C157" t="str">
        <x:v>Q00245</x:v>
      </x:c>
      <x:c r="D157" t="str">
        <x:v>AUT-003</x:v>
      </x:c>
      <x:c r="E157" t="str">
        <x:v>S03</x:v>
      </x:c>
      <x:c r="F157" t="str">
        <x:v>AUTO-BS-A</x:v>
      </x:c>
      <x:c r="G157" t="str">
        <x:v>汽車精密零組件</x:v>
      </x:c>
      <x:c r="H157" s="20" t="n">
        <x:v>45431</x:v>
      </x:c>
      <x:c r="I157" t="n">
        <x:v>10000</x:v>
      </x:c>
      <x:c r="J157" t="n">
        <x:v>786.06</x:v>
      </x:c>
      <x:c r="K157" t="str">
        <x:v>TWD</x:v>
      </x:c>
      <x:c r="L157" s="20" t="n">
        <x:v>45441</x:v>
      </x:c>
      <x:c r="M157" s="20" t="n">
        <x:v>45444</x:v>
      </x:c>
      <x:c r="N157" t="str">
        <x:v>是</x:v>
      </x:c>
      <x:c r="O157" t="str">
        <x:v>VIP</x:v>
      </x:c>
      <x:c r="P157" t="str">
        <x:v>部分出貨</x:v>
      </x:c>
    </x:row>
    <x:row r="158" ht="20" customHeight="1">
      <x:c r="A158" t="str">
        <x:v>SO00157-01</x:v>
      </x:c>
      <x:c r="B158" t="str">
        <x:v>SO00157</x:v>
      </x:c>
      <x:c r="C158" t="str">
        <x:v>Q00246</x:v>
      </x:c>
      <x:c r="D158" t="str">
        <x:v>EMS-007</x:v>
      </x:c>
      <x:c r="E158" t="str">
        <x:v>S04</x:v>
      </x:c>
      <x:c r="F158" t="str">
        <x:v>AUTO-LG-B</x:v>
      </x:c>
      <x:c r="G158" t="str">
        <x:v>汽車精密零組件</x:v>
      </x:c>
      <x:c r="H158" s="20" t="n">
        <x:v>45425</x:v>
      </x:c>
      <x:c r="I158" t="n">
        <x:v>5000</x:v>
      </x:c>
      <x:c r="J158" t="n">
        <x:v>1222.98</x:v>
      </x:c>
      <x:c r="K158" t="str">
        <x:v>TWD</x:v>
      </x:c>
      <x:c r="L158" s="20" t="n">
        <x:v>45444</x:v>
      </x:c>
      <x:c r="M158" s="20" t="n">
        <x:v>45444</x:v>
      </x:c>
      <x:c r="N158" t="str">
        <x:v>否</x:v>
      </x:c>
      <x:c r="O158" t="str">
        <x:v>一般</x:v>
      </x:c>
      <x:c r="P158" t="str">
        <x:v>部分出貨</x:v>
      </x:c>
    </x:row>
    <x:row r="159" ht="20" customHeight="1">
      <x:c r="A159" t="str">
        <x:v>SO00158-01</x:v>
      </x:c>
      <x:c r="B159" t="str">
        <x:v>SO00158</x:v>
      </x:c>
      <x:c r="C159" t="str">
        <x:v>Q00247</x:v>
      </x:c>
      <x:c r="D159" t="str">
        <x:v>AUT-004</x:v>
      </x:c>
      <x:c r="E159" t="str">
        <x:v>S03</x:v>
      </x:c>
      <x:c r="F159" t="str">
        <x:v>AUTO-BS-B</x:v>
      </x:c>
      <x:c r="G159" t="str">
        <x:v>汽車精密零組件</x:v>
      </x:c>
      <x:c r="H159" s="20" t="n">
        <x:v>45432</x:v>
      </x:c>
      <x:c r="I159" t="n">
        <x:v>5000</x:v>
      </x:c>
      <x:c r="J159" t="n">
        <x:v>835.94</x:v>
      </x:c>
      <x:c r="K159" t="str">
        <x:v>TWD</x:v>
      </x:c>
      <x:c r="L159" s="20" t="n">
        <x:v>45446</x:v>
      </x:c>
      <x:c r="M159" s="20" t="n">
        <x:v>45448</x:v>
      </x:c>
      <x:c r="N159" t="str">
        <x:v>否</x:v>
      </x:c>
      <x:c r="O159" t="str">
        <x:v>VIP</x:v>
      </x:c>
      <x:c r="P159" t="str">
        <x:v>部分出貨</x:v>
      </x:c>
    </x:row>
    <x:row r="160" ht="20" customHeight="1">
      <x:c r="A160" t="str">
        <x:v>SO00159-01</x:v>
      </x:c>
      <x:c r="B160" t="str">
        <x:v>SO00159</x:v>
      </x:c>
      <x:c r="C160" t="str">
        <x:v>Q00248</x:v>
      </x:c>
      <x:c r="D160" t="str">
        <x:v>EMS-005</x:v>
      </x:c>
      <x:c r="E160" t="str">
        <x:v>S01</x:v>
      </x:c>
      <x:c r="F160" t="str">
        <x:v>PM-SUS-B</x:v>
      </x:c>
      <x:c r="G160" t="str">
        <x:v>精密金屬加工件</x:v>
      </x:c>
      <x:c r="H160" s="20" t="n">
        <x:v>45440</x:v>
      </x:c>
      <x:c r="I160" t="n">
        <x:v>1600</x:v>
      </x:c>
      <x:c r="J160" t="n">
        <x:v>14081.49</x:v>
      </x:c>
      <x:c r="K160" t="str">
        <x:v>TWD</x:v>
      </x:c>
      <x:c r="L160" s="20" t="n">
        <x:v>45471</x:v>
      </x:c>
      <x:c r="M160" s="20" t="n">
        <x:v>45471</x:v>
      </x:c>
      <x:c r="N160" t="str">
        <x:v>否</x:v>
      </x:c>
      <x:c r="O160" t="str">
        <x:v>VIP</x:v>
      </x:c>
      <x:c r="P160" t="str">
        <x:v>部分出貨</x:v>
      </x:c>
    </x:row>
    <x:row r="161" ht="20" customHeight="1">
      <x:c r="A161" t="str">
        <x:v>SO00160-01</x:v>
      </x:c>
      <x:c r="B161" t="str">
        <x:v>SO00160</x:v>
      </x:c>
      <x:c r="C161" t="str">
        <x:v>Q00250</x:v>
      </x:c>
      <x:c r="D161" t="str">
        <x:v>IAT-005</x:v>
      </x:c>
      <x:c r="E161" t="str">
        <x:v>S02</x:v>
      </x:c>
      <x:c r="F161" t="str">
        <x:v>AUTO-MH-B</x:v>
      </x:c>
      <x:c r="G161" t="str">
        <x:v>汽車精密零組件</x:v>
      </x:c>
      <x:c r="H161" s="20" t="n">
        <x:v>45437</x:v>
      </x:c>
      <x:c r="I161" t="n">
        <x:v>10000</x:v>
      </x:c>
      <x:c r="J161" t="n">
        <x:v>2886.61</x:v>
      </x:c>
      <x:c r="K161" t="str">
        <x:v>TWD</x:v>
      </x:c>
      <x:c r="L161" s="20" t="n">
        <x:v>45459</x:v>
      </x:c>
      <x:c r="M161" s="20" t="n">
        <x:v>45461</x:v>
      </x:c>
      <x:c r="N161" t="str">
        <x:v>否</x:v>
      </x:c>
      <x:c r="O161" t="str">
        <x:v>一般</x:v>
      </x:c>
      <x:c r="P161" t="str">
        <x:v>部分出貨</x:v>
      </x:c>
    </x:row>
    <x:row r="162" ht="20" customHeight="1">
      <x:c r="A162" t="str">
        <x:v>SO00161-01</x:v>
      </x:c>
      <x:c r="B162" t="str">
        <x:v>SO00161</x:v>
      </x:c>
      <x:c r="C162" t="str">
        <x:v>Q00251</x:v>
      </x:c>
      <x:c r="D162" t="str">
        <x:v>SEM-007</x:v>
      </x:c>
      <x:c r="E162" t="str">
        <x:v>S03</x:v>
      </x:c>
      <x:c r="F162" t="str">
        <x:v>PM-VAC-A</x:v>
      </x:c>
      <x:c r="G162" t="str">
        <x:v>精密金屬加工件</x:v>
      </x:c>
      <x:c r="H162" s="20" t="n">
        <x:v>45437</x:v>
      </x:c>
      <x:c r="I162" t="n">
        <x:v>500</x:v>
      </x:c>
      <x:c r="J162" t="n">
        <x:v>15796.32</x:v>
      </x:c>
      <x:c r="K162" t="str">
        <x:v>TWD</x:v>
      </x:c>
      <x:c r="L162" s="20" t="n">
        <x:v>45460</x:v>
      </x:c>
      <x:c r="M162" s="20" t="n">
        <x:v>45468</x:v>
      </x:c>
      <x:c r="N162" t="str">
        <x:v>是</x:v>
      </x:c>
      <x:c r="O162" t="str">
        <x:v>重要</x:v>
      </x:c>
      <x:c r="P162" t="str">
        <x:v>部分出貨</x:v>
      </x:c>
    </x:row>
    <x:row r="163" ht="20" customHeight="1">
      <x:c r="A163" t="str">
        <x:v>SO00162-01</x:v>
      </x:c>
      <x:c r="B163" t="str">
        <x:v>SO00162</x:v>
      </x:c>
      <x:c r="C163" t="str">
        <x:v>Q00252</x:v>
      </x:c>
      <x:c r="D163" t="str">
        <x:v>AUT-007</x:v>
      </x:c>
      <x:c r="E163" t="str">
        <x:v>S04</x:v>
      </x:c>
      <x:c r="F163" t="str">
        <x:v>PM-ALB-B</x:v>
      </x:c>
      <x:c r="G163" t="str">
        <x:v>精密金屬加工件</x:v>
      </x:c>
      <x:c r="H163" s="20" t="n">
        <x:v>45447</x:v>
      </x:c>
      <x:c r="I163" t="n">
        <x:v>1200</x:v>
      </x:c>
      <x:c r="J163" t="n">
        <x:v>15878.29</x:v>
      </x:c>
      <x:c r="K163" t="str">
        <x:v>TWD</x:v>
      </x:c>
      <x:c r="L163" s="20" t="n">
        <x:v>45476</x:v>
      </x:c>
      <x:c r="M163" s="20" t="n">
        <x:v>45479</x:v>
      </x:c>
      <x:c r="N163" t="str">
        <x:v>是</x:v>
      </x:c>
      <x:c r="O163" t="str">
        <x:v>一般</x:v>
      </x:c>
      <x:c r="P163" t="str">
        <x:v>部分出貨</x:v>
      </x:c>
    </x:row>
    <x:row r="164" ht="20" customHeight="1">
      <x:c r="A164" t="str">
        <x:v>SO00163-01</x:v>
      </x:c>
      <x:c r="B164" t="str">
        <x:v>SO00163</x:v>
      </x:c>
      <x:c r="C164" t="str">
        <x:v>Q00253</x:v>
      </x:c>
      <x:c r="D164" t="str">
        <x:v>IAT-007</x:v>
      </x:c>
      <x:c r="E164" t="str">
        <x:v>S04</x:v>
      </x:c>
      <x:c r="F164" t="str">
        <x:v>AUTO-BS-B</x:v>
      </x:c>
      <x:c r="G164" t="str">
        <x:v>汽車精密零組件</x:v>
      </x:c>
      <x:c r="H164" s="20" t="n">
        <x:v>45433</x:v>
      </x:c>
      <x:c r="I164" t="n">
        <x:v>7000</x:v>
      </x:c>
      <x:c r="J164" t="n">
        <x:v>883.56</x:v>
      </x:c>
      <x:c r="K164" t="str">
        <x:v>TWD</x:v>
      </x:c>
      <x:c r="L164" s="20" t="n">
        <x:v>45447</x:v>
      </x:c>
      <x:c r="M164" s="20" t="n">
        <x:v>45449</x:v>
      </x:c>
      <x:c r="N164" t="str">
        <x:v>否</x:v>
      </x:c>
      <x:c r="O164" t="str">
        <x:v>重要</x:v>
      </x:c>
      <x:c r="P164" t="str">
        <x:v>部分出貨</x:v>
      </x:c>
    </x:row>
    <x:row r="165" ht="20" customHeight="1">
      <x:c r="A165" t="str">
        <x:v>SO00164-01</x:v>
      </x:c>
      <x:c r="B165" t="str">
        <x:v>SO00164</x:v>
      </x:c>
      <x:c r="C165" t="str">
        <x:v>Q00254</x:v>
      </x:c>
      <x:c r="D165" t="str">
        <x:v>IAT-002</x:v>
      </x:c>
      <x:c r="E165" t="str">
        <x:v>S01</x:v>
      </x:c>
      <x:c r="F165" t="str">
        <x:v>AUTO-MH-A</x:v>
      </x:c>
      <x:c r="G165" t="str">
        <x:v>汽車精密零組件</x:v>
      </x:c>
      <x:c r="H165" s="20" t="n">
        <x:v>45435</x:v>
      </x:c>
      <x:c r="I165" t="n">
        <x:v>13000</x:v>
      </x:c>
      <x:c r="J165" t="n">
        <x:v>2457.66</x:v>
      </x:c>
      <x:c r="K165" t="str">
        <x:v>TWD</x:v>
      </x:c>
      <x:c r="L165" s="20" t="n">
        <x:v>45457</x:v>
      </x:c>
      <x:c r="M165" s="20" t="n">
        <x:v>45457</x:v>
      </x:c>
      <x:c r="N165" t="str">
        <x:v>否</x:v>
      </x:c>
      <x:c r="O165" t="str">
        <x:v>一般</x:v>
      </x:c>
      <x:c r="P165" t="str">
        <x:v>部分出貨</x:v>
      </x:c>
    </x:row>
    <x:row r="166" ht="20" customHeight="1">
      <x:c r="A166" t="str">
        <x:v>SO00165-01</x:v>
      </x:c>
      <x:c r="B166" t="str">
        <x:v>SO00165</x:v>
      </x:c>
      <x:c r="C166" t="str">
        <x:v>Q00255</x:v>
      </x:c>
      <x:c r="D166" t="str">
        <x:v>SEM-004</x:v>
      </x:c>
      <x:c r="E166" t="str">
        <x:v>S02</x:v>
      </x:c>
      <x:c r="F166" t="str">
        <x:v>MECH-CON-B</x:v>
      </x:c>
      <x:c r="G166" t="str">
        <x:v>機電／自動化模組</x:v>
      </x:c>
      <x:c r="H166" s="20" t="n">
        <x:v>45453</x:v>
      </x:c>
      <x:c r="I166" t="n">
        <x:v>10</x:v>
      </x:c>
      <x:c r="J166" t="n">
        <x:v>151927.52</x:v>
      </x:c>
      <x:c r="K166" t="str">
        <x:v>TWD</x:v>
      </x:c>
      <x:c r="L166" s="20" t="n">
        <x:v>45500</x:v>
      </x:c>
      <x:c r="M166" s="20" t="n">
        <x:v>45500</x:v>
      </x:c>
      <x:c r="N166" t="str">
        <x:v>否</x:v>
      </x:c>
      <x:c r="O166" t="str">
        <x:v>一般</x:v>
      </x:c>
      <x:c r="P166" t="str">
        <x:v>已出貨</x:v>
      </x:c>
    </x:row>
    <x:row r="167" ht="20" customHeight="1">
      <x:c r="A167" t="str">
        <x:v>SO00166-01</x:v>
      </x:c>
      <x:c r="B167" t="str">
        <x:v>SO00166</x:v>
      </x:c>
      <x:c r="C167" t="str">
        <x:v>Q00256</x:v>
      </x:c>
      <x:c r="D167" t="str">
        <x:v>AFT-001</x:v>
      </x:c>
      <x:c r="E167" t="str">
        <x:v>S05</x:v>
      </x:c>
      <x:c r="F167" t="str">
        <x:v>AUTO-MH-A</x:v>
      </x:c>
      <x:c r="G167" t="str">
        <x:v>汽車精密零組件</x:v>
      </x:c>
      <x:c r="H167" s="20" t="n">
        <x:v>45429</x:v>
      </x:c>
      <x:c r="I167" t="n">
        <x:v>10000</x:v>
      </x:c>
      <x:c r="J167" t="n">
        <x:v>2623.04</x:v>
      </x:c>
      <x:c r="K167" t="str">
        <x:v>TWD</x:v>
      </x:c>
      <x:c r="L167" s="20" t="n">
        <x:v>45450</x:v>
      </x:c>
      <x:c r="M167" s="20" t="n">
        <x:v>45451</x:v>
      </x:c>
      <x:c r="N167" t="str">
        <x:v>否</x:v>
      </x:c>
      <x:c r="O167" t="str">
        <x:v>重要</x:v>
      </x:c>
      <x:c r="P167" t="str">
        <x:v>部分出貨</x:v>
      </x:c>
    </x:row>
    <x:row r="168" ht="20" customHeight="1">
      <x:c r="A168" t="str">
        <x:v>SO00167-01</x:v>
      </x:c>
      <x:c r="B168" t="str">
        <x:v>SO00167</x:v>
      </x:c>
      <x:c r="C168" t="str">
        <x:v>Q00258</x:v>
      </x:c>
      <x:c r="D168" t="str">
        <x:v>AUT-013</x:v>
      </x:c>
      <x:c r="E168" t="str">
        <x:v>S01</x:v>
      </x:c>
      <x:c r="F168" t="str">
        <x:v>AUTO-BRK-A</x:v>
      </x:c>
      <x:c r="G168" t="str">
        <x:v>汽車精密零組件</x:v>
      </x:c>
      <x:c r="H168" s="20" t="n">
        <x:v>45431</x:v>
      </x:c>
      <x:c r="I168" t="n">
        <x:v>5000</x:v>
      </x:c>
      <x:c r="J168" t="n">
        <x:v>1829.83</x:v>
      </x:c>
      <x:c r="K168" t="str">
        <x:v>TWD</x:v>
      </x:c>
      <x:c r="L168" s="20" t="n">
        <x:v>45444</x:v>
      </x:c>
      <x:c r="M168" s="20" t="n">
        <x:v>45449</x:v>
      </x:c>
      <x:c r="N168" t="str">
        <x:v>是</x:v>
      </x:c>
      <x:c r="O168" t="str">
        <x:v>重要</x:v>
      </x:c>
      <x:c r="P168" t="str">
        <x:v>部分出貨</x:v>
      </x:c>
    </x:row>
    <x:row r="169" ht="20" customHeight="1">
      <x:c r="A169" t="str">
        <x:v>SO00168-01</x:v>
      </x:c>
      <x:c r="B169" t="str">
        <x:v>SO00168</x:v>
      </x:c>
      <x:c r="C169" t="str">
        <x:v>Q00259</x:v>
      </x:c>
      <x:c r="D169" t="str">
        <x:v>IAT-005</x:v>
      </x:c>
      <x:c r="E169" t="str">
        <x:v>S02</x:v>
      </x:c>
      <x:c r="F169" t="str">
        <x:v>PM-ALB-A</x:v>
      </x:c>
      <x:c r="G169" t="str">
        <x:v>精密金屬加工件</x:v>
      </x:c>
      <x:c r="H169" s="20" t="n">
        <x:v>45439</x:v>
      </x:c>
      <x:c r="I169" t="n">
        <x:v>1600</x:v>
      </x:c>
      <x:c r="J169" t="n">
        <x:v>11057.29</x:v>
      </x:c>
      <x:c r="K169" t="str">
        <x:v>TWD</x:v>
      </x:c>
      <x:c r="L169" s="20" t="n">
        <x:v>45458</x:v>
      </x:c>
      <x:c r="M169" s="20" t="n">
        <x:v>45465</x:v>
      </x:c>
      <x:c r="N169" t="str">
        <x:v>是</x:v>
      </x:c>
      <x:c r="O169" t="str">
        <x:v>一般</x:v>
      </x:c>
      <x:c r="P169" t="str">
        <x:v>部分出貨</x:v>
      </x:c>
    </x:row>
    <x:row r="170" ht="20" customHeight="1">
      <x:c r="A170" t="str">
        <x:v>SO00169-01</x:v>
      </x:c>
      <x:c r="B170" t="str">
        <x:v>SO00169</x:v>
      </x:c>
      <x:c r="C170" t="str">
        <x:v>Q00260</x:v>
      </x:c>
      <x:c r="D170" t="str">
        <x:v>SEM-009</x:v>
      </x:c>
      <x:c r="E170" t="str">
        <x:v>S02</x:v>
      </x:c>
      <x:c r="F170" t="str">
        <x:v>PM-BRG-B</x:v>
      </x:c>
      <x:c r="G170" t="str">
        <x:v>精密金屬加工件</x:v>
      </x:c>
      <x:c r="H170" s="20" t="n">
        <x:v>45442</x:v>
      </x:c>
      <x:c r="I170" t="n">
        <x:v>500</x:v>
      </x:c>
      <x:c r="J170" t="n">
        <x:v>7692.4</x:v>
      </x:c>
      <x:c r="K170" t="str">
        <x:v>TWD</x:v>
      </x:c>
      <x:c r="L170" s="20" t="n">
        <x:v>45467</x:v>
      </x:c>
      <x:c r="M170" s="20" t="n">
        <x:v>45467</x:v>
      </x:c>
      <x:c r="N170" t="str">
        <x:v>否</x:v>
      </x:c>
      <x:c r="O170" t="str">
        <x:v>重要</x:v>
      </x:c>
      <x:c r="P170" t="str">
        <x:v>部分出貨</x:v>
      </x:c>
    </x:row>
    <x:row r="171" ht="20" customHeight="1">
      <x:c r="A171" t="str">
        <x:v>SO00170-01</x:v>
      </x:c>
      <x:c r="B171" t="str">
        <x:v>SO00170</x:v>
      </x:c>
      <x:c r="C171" t="str">
        <x:v>Q00261</x:v>
      </x:c>
      <x:c r="D171" t="str">
        <x:v>SEM-001</x:v>
      </x:c>
      <x:c r="E171" t="str">
        <x:v>S01</x:v>
      </x:c>
      <x:c r="F171" t="str">
        <x:v>SEMI-WH-B</x:v>
      </x:c>
      <x:c r="G171" t="str">
        <x:v>半導體設備零組件</x:v>
      </x:c>
      <x:c r="H171" s="20" t="n">
        <x:v>45476</x:v>
      </x:c>
      <x:c r="I171" t="n">
        <x:v>120</x:v>
      </x:c>
      <x:c r="J171" t="n">
        <x:v>172685.73</x:v>
      </x:c>
      <x:c r="K171" t="str">
        <x:v>TWD</x:v>
      </x:c>
      <x:c r="L171" s="20" t="n">
        <x:v>45530</x:v>
      </x:c>
      <x:c r="M171" s="20" t="n">
        <x:v>45532</x:v>
      </x:c>
      <x:c r="N171" t="str">
        <x:v>否</x:v>
      </x:c>
      <x:c r="O171" t="str">
        <x:v>重要</x:v>
      </x:c>
      <x:c r="P171" t="str">
        <x:v>部分出貨</x:v>
      </x:c>
    </x:row>
    <x:row r="172" ht="20" customHeight="1">
      <x:c r="A172" t="str">
        <x:v>SO00171-01</x:v>
      </x:c>
      <x:c r="B172" t="str">
        <x:v>SO00171</x:v>
      </x:c>
      <x:c r="C172" t="str">
        <x:v>Q00262</x:v>
      </x:c>
      <x:c r="D172" t="str">
        <x:v>IAT-001</x:v>
      </x:c>
      <x:c r="E172" t="str">
        <x:v>S05</x:v>
      </x:c>
      <x:c r="F172" t="str">
        <x:v>AUTO-BS-B</x:v>
      </x:c>
      <x:c r="G172" t="str">
        <x:v>汽車精密零組件</x:v>
      </x:c>
      <x:c r="H172" s="20" t="n">
        <x:v>45463</x:v>
      </x:c>
      <x:c r="I172" t="n">
        <x:v>7000</x:v>
      </x:c>
      <x:c r="J172" t="n">
        <x:v>937.78</x:v>
      </x:c>
      <x:c r="K172" t="str">
        <x:v>TWD</x:v>
      </x:c>
      <x:c r="L172" s="20" t="n">
        <x:v>45478</x:v>
      </x:c>
      <x:c r="M172" s="20" t="n">
        <x:v>45479</x:v>
      </x:c>
      <x:c r="N172" t="str">
        <x:v>否</x:v>
      </x:c>
      <x:c r="O172" t="str">
        <x:v>一般</x:v>
      </x:c>
      <x:c r="P172" t="str">
        <x:v>部分出貨</x:v>
      </x:c>
    </x:row>
    <x:row r="173" ht="20" customHeight="1">
      <x:c r="A173" t="str">
        <x:v>SO00172-01</x:v>
      </x:c>
      <x:c r="B173" t="str">
        <x:v>SO00172</x:v>
      </x:c>
      <x:c r="C173" t="str">
        <x:v>Q00263</x:v>
      </x:c>
      <x:c r="D173" t="str">
        <x:v>EMS-008</x:v>
      </x:c>
      <x:c r="E173" t="str">
        <x:v>S02</x:v>
      </x:c>
      <x:c r="F173" t="str">
        <x:v>AUTO-FL-B</x:v>
      </x:c>
      <x:c r="G173" t="str">
        <x:v>汽車精密零組件</x:v>
      </x:c>
      <x:c r="H173" s="20" t="n">
        <x:v>45450</x:v>
      </x:c>
      <x:c r="I173" t="n">
        <x:v>13000</x:v>
      </x:c>
      <x:c r="J173" t="n">
        <x:v>1555.27</x:v>
      </x:c>
      <x:c r="K173" t="str">
        <x:v>TWD</x:v>
      </x:c>
      <x:c r="L173" s="20" t="n">
        <x:v>45464</x:v>
      </x:c>
      <x:c r="M173" s="20" t="n">
        <x:v>45466</x:v>
      </x:c>
      <x:c r="N173" t="str">
        <x:v>是</x:v>
      </x:c>
      <x:c r="O173" t="str">
        <x:v>重要</x:v>
      </x:c>
      <x:c r="P173" t="str">
        <x:v>部分出貨</x:v>
      </x:c>
    </x:row>
    <x:row r="174" ht="20" customHeight="1">
      <x:c r="A174" t="str">
        <x:v>SO00173-01</x:v>
      </x:c>
      <x:c r="B174" t="str">
        <x:v>SO00173</x:v>
      </x:c>
      <x:c r="C174" t="str">
        <x:v>Q00264</x:v>
      </x:c>
      <x:c r="D174" t="str">
        <x:v>IAT-008</x:v>
      </x:c>
      <x:c r="E174" t="str">
        <x:v>S01</x:v>
      </x:c>
      <x:c r="F174" t="str">
        <x:v>AUTO-FL-A</x:v>
      </x:c>
      <x:c r="G174" t="str">
        <x:v>汽車精密零組件</x:v>
      </x:c>
      <x:c r="H174" s="20" t="n">
        <x:v>45474</x:v>
      </x:c>
      <x:c r="I174" t="n">
        <x:v>7000</x:v>
      </x:c>
      <x:c r="J174" t="n">
        <x:v>1299.61</x:v>
      </x:c>
      <x:c r="K174" t="str">
        <x:v>TWD</x:v>
      </x:c>
      <x:c r="L174" s="20" t="n">
        <x:v>45490</x:v>
      </x:c>
      <x:c r="M174" s="20" t="n">
        <x:v>45490</x:v>
      </x:c>
      <x:c r="N174" t="str">
        <x:v>否</x:v>
      </x:c>
      <x:c r="O174" t="str">
        <x:v>重要</x:v>
      </x:c>
      <x:c r="P174" t="str">
        <x:v>部分出貨</x:v>
      </x:c>
    </x:row>
    <x:row r="175" ht="20" customHeight="1">
      <x:c r="A175" t="str">
        <x:v>SO00174-01</x:v>
      </x:c>
      <x:c r="B175" t="str">
        <x:v>SO00174</x:v>
      </x:c>
      <x:c r="C175" t="str">
        <x:v>Q00266</x:v>
      </x:c>
      <x:c r="D175" t="str">
        <x:v>SEM-005</x:v>
      </x:c>
      <x:c r="E175" t="str">
        <x:v>S06</x:v>
      </x:c>
      <x:c r="F175" t="str">
        <x:v>PM-VAC-B</x:v>
      </x:c>
      <x:c r="G175" t="str">
        <x:v>精密金屬加工件</x:v>
      </x:c>
      <x:c r="H175" s="20" t="n">
        <x:v>45480</x:v>
      </x:c>
      <x:c r="I175" t="n">
        <x:v>1600</x:v>
      </x:c>
      <x:c r="J175" t="n">
        <x:v>23109.93</x:v>
      </x:c>
      <x:c r="K175" t="str">
        <x:v>TWD</x:v>
      </x:c>
      <x:c r="L175" s="20" t="n">
        <x:v>45507</x:v>
      </x:c>
      <x:c r="M175" s="20" t="n">
        <x:v>45516</x:v>
      </x:c>
      <x:c r="N175" t="str">
        <x:v>是</x:v>
      </x:c>
      <x:c r="O175" t="str">
        <x:v>重要</x:v>
      </x:c>
      <x:c r="P175" t="str">
        <x:v>部分出貨</x:v>
      </x:c>
    </x:row>
    <x:row r="176" ht="20" customHeight="1">
      <x:c r="A176" t="str">
        <x:v>SO00175-01</x:v>
      </x:c>
      <x:c r="B176" t="str">
        <x:v>SO00175</x:v>
      </x:c>
      <x:c r="C176" t="str">
        <x:v>Q00268</x:v>
      </x:c>
      <x:c r="D176" t="str">
        <x:v>IAT-007</x:v>
      </x:c>
      <x:c r="E176" t="str">
        <x:v>S04</x:v>
      </x:c>
      <x:c r="F176" t="str">
        <x:v>MECH-STG-B</x:v>
      </x:c>
      <x:c r="G176" t="str">
        <x:v>機電／自動化模組</x:v>
      </x:c>
      <x:c r="H176" s="20" t="n">
        <x:v>45465</x:v>
      </x:c>
      <x:c r="I176" t="n">
        <x:v>50</x:v>
      </x:c>
      <x:c r="J176" t="n">
        <x:v>193242.29</x:v>
      </x:c>
      <x:c r="K176" t="str">
        <x:v>TWD</x:v>
      </x:c>
      <x:c r="L176" s="20" t="n">
        <x:v>45513</x:v>
      </x:c>
      <x:c r="M176" s="20" t="n">
        <x:v>45515</x:v>
      </x:c>
      <x:c r="N176" t="str">
        <x:v>否</x:v>
      </x:c>
      <x:c r="O176" t="str">
        <x:v>重要</x:v>
      </x:c>
      <x:c r="P176" t="str">
        <x:v>已出貨</x:v>
      </x:c>
    </x:row>
    <x:row r="177" ht="20" customHeight="1">
      <x:c r="A177" t="str">
        <x:v>SO00176-01</x:v>
      </x:c>
      <x:c r="B177" t="str">
        <x:v>SO00176</x:v>
      </x:c>
      <x:c r="C177" t="str">
        <x:v>Q00269</x:v>
      </x:c>
      <x:c r="D177" t="str">
        <x:v>AUT-013</x:v>
      </x:c>
      <x:c r="E177" t="str">
        <x:v>S01</x:v>
      </x:c>
      <x:c r="F177" t="str">
        <x:v>MECH-CON-B</x:v>
      </x:c>
      <x:c r="G177" t="str">
        <x:v>機電／自動化模組</x:v>
      </x:c>
      <x:c r="H177" s="20" t="n">
        <x:v>45450</x:v>
      </x:c>
      <x:c r="I177" t="n">
        <x:v>30</x:v>
      </x:c>
      <x:c r="J177" t="n">
        <x:v>148775.14</x:v>
      </x:c>
      <x:c r="K177" t="str">
        <x:v>TWD</x:v>
      </x:c>
      <x:c r="L177" s="20" t="n">
        <x:v>45488</x:v>
      </x:c>
      <x:c r="M177" s="20" t="n">
        <x:v>45496</x:v>
      </x:c>
      <x:c r="N177" t="str">
        <x:v>否</x:v>
      </x:c>
      <x:c r="O177" t="str">
        <x:v>重要</x:v>
      </x:c>
      <x:c r="P177" t="str">
        <x:v>已出貨</x:v>
      </x:c>
    </x:row>
    <x:row r="178" ht="20" customHeight="1">
      <x:c r="A178" t="str">
        <x:v>SO00177-01</x:v>
      </x:c>
      <x:c r="B178" t="str">
        <x:v>SO00177</x:v>
      </x:c>
      <x:c r="C178" t="str">
        <x:v>Q00273</x:v>
      </x:c>
      <x:c r="D178" t="str">
        <x:v>AUT-004</x:v>
      </x:c>
      <x:c r="E178" t="str">
        <x:v>S03</x:v>
      </x:c>
      <x:c r="F178" t="str">
        <x:v>AUTO-FL-B</x:v>
      </x:c>
      <x:c r="G178" t="str">
        <x:v>汽車精密零組件</x:v>
      </x:c>
      <x:c r="H178" s="20" t="n">
        <x:v>45484</x:v>
      </x:c>
      <x:c r="I178" t="n">
        <x:v>5000</x:v>
      </x:c>
      <x:c r="J178" t="n">
        <x:v>1475.08</x:v>
      </x:c>
      <x:c r="K178" t="str">
        <x:v>TWD</x:v>
      </x:c>
      <x:c r="L178" s="20" t="n">
        <x:v>45500</x:v>
      </x:c>
      <x:c r="M178" s="20" t="n">
        <x:v>45501</x:v>
      </x:c>
      <x:c r="N178" t="str">
        <x:v>否</x:v>
      </x:c>
      <x:c r="O178" t="str">
        <x:v>VIP</x:v>
      </x:c>
      <x:c r="P178" t="str">
        <x:v>部分出貨</x:v>
      </x:c>
    </x:row>
    <x:row r="179" ht="20" customHeight="1">
      <x:c r="A179" t="str">
        <x:v>SO00178-01</x:v>
      </x:c>
      <x:c r="B179" t="str">
        <x:v>SO00178</x:v>
      </x:c>
      <x:c r="C179" t="str">
        <x:v>Q00274</x:v>
      </x:c>
      <x:c r="D179" t="str">
        <x:v>EMS-008</x:v>
      </x:c>
      <x:c r="E179" t="str">
        <x:v>S02</x:v>
      </x:c>
      <x:c r="F179" t="str">
        <x:v>AUTO-LG-B</x:v>
      </x:c>
      <x:c r="G179" t="str">
        <x:v>汽車精密零組件</x:v>
      </x:c>
      <x:c r="H179" s="20" t="n">
        <x:v>45469</x:v>
      </x:c>
      <x:c r="I179" t="n">
        <x:v>3000</x:v>
      </x:c>
      <x:c r="J179" t="n">
        <x:v>1252.55</x:v>
      </x:c>
      <x:c r="K179" t="str">
        <x:v>TWD</x:v>
      </x:c>
      <x:c r="L179" s="20" t="n">
        <x:v>45487</x:v>
      </x:c>
      <x:c r="M179" s="20" t="n">
        <x:v>45487</x:v>
      </x:c>
      <x:c r="N179" t="str">
        <x:v>否</x:v>
      </x:c>
      <x:c r="O179" t="str">
        <x:v>重要</x:v>
      </x:c>
      <x:c r="P179" t="str">
        <x:v>部分出貨</x:v>
      </x:c>
    </x:row>
    <x:row r="180" ht="20" customHeight="1">
      <x:c r="A180" t="str">
        <x:v>SO00179-01</x:v>
      </x:c>
      <x:c r="B180" t="str">
        <x:v>SO00179</x:v>
      </x:c>
      <x:c r="C180" t="str">
        <x:v>Q00275</x:v>
      </x:c>
      <x:c r="D180" t="str">
        <x:v>AUT-010</x:v>
      </x:c>
      <x:c r="E180" t="str">
        <x:v>S05</x:v>
      </x:c>
      <x:c r="F180" t="str">
        <x:v>AUTO-FL-B</x:v>
      </x:c>
      <x:c r="G180" t="str">
        <x:v>汽車精密零組件</x:v>
      </x:c>
      <x:c r="H180" s="20" t="n">
        <x:v>45475</x:v>
      </x:c>
      <x:c r="I180" t="n">
        <x:v>7000</x:v>
      </x:c>
      <x:c r="J180" t="n">
        <x:v>1488.57</x:v>
      </x:c>
      <x:c r="K180" t="str">
        <x:v>TWD</x:v>
      </x:c>
      <x:c r="L180" s="20" t="n">
        <x:v>45494</x:v>
      </x:c>
      <x:c r="M180" s="20" t="n">
        <x:v>45494</x:v>
      </x:c>
      <x:c r="N180" t="str">
        <x:v>是</x:v>
      </x:c>
      <x:c r="O180" t="str">
        <x:v>VIP</x:v>
      </x:c>
      <x:c r="P180" t="str">
        <x:v>部分出貨</x:v>
      </x:c>
    </x:row>
    <x:row r="181" ht="20" customHeight="1">
      <x:c r="A181" t="str">
        <x:v>SO00180-01</x:v>
      </x:c>
      <x:c r="B181" t="str">
        <x:v>SO00180</x:v>
      </x:c>
      <x:c r="C181" t="str">
        <x:v>Q00276</x:v>
      </x:c>
      <x:c r="D181" t="str">
        <x:v>AUT-002</x:v>
      </x:c>
      <x:c r="E181" t="str">
        <x:v>S04</x:v>
      </x:c>
      <x:c r="F181" t="str">
        <x:v>AUTO-KN-B</x:v>
      </x:c>
      <x:c r="G181" t="str">
        <x:v>汽車精密零組件</x:v>
      </x:c>
      <x:c r="H181" s="20" t="n">
        <x:v>45466</x:v>
      </x:c>
      <x:c r="I181" t="n">
        <x:v>10000</x:v>
      </x:c>
      <x:c r="J181" t="n">
        <x:v>3804.86</x:v>
      </x:c>
      <x:c r="K181" t="str">
        <x:v>TWD</x:v>
      </x:c>
      <x:c r="L181" s="20" t="n">
        <x:v>45485</x:v>
      </x:c>
      <x:c r="M181" s="20" t="n">
        <x:v>45492</x:v>
      </x:c>
      <x:c r="N181" t="str">
        <x:v>是</x:v>
      </x:c>
      <x:c r="O181" t="str">
        <x:v>重要</x:v>
      </x:c>
      <x:c r="P181" t="str">
        <x:v>部分出貨</x:v>
      </x:c>
    </x:row>
    <x:row r="182" ht="20" customHeight="1">
      <x:c r="A182" t="str">
        <x:v>SO00181-01</x:v>
      </x:c>
      <x:c r="B182" t="str">
        <x:v>SO00181</x:v>
      </x:c>
      <x:c r="C182" t="str">
        <x:v>Q00277</x:v>
      </x:c>
      <x:c r="D182" t="str">
        <x:v>AUT-007</x:v>
      </x:c>
      <x:c r="E182" t="str">
        <x:v>S04</x:v>
      </x:c>
      <x:c r="F182" t="str">
        <x:v>PM-ALB-B</x:v>
      </x:c>
      <x:c r="G182" t="str">
        <x:v>精密金屬加工件</x:v>
      </x:c>
      <x:c r="H182" s="20" t="n">
        <x:v>45479</x:v>
      </x:c>
      <x:c r="I182" t="n">
        <x:v>500</x:v>
      </x:c>
      <x:c r="J182" t="n">
        <x:v>14981.97</x:v>
      </x:c>
      <x:c r="K182" t="str">
        <x:v>TWD</x:v>
      </x:c>
      <x:c r="L182" s="20" t="n">
        <x:v>45505</x:v>
      </x:c>
      <x:c r="M182" s="20" t="n">
        <x:v>45510</x:v>
      </x:c>
      <x:c r="N182" t="str">
        <x:v>否</x:v>
      </x:c>
      <x:c r="O182" t="str">
        <x:v>一般</x:v>
      </x:c>
      <x:c r="P182" t="str">
        <x:v>部分出貨</x:v>
      </x:c>
    </x:row>
    <x:row r="183" ht="20" customHeight="1">
      <x:c r="A183" t="str">
        <x:v>SO00182-01</x:v>
      </x:c>
      <x:c r="B183" t="str">
        <x:v>SO00182</x:v>
      </x:c>
      <x:c r="C183" t="str">
        <x:v>Q00278</x:v>
      </x:c>
      <x:c r="D183" t="str">
        <x:v>IAT-006</x:v>
      </x:c>
      <x:c r="E183" t="str">
        <x:v>S01</x:v>
      </x:c>
      <x:c r="F183" t="str">
        <x:v>PM-ALB-A</x:v>
      </x:c>
      <x:c r="G183" t="str">
        <x:v>精密金屬加工件</x:v>
      </x:c>
      <x:c r="H183" s="20" t="n">
        <x:v>45461</x:v>
      </x:c>
      <x:c r="I183" t="n">
        <x:v>300</x:v>
      </x:c>
      <x:c r="J183" t="n">
        <x:v>11183.34</x:v>
      </x:c>
      <x:c r="K183" t="str">
        <x:v>TWD</x:v>
      </x:c>
      <x:c r="L183" s="20" t="n">
        <x:v>45483</x:v>
      </x:c>
      <x:c r="M183" s="20" t="n">
        <x:v>45484</x:v>
      </x:c>
      <x:c r="N183" t="str">
        <x:v>否</x:v>
      </x:c>
      <x:c r="O183" t="str">
        <x:v>重要</x:v>
      </x:c>
      <x:c r="P183" t="str">
        <x:v>部分出貨</x:v>
      </x:c>
    </x:row>
    <x:row r="184" ht="20" customHeight="1">
      <x:c r="A184" t="str">
        <x:v>SO00183-01</x:v>
      </x:c>
      <x:c r="B184" t="str">
        <x:v>SO00183</x:v>
      </x:c>
      <x:c r="C184" t="str">
        <x:v>Q00280</x:v>
      </x:c>
      <x:c r="D184" t="str">
        <x:v>AUT-013</x:v>
      </x:c>
      <x:c r="E184" t="str">
        <x:v>S01</x:v>
      </x:c>
      <x:c r="F184" t="str">
        <x:v>AUTO-LG-B</x:v>
      </x:c>
      <x:c r="G184" t="str">
        <x:v>汽車精密零組件</x:v>
      </x:c>
      <x:c r="H184" s="20" t="n">
        <x:v>45447</x:v>
      </x:c>
      <x:c r="I184" t="n">
        <x:v>10000</x:v>
      </x:c>
      <x:c r="J184" t="n">
        <x:v>1207.93</x:v>
      </x:c>
      <x:c r="K184" t="str">
        <x:v>TWD</x:v>
      </x:c>
      <x:c r="L184" s="20" t="n">
        <x:v>45461</x:v>
      </x:c>
      <x:c r="M184" s="20" t="n">
        <x:v>45465</x:v>
      </x:c>
      <x:c r="N184" t="str">
        <x:v>是</x:v>
      </x:c>
      <x:c r="O184" t="str">
        <x:v>重要</x:v>
      </x:c>
      <x:c r="P184" t="str">
        <x:v>部分出貨</x:v>
      </x:c>
    </x:row>
    <x:row r="185" ht="20" customHeight="1">
      <x:c r="A185" t="str">
        <x:v>SO00184-01</x:v>
      </x:c>
      <x:c r="B185" t="str">
        <x:v>SO00184</x:v>
      </x:c>
      <x:c r="C185" t="str">
        <x:v>Q00282</x:v>
      </x:c>
      <x:c r="D185" t="str">
        <x:v>SEM-004</x:v>
      </x:c>
      <x:c r="E185" t="str">
        <x:v>S02</x:v>
      </x:c>
      <x:c r="F185" t="str">
        <x:v>PM-ALB-A</x:v>
      </x:c>
      <x:c r="G185" t="str">
        <x:v>精密金屬加工件</x:v>
      </x:c>
      <x:c r="H185" s="20" t="n">
        <x:v>45462</x:v>
      </x:c>
      <x:c r="I185" t="n">
        <x:v>1200</x:v>
      </x:c>
      <x:c r="J185" t="n">
        <x:v>11453.46</x:v>
      </x:c>
      <x:c r="K185" t="str">
        <x:v>TWD</x:v>
      </x:c>
      <x:c r="L185" s="20" t="n">
        <x:v>45482</x:v>
      </x:c>
      <x:c r="M185" s="20" t="n">
        <x:v>45486</x:v>
      </x:c>
      <x:c r="N185" t="str">
        <x:v>是</x:v>
      </x:c>
      <x:c r="O185" t="str">
        <x:v>一般</x:v>
      </x:c>
      <x:c r="P185" t="str">
        <x:v>部分出貨</x:v>
      </x:c>
    </x:row>
    <x:row r="186" ht="20" customHeight="1">
      <x:c r="A186" t="str">
        <x:v>SO00185-01</x:v>
      </x:c>
      <x:c r="B186" t="str">
        <x:v>SO00185</x:v>
      </x:c>
      <x:c r="C186" t="str">
        <x:v>Q00283</x:v>
      </x:c>
      <x:c r="D186" t="str">
        <x:v>IAT-008</x:v>
      </x:c>
      <x:c r="E186" t="str">
        <x:v>S01</x:v>
      </x:c>
      <x:c r="F186" t="str">
        <x:v>AUTO-MH-A</x:v>
      </x:c>
      <x:c r="G186" t="str">
        <x:v>汽車精密零組件</x:v>
      </x:c>
      <x:c r="H186" s="20" t="n">
        <x:v>45454</x:v>
      </x:c>
      <x:c r="I186" t="n">
        <x:v>7000</x:v>
      </x:c>
      <x:c r="J186" t="n">
        <x:v>2374</x:v>
      </x:c>
      <x:c r="K186" t="str">
        <x:v>TWD</x:v>
      </x:c>
      <x:c r="L186" s="20" t="n">
        <x:v>45474</x:v>
      </x:c>
      <x:c r="M186" s="20" t="n">
        <x:v>45476</x:v>
      </x:c>
      <x:c r="N186" t="str">
        <x:v>否</x:v>
      </x:c>
      <x:c r="O186" t="str">
        <x:v>重要</x:v>
      </x:c>
      <x:c r="P186" t="str">
        <x:v>部分出貨</x:v>
      </x:c>
    </x:row>
    <x:row r="187" ht="20" customHeight="1">
      <x:c r="A187" t="str">
        <x:v>SO00186-01</x:v>
      </x:c>
      <x:c r="B187" t="str">
        <x:v>SO00186</x:v>
      </x:c>
      <x:c r="C187" t="str">
        <x:v>Q00287</x:v>
      </x:c>
      <x:c r="D187" t="str">
        <x:v>SEM-007</x:v>
      </x:c>
      <x:c r="E187" t="str">
        <x:v>S03</x:v>
      </x:c>
      <x:c r="F187" t="str">
        <x:v>PM-ALB-B</x:v>
      </x:c>
      <x:c r="G187" t="str">
        <x:v>精密金屬加工件</x:v>
      </x:c>
      <x:c r="H187" s="20" t="n">
        <x:v>45463</x:v>
      </x:c>
      <x:c r="I187" t="n">
        <x:v>800</x:v>
      </x:c>
      <x:c r="J187" t="n">
        <x:v>14417.43</x:v>
      </x:c>
      <x:c r="K187" t="str">
        <x:v>TWD</x:v>
      </x:c>
      <x:c r="L187" s="20" t="n">
        <x:v>45489</x:v>
      </x:c>
      <x:c r="M187" s="20" t="n">
        <x:v>45492</x:v>
      </x:c>
      <x:c r="N187" t="str">
        <x:v>否</x:v>
      </x:c>
      <x:c r="O187" t="str">
        <x:v>重要</x:v>
      </x:c>
      <x:c r="P187" t="str">
        <x:v>部分出貨</x:v>
      </x:c>
    </x:row>
    <x:row r="188" ht="20" customHeight="1">
      <x:c r="A188" t="str">
        <x:v>SO00187-01</x:v>
      </x:c>
      <x:c r="B188" t="str">
        <x:v>SO00187</x:v>
      </x:c>
      <x:c r="C188" t="str">
        <x:v>Q00288</x:v>
      </x:c>
      <x:c r="D188" t="str">
        <x:v>AUT-001</x:v>
      </x:c>
      <x:c r="E188" t="str">
        <x:v>S01</x:v>
      </x:c>
      <x:c r="F188" t="str">
        <x:v>AUTO-BS-A</x:v>
      </x:c>
      <x:c r="G188" t="str">
        <x:v>汽車精密零組件</x:v>
      </x:c>
      <x:c r="H188" s="20" t="n">
        <x:v>45461</x:v>
      </x:c>
      <x:c r="I188" t="n">
        <x:v>3000</x:v>
      </x:c>
      <x:c r="J188" t="n">
        <x:v>761.49</x:v>
      </x:c>
      <x:c r="K188" t="str">
        <x:v>TWD</x:v>
      </x:c>
      <x:c r="L188" s="20" t="n">
        <x:v>45473</x:v>
      </x:c>
      <x:c r="M188" s="20" t="n">
        <x:v>45475</x:v>
      </x:c>
      <x:c r="N188" t="str">
        <x:v>否</x:v>
      </x:c>
      <x:c r="O188" t="str">
        <x:v>VIP</x:v>
      </x:c>
      <x:c r="P188" t="str">
        <x:v>部分出貨</x:v>
      </x:c>
    </x:row>
    <x:row r="189" ht="20" customHeight="1">
      <x:c r="A189" t="str">
        <x:v>SO00188-01</x:v>
      </x:c>
      <x:c r="B189" t="str">
        <x:v>SO00188</x:v>
      </x:c>
      <x:c r="C189" t="str">
        <x:v>Q00290</x:v>
      </x:c>
      <x:c r="D189" t="str">
        <x:v>AUT-014</x:v>
      </x:c>
      <x:c r="E189" t="str">
        <x:v>S06</x:v>
      </x:c>
      <x:c r="F189" t="str">
        <x:v>MECH-STG-B</x:v>
      </x:c>
      <x:c r="G189" t="str">
        <x:v>機電／自動化模組</x:v>
      </x:c>
      <x:c r="H189" s="20" t="n">
        <x:v>45457</x:v>
      </x:c>
      <x:c r="I189" t="n">
        <x:v>20</x:v>
      </x:c>
      <x:c r="J189" t="n">
        <x:v>181335.37</x:v>
      </x:c>
      <x:c r="K189" t="str">
        <x:v>TWD</x:v>
      </x:c>
      <x:c r="L189" s="20" t="n">
        <x:v>45506</x:v>
      </x:c>
      <x:c r="M189" s="20" t="n">
        <x:v>45506</x:v>
      </x:c>
      <x:c r="N189" t="str">
        <x:v>否</x:v>
      </x:c>
      <x:c r="O189" t="str">
        <x:v>重要</x:v>
      </x:c>
      <x:c r="P189" t="str">
        <x:v>部分出貨</x:v>
      </x:c>
    </x:row>
    <x:row r="190" ht="20" customHeight="1">
      <x:c r="A190" t="str">
        <x:v>SO00189-01</x:v>
      </x:c>
      <x:c r="B190" t="str">
        <x:v>SO00189</x:v>
      </x:c>
      <x:c r="C190" t="str">
        <x:v>Q00291</x:v>
      </x:c>
      <x:c r="D190" t="str">
        <x:v>IAT-007</x:v>
      </x:c>
      <x:c r="E190" t="str">
        <x:v>S04</x:v>
      </x:c>
      <x:c r="F190" t="str">
        <x:v>MECH-STG-A</x:v>
      </x:c>
      <x:c r="G190" t="str">
        <x:v>機電／自動化模組</x:v>
      </x:c>
      <x:c r="H190" s="20" t="n">
        <x:v>45477</x:v>
      </x:c>
      <x:c r="I190" t="n">
        <x:v>10</x:v>
      </x:c>
      <x:c r="J190" t="n">
        <x:v>130049.2</x:v>
      </x:c>
      <x:c r="K190" t="str">
        <x:v>TWD</x:v>
      </x:c>
      <x:c r="L190" s="20" t="n">
        <x:v>45521</x:v>
      </x:c>
      <x:c r="M190" s="20" t="n">
        <x:v>45521</x:v>
      </x:c>
      <x:c r="N190" t="str">
        <x:v>否</x:v>
      </x:c>
      <x:c r="O190" t="str">
        <x:v>重要</x:v>
      </x:c>
      <x:c r="P190" t="str">
        <x:v>已出貨</x:v>
      </x:c>
    </x:row>
    <x:row r="191" ht="20" customHeight="1">
      <x:c r="A191" t="str">
        <x:v>SO00190-01</x:v>
      </x:c>
      <x:c r="B191" t="str">
        <x:v>SO00190</x:v>
      </x:c>
      <x:c r="C191" t="str">
        <x:v>Q00292</x:v>
      </x:c>
      <x:c r="D191" t="str">
        <x:v>AFT-006</x:v>
      </x:c>
      <x:c r="E191" t="str">
        <x:v>S01</x:v>
      </x:c>
      <x:c r="F191" t="str">
        <x:v>AUTO-BRK-A</x:v>
      </x:c>
      <x:c r="G191" t="str">
        <x:v>汽車精密零組件</x:v>
      </x:c>
      <x:c r="H191" s="20" t="n">
        <x:v>45474</x:v>
      </x:c>
      <x:c r="I191" t="n">
        <x:v>10000</x:v>
      </x:c>
      <x:c r="J191" t="n">
        <x:v>1824.82</x:v>
      </x:c>
      <x:c r="K191" t="str">
        <x:v>TWD</x:v>
      </x:c>
      <x:c r="L191" s="20" t="n">
        <x:v>45487</x:v>
      </x:c>
      <x:c r="M191" s="20" t="n">
        <x:v>45491</x:v>
      </x:c>
      <x:c r="N191" t="str">
        <x:v>是</x:v>
      </x:c>
      <x:c r="O191" t="str">
        <x:v>一般</x:v>
      </x:c>
      <x:c r="P191" t="str">
        <x:v>部分出貨</x:v>
      </x:c>
    </x:row>
    <x:row r="192" ht="20" customHeight="1">
      <x:c r="A192" t="str">
        <x:v>SO00191-01</x:v>
      </x:c>
      <x:c r="B192" t="str">
        <x:v>SO00191</x:v>
      </x:c>
      <x:c r="C192" t="str">
        <x:v>Q00293</x:v>
      </x:c>
      <x:c r="D192" t="str">
        <x:v>SEM-008</x:v>
      </x:c>
      <x:c r="E192" t="str">
        <x:v>S04</x:v>
      </x:c>
      <x:c r="F192" t="str">
        <x:v>PM-BRG-B</x:v>
      </x:c>
      <x:c r="G192" t="str">
        <x:v>精密金屬加工件</x:v>
      </x:c>
      <x:c r="H192" s="20" t="n">
        <x:v>45465</x:v>
      </x:c>
      <x:c r="I192" t="n">
        <x:v>300</x:v>
      </x:c>
      <x:c r="J192" t="n">
        <x:v>8164.32</x:v>
      </x:c>
      <x:c r="K192" t="str">
        <x:v>TWD</x:v>
      </x:c>
      <x:c r="L192" s="20" t="n">
        <x:v>45485</x:v>
      </x:c>
      <x:c r="M192" s="20" t="n">
        <x:v>45486</x:v>
      </x:c>
      <x:c r="N192" t="str">
        <x:v>否</x:v>
      </x:c>
      <x:c r="O192" t="str">
        <x:v>VIP</x:v>
      </x:c>
      <x:c r="P192" t="str">
        <x:v>部分出貨</x:v>
      </x:c>
    </x:row>
    <x:row r="193" ht="20" customHeight="1">
      <x:c r="A193" t="str">
        <x:v>SO00192-01</x:v>
      </x:c>
      <x:c r="B193" t="str">
        <x:v>SO00192</x:v>
      </x:c>
      <x:c r="C193" t="str">
        <x:v>Q00294</x:v>
      </x:c>
      <x:c r="D193" t="str">
        <x:v>EMS-003</x:v>
      </x:c>
      <x:c r="E193" t="str">
        <x:v>S05</x:v>
      </x:c>
      <x:c r="F193" t="str">
        <x:v>AUTO-FL-B</x:v>
      </x:c>
      <x:c r="G193" t="str">
        <x:v>汽車精密零組件</x:v>
      </x:c>
      <x:c r="H193" s="20" t="n">
        <x:v>45485</x:v>
      </x:c>
      <x:c r="I193" t="n">
        <x:v>5000</x:v>
      </x:c>
      <x:c r="J193" t="n">
        <x:v>1563.69</x:v>
      </x:c>
      <x:c r="K193" t="str">
        <x:v>TWD</x:v>
      </x:c>
      <x:c r="L193" s="20" t="n">
        <x:v>45503</x:v>
      </x:c>
      <x:c r="M193" s="20" t="n">
        <x:v>45503</x:v>
      </x:c>
      <x:c r="N193" t="str">
        <x:v>否</x:v>
      </x:c>
      <x:c r="O193" t="str">
        <x:v>一般</x:v>
      </x:c>
      <x:c r="P193" t="str">
        <x:v>部分出貨</x:v>
      </x:c>
    </x:row>
    <x:row r="194" ht="20" customHeight="1">
      <x:c r="A194" t="str">
        <x:v>SO00193-01</x:v>
      </x:c>
      <x:c r="B194" t="str">
        <x:v>SO00193</x:v>
      </x:c>
      <x:c r="C194" t="str">
        <x:v>Q00295</x:v>
      </x:c>
      <x:c r="D194" t="str">
        <x:v>AUT-007</x:v>
      </x:c>
      <x:c r="E194" t="str">
        <x:v>S04</x:v>
      </x:c>
      <x:c r="F194" t="str">
        <x:v>PM-BRG-B</x:v>
      </x:c>
      <x:c r="G194" t="str">
        <x:v>精密金屬加工件</x:v>
      </x:c>
      <x:c r="H194" s="20" t="n">
        <x:v>45489</x:v>
      </x:c>
      <x:c r="I194" t="n">
        <x:v>800</x:v>
      </x:c>
      <x:c r="J194" t="n">
        <x:v>7763.48</x:v>
      </x:c>
      <x:c r="K194" t="str">
        <x:v>TWD</x:v>
      </x:c>
      <x:c r="L194" s="20" t="n">
        <x:v>45509</x:v>
      </x:c>
      <x:c r="M194" s="20" t="n">
        <x:v>45509</x:v>
      </x:c>
      <x:c r="N194" t="str">
        <x:v>否</x:v>
      </x:c>
      <x:c r="O194" t="str">
        <x:v>一般</x:v>
      </x:c>
      <x:c r="P194" t="str">
        <x:v>部分出貨</x:v>
      </x:c>
    </x:row>
    <x:row r="195" ht="20" customHeight="1">
      <x:c r="A195" t="str">
        <x:v>SO00194-01</x:v>
      </x:c>
      <x:c r="B195" t="str">
        <x:v>SO00194</x:v>
      </x:c>
      <x:c r="C195" t="str">
        <x:v>Q00296</x:v>
      </x:c>
      <x:c r="D195" t="str">
        <x:v>AFT-002</x:v>
      </x:c>
      <x:c r="E195" t="str">
        <x:v>S04</x:v>
      </x:c>
      <x:c r="F195" t="str">
        <x:v>AUTO-LG-A</x:v>
      </x:c>
      <x:c r="G195" t="str">
        <x:v>汽車精密零組件</x:v>
      </x:c>
      <x:c r="H195" s="20" t="n">
        <x:v>45477</x:v>
      </x:c>
      <x:c r="I195" t="n">
        <x:v>3000</x:v>
      </x:c>
      <x:c r="J195" t="n">
        <x:v>1084.98</x:v>
      </x:c>
      <x:c r="K195" t="str">
        <x:v>TWD</x:v>
      </x:c>
      <x:c r="L195" s="20" t="n">
        <x:v>45494</x:v>
      </x:c>
      <x:c r="M195" s="20" t="n">
        <x:v>45496</x:v>
      </x:c>
      <x:c r="N195" t="str">
        <x:v>否</x:v>
      </x:c>
      <x:c r="O195" t="str">
        <x:v>一般</x:v>
      </x:c>
      <x:c r="P195" t="str">
        <x:v>部分出貨</x:v>
      </x:c>
    </x:row>
    <x:row r="196" ht="20" customHeight="1">
      <x:c r="A196" t="str">
        <x:v>SO00195-01</x:v>
      </x:c>
      <x:c r="B196" t="str">
        <x:v>SO00195</x:v>
      </x:c>
      <x:c r="C196" t="str">
        <x:v>Q00302</x:v>
      </x:c>
      <x:c r="D196" t="str">
        <x:v>AUT-013</x:v>
      </x:c>
      <x:c r="E196" t="str">
        <x:v>S01</x:v>
      </x:c>
      <x:c r="F196" t="str">
        <x:v>AUTO-BRK-A</x:v>
      </x:c>
      <x:c r="G196" t="str">
        <x:v>汽車精密零組件</x:v>
      </x:c>
      <x:c r="H196" s="20" t="n">
        <x:v>45493</x:v>
      </x:c>
      <x:c r="I196" t="n">
        <x:v>13000</x:v>
      </x:c>
      <x:c r="J196" t="n">
        <x:v>1780.88</x:v>
      </x:c>
      <x:c r="K196" t="str">
        <x:v>TWD</x:v>
      </x:c>
      <x:c r="L196" s="20" t="n">
        <x:v>45507</x:v>
      </x:c>
      <x:c r="M196" s="20" t="n">
        <x:v>45509</x:v>
      </x:c>
      <x:c r="N196" t="str">
        <x:v>是</x:v>
      </x:c>
      <x:c r="O196" t="str">
        <x:v>重要</x:v>
      </x:c>
      <x:c r="P196" t="str">
        <x:v>部分出貨</x:v>
      </x:c>
    </x:row>
    <x:row r="197" ht="20" customHeight="1">
      <x:c r="A197" t="str">
        <x:v>SO00196-01</x:v>
      </x:c>
      <x:c r="B197" t="str">
        <x:v>SO00196</x:v>
      </x:c>
      <x:c r="C197" t="str">
        <x:v>Q00304</x:v>
      </x:c>
      <x:c r="D197" t="str">
        <x:v>IAT-008</x:v>
      </x:c>
      <x:c r="E197" t="str">
        <x:v>S01</x:v>
      </x:c>
      <x:c r="F197" t="str">
        <x:v>MECH-STG-A</x:v>
      </x:c>
      <x:c r="G197" t="str">
        <x:v>機電／自動化模組</x:v>
      </x:c>
      <x:c r="H197" s="20" t="n">
        <x:v>45495</x:v>
      </x:c>
      <x:c r="I197" t="n">
        <x:v>10</x:v>
      </x:c>
      <x:c r="J197" t="n">
        <x:v>137501.22</x:v>
      </x:c>
      <x:c r="K197" t="str">
        <x:v>TWD</x:v>
      </x:c>
      <x:c r="L197" s="20" t="n">
        <x:v>45539</x:v>
      </x:c>
      <x:c r="M197" s="20" t="n">
        <x:v>45539</x:v>
      </x:c>
      <x:c r="N197" t="str">
        <x:v>否</x:v>
      </x:c>
      <x:c r="O197" t="str">
        <x:v>重要</x:v>
      </x:c>
      <x:c r="P197" t="str">
        <x:v>已出貨</x:v>
      </x:c>
    </x:row>
    <x:row r="198" ht="20" customHeight="1">
      <x:c r="A198" t="str">
        <x:v>SO00197-01</x:v>
      </x:c>
      <x:c r="B198" t="str">
        <x:v>SO00197</x:v>
      </x:c>
      <x:c r="C198" t="str">
        <x:v>Q00305</x:v>
      </x:c>
      <x:c r="D198" t="str">
        <x:v>EMS-007</x:v>
      </x:c>
      <x:c r="E198" t="str">
        <x:v>S04</x:v>
      </x:c>
      <x:c r="F198" t="str">
        <x:v>MECH-STG-B</x:v>
      </x:c>
      <x:c r="G198" t="str">
        <x:v>機電／自動化模組</x:v>
      </x:c>
      <x:c r="H198" s="20" t="n">
        <x:v>45498</x:v>
      </x:c>
      <x:c r="I198" t="n">
        <x:v>50</x:v>
      </x:c>
      <x:c r="J198" t="n">
        <x:v>202654.15</x:v>
      </x:c>
      <x:c r="K198" t="str">
        <x:v>TWD</x:v>
      </x:c>
      <x:c r="L198" s="20" t="n">
        <x:v>45543</x:v>
      </x:c>
      <x:c r="M198" s="20" t="n">
        <x:v>45547</x:v>
      </x:c>
      <x:c r="N198" t="str">
        <x:v>否</x:v>
      </x:c>
      <x:c r="O198" t="str">
        <x:v>一般</x:v>
      </x:c>
      <x:c r="P198" t="str">
        <x:v>已出貨</x:v>
      </x:c>
    </x:row>
    <x:row r="199" ht="20" customHeight="1">
      <x:c r="A199" t="str">
        <x:v>SO00198-01</x:v>
      </x:c>
      <x:c r="B199" t="str">
        <x:v>SO00198</x:v>
      </x:c>
      <x:c r="C199" t="str">
        <x:v>Q00306</x:v>
      </x:c>
      <x:c r="D199" t="str">
        <x:v>IAT-010</x:v>
      </x:c>
      <x:c r="E199" t="str">
        <x:v>S04</x:v>
      </x:c>
      <x:c r="F199" t="str">
        <x:v>SEMI-WH-A</x:v>
      </x:c>
      <x:c r="G199" t="str">
        <x:v>半導體設備零組件</x:v>
      </x:c>
      <x:c r="H199" s="20" t="n">
        <x:v>45513</x:v>
      </x:c>
      <x:c r="I199" t="n">
        <x:v>160</x:v>
      </x:c>
      <x:c r="J199" t="n">
        <x:v>112575.69</x:v>
      </x:c>
      <x:c r="K199" t="str">
        <x:v>TWD</x:v>
      </x:c>
      <x:c r="L199" s="20" t="n">
        <x:v>45554</x:v>
      </x:c>
      <x:c r="M199" s="20" t="n">
        <x:v>45563</x:v>
      </x:c>
      <x:c r="N199" t="str">
        <x:v>否</x:v>
      </x:c>
      <x:c r="O199" t="str">
        <x:v>重要</x:v>
      </x:c>
      <x:c r="P199" t="str">
        <x:v>部分出貨</x:v>
      </x:c>
    </x:row>
    <x:row r="200" ht="20" customHeight="1">
      <x:c r="A200" t="str">
        <x:v>SO00199-01</x:v>
      </x:c>
      <x:c r="B200" t="str">
        <x:v>SO00199</x:v>
      </x:c>
      <x:c r="C200" t="str">
        <x:v>Q00307</x:v>
      </x:c>
      <x:c r="D200" t="str">
        <x:v>AUT-010</x:v>
      </x:c>
      <x:c r="E200" t="str">
        <x:v>S05</x:v>
      </x:c>
      <x:c r="F200" t="str">
        <x:v>AUTO-LG-A</x:v>
      </x:c>
      <x:c r="G200" t="str">
        <x:v>汽車精密零組件</x:v>
      </x:c>
      <x:c r="H200" s="20" t="n">
        <x:v>45491</x:v>
      </x:c>
      <x:c r="I200" t="n">
        <x:v>7000</x:v>
      </x:c>
      <x:c r="J200" t="n">
        <x:v>1072.26</x:v>
      </x:c>
      <x:c r="K200" t="str">
        <x:v>TWD</x:v>
      </x:c>
      <x:c r="L200" s="20" t="n">
        <x:v>45507</x:v>
      </x:c>
      <x:c r="M200" s="20" t="n">
        <x:v>45507</x:v>
      </x:c>
      <x:c r="N200" t="str">
        <x:v>否</x:v>
      </x:c>
      <x:c r="O200" t="str">
        <x:v>VIP</x:v>
      </x:c>
      <x:c r="P200" t="str">
        <x:v>部分出貨</x:v>
      </x:c>
    </x:row>
    <x:row r="201" ht="20" customHeight="1">
      <x:c r="A201" t="str">
        <x:v>SO00200-01</x:v>
      </x:c>
      <x:c r="B201" t="str">
        <x:v>SO00200</x:v>
      </x:c>
      <x:c r="C201" t="str">
        <x:v>Q00309</x:v>
      </x:c>
      <x:c r="D201" t="str">
        <x:v>IAT-004</x:v>
      </x:c>
      <x:c r="E201" t="str">
        <x:v>S05</x:v>
      </x:c>
      <x:c r="F201" t="str">
        <x:v>AUTO-BRK-B</x:v>
      </x:c>
      <x:c r="G201" t="str">
        <x:v>汽車精密零組件</x:v>
      </x:c>
      <x:c r="H201" s="20" t="n">
        <x:v>45501</x:v>
      </x:c>
      <x:c r="I201" t="n">
        <x:v>7000</x:v>
      </x:c>
      <x:c r="J201" t="n">
        <x:v>1952.95</x:v>
      </x:c>
      <x:c r="K201" t="str">
        <x:v>TWD</x:v>
      </x:c>
      <x:c r="L201" s="20" t="n">
        <x:v>45517</x:v>
      </x:c>
      <x:c r="M201" s="20" t="n">
        <x:v>45522</x:v>
      </x:c>
      <x:c r="N201" t="str">
        <x:v>是</x:v>
      </x:c>
      <x:c r="O201" t="str">
        <x:v>重要</x:v>
      </x:c>
      <x:c r="P201" t="str">
        <x:v>部分出貨</x:v>
      </x:c>
    </x:row>
    <x:row r="202" ht="20" customHeight="1">
      <x:c r="A202" t="str">
        <x:v>SO00201-01</x:v>
      </x:c>
      <x:c r="B202" t="str">
        <x:v>SO00201</x:v>
      </x:c>
      <x:c r="C202" t="str">
        <x:v>Q00310</x:v>
      </x:c>
      <x:c r="D202" t="str">
        <x:v>EMS-001</x:v>
      </x:c>
      <x:c r="E202" t="str">
        <x:v>S02</x:v>
      </x:c>
      <x:c r="F202" t="str">
        <x:v>AUTO-KN-A</x:v>
      </x:c>
      <x:c r="G202" t="str">
        <x:v>汽車精密零組件</x:v>
      </x:c>
      <x:c r="H202" s="20" t="n">
        <x:v>45504</x:v>
      </x:c>
      <x:c r="I202" t="n">
        <x:v>5000</x:v>
      </x:c>
      <x:c r="J202" t="n">
        <x:v>3182.15</x:v>
      </x:c>
      <x:c r="K202" t="str">
        <x:v>TWD</x:v>
      </x:c>
      <x:c r="L202" s="20" t="n">
        <x:v>45524</x:v>
      </x:c>
      <x:c r="M202" s="20" t="n">
        <x:v>45527</x:v>
      </x:c>
      <x:c r="N202" t="str">
        <x:v>否</x:v>
      </x:c>
      <x:c r="O202" t="str">
        <x:v>一般</x:v>
      </x:c>
      <x:c r="P202" t="str">
        <x:v>部分出貨</x:v>
      </x:c>
    </x:row>
    <x:row r="203" ht="20" customHeight="1">
      <x:c r="A203" t="str">
        <x:v>SO00202-01</x:v>
      </x:c>
      <x:c r="B203" t="str">
        <x:v>SO00202</x:v>
      </x:c>
      <x:c r="C203" t="str">
        <x:v>Q00311</x:v>
      </x:c>
      <x:c r="D203" t="str">
        <x:v>SEM-007</x:v>
      </x:c>
      <x:c r="E203" t="str">
        <x:v>S03</x:v>
      </x:c>
      <x:c r="F203" t="str">
        <x:v>PM-ALB-A</x:v>
      </x:c>
      <x:c r="G203" t="str">
        <x:v>精密金屬加工件</x:v>
      </x:c>
      <x:c r="H203" s="20" t="n">
        <x:v>45490</x:v>
      </x:c>
      <x:c r="I203" t="n">
        <x:v>1200</x:v>
      </x:c>
      <x:c r="J203" t="n">
        <x:v>11384.57</x:v>
      </x:c>
      <x:c r="K203" t="str">
        <x:v>TWD</x:v>
      </x:c>
      <x:c r="L203" s="20" t="n">
        <x:v>45512</x:v>
      </x:c>
      <x:c r="M203" s="20" t="n">
        <x:v>45515</x:v>
      </x:c>
      <x:c r="N203" t="str">
        <x:v>否</x:v>
      </x:c>
      <x:c r="O203" t="str">
        <x:v>重要</x:v>
      </x:c>
      <x:c r="P203" t="str">
        <x:v>部分出貨</x:v>
      </x:c>
    </x:row>
    <x:row r="204" ht="20" customHeight="1">
      <x:c r="A204" t="str">
        <x:v>SO00203-01</x:v>
      </x:c>
      <x:c r="B204" t="str">
        <x:v>SO00203</x:v>
      </x:c>
      <x:c r="C204" t="str">
        <x:v>Q00313</x:v>
      </x:c>
      <x:c r="D204" t="str">
        <x:v>IAT-001</x:v>
      </x:c>
      <x:c r="E204" t="str">
        <x:v>S05</x:v>
      </x:c>
      <x:c r="F204" t="str">
        <x:v>AUTO-FL-B</x:v>
      </x:c>
      <x:c r="G204" t="str">
        <x:v>汽車精密零組件</x:v>
      </x:c>
      <x:c r="H204" s="20" t="n">
        <x:v>45489</x:v>
      </x:c>
      <x:c r="I204" t="n">
        <x:v>7000</x:v>
      </x:c>
      <x:c r="J204" t="n">
        <x:v>1434.55</x:v>
      </x:c>
      <x:c r="K204" t="str">
        <x:v>TWD</x:v>
      </x:c>
      <x:c r="L204" s="20" t="n">
        <x:v>45508</x:v>
      </x:c>
      <x:c r="M204" s="20" t="n">
        <x:v>45508</x:v>
      </x:c>
      <x:c r="N204" t="str">
        <x:v>否</x:v>
      </x:c>
      <x:c r="O204" t="str">
        <x:v>一般</x:v>
      </x:c>
      <x:c r="P204" t="str">
        <x:v>部分出貨</x:v>
      </x:c>
    </x:row>
    <x:row r="205" ht="20" customHeight="1">
      <x:c r="A205" t="str">
        <x:v>SO00204-01</x:v>
      </x:c>
      <x:c r="B205" t="str">
        <x:v>SO00204</x:v>
      </x:c>
      <x:c r="C205" t="str">
        <x:v>Q00315</x:v>
      </x:c>
      <x:c r="D205" t="str">
        <x:v>IAT-004</x:v>
      </x:c>
      <x:c r="E205" t="str">
        <x:v>S05</x:v>
      </x:c>
      <x:c r="F205" t="str">
        <x:v>PM-BRG-A</x:v>
      </x:c>
      <x:c r="G205" t="str">
        <x:v>精密金屬加工件</x:v>
      </x:c>
      <x:c r="H205" s="20" t="n">
        <x:v>45486</x:v>
      </x:c>
      <x:c r="I205" t="n">
        <x:v>1600</x:v>
      </x:c>
      <x:c r="J205" t="n">
        <x:v>7181.22</x:v>
      </x:c>
      <x:c r="K205" t="str">
        <x:v>TWD</x:v>
      </x:c>
      <x:c r="L205" s="20" t="n">
        <x:v>45504</x:v>
      </x:c>
      <x:c r="M205" s="20" t="n">
        <x:v>45506</x:v>
      </x:c>
      <x:c r="N205" t="str">
        <x:v>否</x:v>
      </x:c>
      <x:c r="O205" t="str">
        <x:v>重要</x:v>
      </x:c>
      <x:c r="P205" t="str">
        <x:v>部分出貨</x:v>
      </x:c>
    </x:row>
    <x:row r="206" ht="20" customHeight="1">
      <x:c r="A206" t="str">
        <x:v>SO00205-01</x:v>
      </x:c>
      <x:c r="B206" t="str">
        <x:v>SO00205</x:v>
      </x:c>
      <x:c r="C206" t="str">
        <x:v>Q00317</x:v>
      </x:c>
      <x:c r="D206" t="str">
        <x:v>EMS-004</x:v>
      </x:c>
      <x:c r="E206" t="str">
        <x:v>S03</x:v>
      </x:c>
      <x:c r="F206" t="str">
        <x:v>SEMI-WH-A</x:v>
      </x:c>
      <x:c r="G206" t="str">
        <x:v>半導體設備零組件</x:v>
      </x:c>
      <x:c r="H206" s="20" t="n">
        <x:v>45506</x:v>
      </x:c>
      <x:c r="I206" t="n">
        <x:v>120</x:v>
      </x:c>
      <x:c r="J206" t="n">
        <x:v>112926.6</x:v>
      </x:c>
      <x:c r="K206" t="str">
        <x:v>TWD</x:v>
      </x:c>
      <x:c r="L206" s="20" t="n">
        <x:v>45556</x:v>
      </x:c>
      <x:c r="M206" s="20" t="n">
        <x:v>45556</x:v>
      </x:c>
      <x:c r="N206" t="str">
        <x:v>是</x:v>
      </x:c>
      <x:c r="O206" t="str">
        <x:v>VIP</x:v>
      </x:c>
      <x:c r="P206" t="str">
        <x:v>部分出貨</x:v>
      </x:c>
    </x:row>
    <x:row r="207" ht="20" customHeight="1">
      <x:c r="A207" t="str">
        <x:v>SO00206-01</x:v>
      </x:c>
      <x:c r="B207" t="str">
        <x:v>SO00206</x:v>
      </x:c>
      <x:c r="C207" t="str">
        <x:v>Q00318</x:v>
      </x:c>
      <x:c r="D207" t="str">
        <x:v>AUT-008</x:v>
      </x:c>
      <x:c r="E207" t="str">
        <x:v>S01</x:v>
      </x:c>
      <x:c r="F207" t="str">
        <x:v>AUTO-FL-B</x:v>
      </x:c>
      <x:c r="G207" t="str">
        <x:v>汽車精密零組件</x:v>
      </x:c>
      <x:c r="H207" s="20" t="n">
        <x:v>45501</x:v>
      </x:c>
      <x:c r="I207" t="n">
        <x:v>7000</x:v>
      </x:c>
      <x:c r="J207" t="n">
        <x:v>1512.74</x:v>
      </x:c>
      <x:c r="K207" t="str">
        <x:v>TWD</x:v>
      </x:c>
      <x:c r="L207" s="20" t="n">
        <x:v>45519</x:v>
      </x:c>
      <x:c r="M207" s="20" t="n">
        <x:v>45520</x:v>
      </x:c>
      <x:c r="N207" t="str">
        <x:v>是</x:v>
      </x:c>
      <x:c r="O207" t="str">
        <x:v>重要</x:v>
      </x:c>
      <x:c r="P207" t="str">
        <x:v>部分出貨</x:v>
      </x:c>
    </x:row>
    <x:row r="208" ht="20" customHeight="1">
      <x:c r="A208" t="str">
        <x:v>SO00207-01</x:v>
      </x:c>
      <x:c r="B208" t="str">
        <x:v>SO00207</x:v>
      </x:c>
      <x:c r="C208" t="str">
        <x:v>Q00320</x:v>
      </x:c>
      <x:c r="D208" t="str">
        <x:v>SEM-010</x:v>
      </x:c>
      <x:c r="E208" t="str">
        <x:v>S01</x:v>
      </x:c>
      <x:c r="F208" t="str">
        <x:v>PM-ALB-B</x:v>
      </x:c>
      <x:c r="G208" t="str">
        <x:v>精密金屬加工件</x:v>
      </x:c>
      <x:c r="H208" s="20" t="n">
        <x:v>45512</x:v>
      </x:c>
      <x:c r="I208" t="n">
        <x:v>1600</x:v>
      </x:c>
      <x:c r="J208" t="n">
        <x:v>16221.19</x:v>
      </x:c>
      <x:c r="K208" t="str">
        <x:v>TWD</x:v>
      </x:c>
      <x:c r="L208" s="20" t="n">
        <x:v>45545</x:v>
      </x:c>
      <x:c r="M208" s="20" t="n">
        <x:v>45545</x:v>
      </x:c>
      <x:c r="N208" t="str">
        <x:v>否</x:v>
      </x:c>
      <x:c r="O208" t="str">
        <x:v>一般</x:v>
      </x:c>
      <x:c r="P208" t="str">
        <x:v>部分出貨</x:v>
      </x:c>
    </x:row>
    <x:row r="209" ht="20" customHeight="1">
      <x:c r="A209" t="str">
        <x:v>SO00208-01</x:v>
      </x:c>
      <x:c r="B209" t="str">
        <x:v>SO00208</x:v>
      </x:c>
      <x:c r="C209" t="str">
        <x:v>Q00321</x:v>
      </x:c>
      <x:c r="D209" t="str">
        <x:v>AUT-012</x:v>
      </x:c>
      <x:c r="E209" t="str">
        <x:v>S06</x:v>
      </x:c>
      <x:c r="F209" t="str">
        <x:v>MECH-STG-B</x:v>
      </x:c>
      <x:c r="G209" t="str">
        <x:v>機電／自動化模組</x:v>
      </x:c>
      <x:c r="H209" s="20" t="n">
        <x:v>45498</x:v>
      </x:c>
      <x:c r="I209" t="n">
        <x:v>10</x:v>
      </x:c>
      <x:c r="J209" t="n">
        <x:v>195136.21</x:v>
      </x:c>
      <x:c r="K209" t="str">
        <x:v>TWD</x:v>
      </x:c>
      <x:c r="L209" s="20" t="n">
        <x:v>45540</x:v>
      </x:c>
      <x:c r="M209" s="20" t="n">
        <x:v>45548</x:v>
      </x:c>
      <x:c r="N209" t="str">
        <x:v>是</x:v>
      </x:c>
      <x:c r="O209" t="str">
        <x:v>VIP</x:v>
      </x:c>
      <x:c r="P209" t="str">
        <x:v>已出貨</x:v>
      </x:c>
    </x:row>
    <x:row r="210" ht="20" customHeight="1">
      <x:c r="A210" t="str">
        <x:v>SO00209-01</x:v>
      </x:c>
      <x:c r="B210" t="str">
        <x:v>SO00209</x:v>
      </x:c>
      <x:c r="C210" t="str">
        <x:v>Q00323</x:v>
      </x:c>
      <x:c r="D210" t="str">
        <x:v>IAT-006</x:v>
      </x:c>
      <x:c r="E210" t="str">
        <x:v>S01</x:v>
      </x:c>
      <x:c r="F210" t="str">
        <x:v>AUTO-BS-A</x:v>
      </x:c>
      <x:c r="G210" t="str">
        <x:v>汽車精密零組件</x:v>
      </x:c>
      <x:c r="H210" s="20" t="n">
        <x:v>45499</x:v>
      </x:c>
      <x:c r="I210" t="n">
        <x:v>7000</x:v>
      </x:c>
      <x:c r="J210" t="n">
        <x:v>744.24</x:v>
      </x:c>
      <x:c r="K210" t="str">
        <x:v>TWD</x:v>
      </x:c>
      <x:c r="L210" s="20" t="n">
        <x:v>45510</x:v>
      </x:c>
      <x:c r="M210" s="20" t="n">
        <x:v>45513</x:v>
      </x:c>
      <x:c r="N210" t="str">
        <x:v>是</x:v>
      </x:c>
      <x:c r="O210" t="str">
        <x:v>重要</x:v>
      </x:c>
      <x:c r="P210" t="str">
        <x:v>部分出貨</x:v>
      </x:c>
    </x:row>
    <x:row r="211" ht="20" customHeight="1">
      <x:c r="A211" t="str">
        <x:v>SO00210-01</x:v>
      </x:c>
      <x:c r="B211" t="str">
        <x:v>SO00210</x:v>
      </x:c>
      <x:c r="C211" t="str">
        <x:v>Q00325</x:v>
      </x:c>
      <x:c r="D211" t="str">
        <x:v>SEM-001</x:v>
      </x:c>
      <x:c r="E211" t="str">
        <x:v>S01</x:v>
      </x:c>
      <x:c r="F211" t="str">
        <x:v>PM-ALB-B</x:v>
      </x:c>
      <x:c r="G211" t="str">
        <x:v>精密金屬加工件</x:v>
      </x:c>
      <x:c r="H211" s="20" t="n">
        <x:v>45492</x:v>
      </x:c>
      <x:c r="I211" t="n">
        <x:v>1200</x:v>
      </x:c>
      <x:c r="J211" t="n">
        <x:v>16386.7</x:v>
      </x:c>
      <x:c r="K211" t="str">
        <x:v>TWD</x:v>
      </x:c>
      <x:c r="L211" s="20" t="n">
        <x:v>45525</x:v>
      </x:c>
      <x:c r="M211" s="20" t="n">
        <x:v>45525</x:v>
      </x:c>
      <x:c r="N211" t="str">
        <x:v>否</x:v>
      </x:c>
      <x:c r="O211" t="str">
        <x:v>重要</x:v>
      </x:c>
      <x:c r="P211" t="str">
        <x:v>部分出貨</x:v>
      </x:c>
    </x:row>
    <x:row r="212" ht="20" customHeight="1">
      <x:c r="A212" t="str">
        <x:v>SO00211-01</x:v>
      </x:c>
      <x:c r="B212" t="str">
        <x:v>SO00211</x:v>
      </x:c>
      <x:c r="C212" t="str">
        <x:v>Q00326</x:v>
      </x:c>
      <x:c r="D212" t="str">
        <x:v>AUT-014</x:v>
      </x:c>
      <x:c r="E212" t="str">
        <x:v>S06</x:v>
      </x:c>
      <x:c r="F212" t="str">
        <x:v>PM-BRG-A</x:v>
      </x:c>
      <x:c r="G212" t="str">
        <x:v>精密金屬加工件</x:v>
      </x:c>
      <x:c r="H212" s="20" t="n">
        <x:v>45511</x:v>
      </x:c>
      <x:c r="I212" t="n">
        <x:v>500</x:v>
      </x:c>
      <x:c r="J212" t="n">
        <x:v>6110.6</x:v>
      </x:c>
      <x:c r="K212" t="str">
        <x:v>TWD</x:v>
      </x:c>
      <x:c r="L212" s="20" t="n">
        <x:v>45531</x:v>
      </x:c>
      <x:c r="M212" s="20" t="n">
        <x:v>45531</x:v>
      </x:c>
      <x:c r="N212" t="str">
        <x:v>否</x:v>
      </x:c>
      <x:c r="O212" t="str">
        <x:v>重要</x:v>
      </x:c>
      <x:c r="P212" t="str">
        <x:v>部分出貨</x:v>
      </x:c>
    </x:row>
    <x:row r="213" ht="20" customHeight="1">
      <x:c r="A213" t="str">
        <x:v>SO00212-01</x:v>
      </x:c>
      <x:c r="B213" t="str">
        <x:v>SO00212</x:v>
      </x:c>
      <x:c r="C213" t="str">
        <x:v>Q00327</x:v>
      </x:c>
      <x:c r="D213" t="str">
        <x:v>SEM-007</x:v>
      </x:c>
      <x:c r="E213" t="str">
        <x:v>S03</x:v>
      </x:c>
      <x:c r="F213" t="str">
        <x:v>MECH-CON-A</x:v>
      </x:c>
      <x:c r="G213" t="str">
        <x:v>機電／自動化模組</x:v>
      </x:c>
      <x:c r="H213" s="20" t="n">
        <x:v>45519</x:v>
      </x:c>
      <x:c r="I213" t="n">
        <x:v>40</x:v>
      </x:c>
      <x:c r="J213" t="n">
        <x:v>116931.62</x:v>
      </x:c>
      <x:c r="K213" t="str">
        <x:v>TWD</x:v>
      </x:c>
      <x:c r="L213" s="20" t="n">
        <x:v>45550</x:v>
      </x:c>
      <x:c r="M213" s="20" t="n">
        <x:v>45553</x:v>
      </x:c>
      <x:c r="N213" t="str">
        <x:v>否</x:v>
      </x:c>
      <x:c r="O213" t="str">
        <x:v>重要</x:v>
      </x:c>
      <x:c r="P213" t="str">
        <x:v>已出貨</x:v>
      </x:c>
    </x:row>
    <x:row r="214" ht="20" customHeight="1">
      <x:c r="A214" t="str">
        <x:v>SO00213-01</x:v>
      </x:c>
      <x:c r="B214" t="str">
        <x:v>SO00213</x:v>
      </x:c>
      <x:c r="C214" t="str">
        <x:v>Q00328</x:v>
      </x:c>
      <x:c r="D214" t="str">
        <x:v>IAT-010</x:v>
      </x:c>
      <x:c r="E214" t="str">
        <x:v>S04</x:v>
      </x:c>
      <x:c r="F214" t="str">
        <x:v>AUTO-KN-A</x:v>
      </x:c>
      <x:c r="G214" t="str">
        <x:v>汽車精密零組件</x:v>
      </x:c>
      <x:c r="H214" s="20" t="n">
        <x:v>45534</x:v>
      </x:c>
      <x:c r="I214" t="n">
        <x:v>10000</x:v>
      </x:c>
      <x:c r="J214" t="n">
        <x:v>3056.9</x:v>
      </x:c>
      <x:c r="K214" t="str">
        <x:v>TWD</x:v>
      </x:c>
      <x:c r="L214" s="20" t="n">
        <x:v>45554</x:v>
      </x:c>
      <x:c r="M214" s="20" t="n">
        <x:v>45559</x:v>
      </x:c>
      <x:c r="N214" t="str">
        <x:v>否</x:v>
      </x:c>
      <x:c r="O214" t="str">
        <x:v>重要</x:v>
      </x:c>
      <x:c r="P214" t="str">
        <x:v>部分出貨</x:v>
      </x:c>
    </x:row>
    <x:row r="215" ht="20" customHeight="1">
      <x:c r="A215" t="str">
        <x:v>SO00214-01</x:v>
      </x:c>
      <x:c r="B215" t="str">
        <x:v>SO00214</x:v>
      </x:c>
      <x:c r="C215" t="str">
        <x:v>Q00331</x:v>
      </x:c>
      <x:c r="D215" t="str">
        <x:v>IAT-009</x:v>
      </x:c>
      <x:c r="E215" t="str">
        <x:v>S04</x:v>
      </x:c>
      <x:c r="F215" t="str">
        <x:v>AUTO-BRK-B</x:v>
      </x:c>
      <x:c r="G215" t="str">
        <x:v>汽車精密零組件</x:v>
      </x:c>
      <x:c r="H215" s="20" t="n">
        <x:v>45523</x:v>
      </x:c>
      <x:c r="I215" t="n">
        <x:v>5000</x:v>
      </x:c>
      <x:c r="J215" t="n">
        <x:v>2084.72</x:v>
      </x:c>
      <x:c r="K215" t="str">
        <x:v>TWD</x:v>
      </x:c>
      <x:c r="L215" s="20" t="n">
        <x:v>45543</x:v>
      </x:c>
      <x:c r="M215" s="20" t="n">
        <x:v>45544</x:v>
      </x:c>
      <x:c r="N215" t="str">
        <x:v>否</x:v>
      </x:c>
      <x:c r="O215" t="str">
        <x:v>重要</x:v>
      </x:c>
      <x:c r="P215" t="str">
        <x:v>部分出貨</x:v>
      </x:c>
    </x:row>
    <x:row r="216" ht="20" customHeight="1">
      <x:c r="A216" t="str">
        <x:v>SO00215-01</x:v>
      </x:c>
      <x:c r="B216" t="str">
        <x:v>SO00215</x:v>
      </x:c>
      <x:c r="C216" t="str">
        <x:v>Q00332</x:v>
      </x:c>
      <x:c r="D216" t="str">
        <x:v>AUT-004</x:v>
      </x:c>
      <x:c r="E216" t="str">
        <x:v>S03</x:v>
      </x:c>
      <x:c r="F216" t="str">
        <x:v>PM-ALB-A</x:v>
      </x:c>
      <x:c r="G216" t="str">
        <x:v>精密金屬加工件</x:v>
      </x:c>
      <x:c r="H216" s="20" t="n">
        <x:v>45539</x:v>
      </x:c>
      <x:c r="I216" t="n">
        <x:v>300</x:v>
      </x:c>
      <x:c r="J216" t="n">
        <x:v>10893.7</x:v>
      </x:c>
      <x:c r="K216" t="str">
        <x:v>TWD</x:v>
      </x:c>
      <x:c r="L216" s="20" t="n">
        <x:v>45565</x:v>
      </x:c>
      <x:c r="M216" s="20" t="n">
        <x:v>45565</x:v>
      </x:c>
      <x:c r="N216" t="str">
        <x:v>否</x:v>
      </x:c>
      <x:c r="O216" t="str">
        <x:v>VIP</x:v>
      </x:c>
      <x:c r="P216" t="str">
        <x:v>部分出貨</x:v>
      </x:c>
    </x:row>
    <x:row r="217" ht="20" customHeight="1">
      <x:c r="A217" t="str">
        <x:v>SO00216-01</x:v>
      </x:c>
      <x:c r="B217" t="str">
        <x:v>SO00216</x:v>
      </x:c>
      <x:c r="C217" t="str">
        <x:v>Q00333</x:v>
      </x:c>
      <x:c r="D217" t="str">
        <x:v>AUT-006</x:v>
      </x:c>
      <x:c r="E217" t="str">
        <x:v>S03</x:v>
      </x:c>
      <x:c r="F217" t="str">
        <x:v>PM-BRG-A</x:v>
      </x:c>
      <x:c r="G217" t="str">
        <x:v>精密金屬加工件</x:v>
      </x:c>
      <x:c r="H217" s="20" t="n">
        <x:v>45526</x:v>
      </x:c>
      <x:c r="I217" t="n">
        <x:v>300</x:v>
      </x:c>
      <x:c r="J217" t="n">
        <x:v>6359.84</x:v>
      </x:c>
      <x:c r="K217" t="str">
        <x:v>TWD</x:v>
      </x:c>
      <x:c r="L217" s="20" t="n">
        <x:v>45545</x:v>
      </x:c>
      <x:c r="M217" s="20" t="n">
        <x:v>45545</x:v>
      </x:c>
      <x:c r="N217" t="str">
        <x:v>否</x:v>
      </x:c>
      <x:c r="O217" t="str">
        <x:v>一般</x:v>
      </x:c>
      <x:c r="P217" t="str">
        <x:v>部分出貨</x:v>
      </x:c>
    </x:row>
    <x:row r="218" ht="20" customHeight="1">
      <x:c r="A218" t="str">
        <x:v>SO00217-01</x:v>
      </x:c>
      <x:c r="B218" t="str">
        <x:v>SO00217</x:v>
      </x:c>
      <x:c r="C218" t="str">
        <x:v>Q00334</x:v>
      </x:c>
      <x:c r="D218" t="str">
        <x:v>AUT-014</x:v>
      </x:c>
      <x:c r="E218" t="str">
        <x:v>S06</x:v>
      </x:c>
      <x:c r="F218" t="str">
        <x:v>AUTO-BRK-B</x:v>
      </x:c>
      <x:c r="G218" t="str">
        <x:v>汽車精密零組件</x:v>
      </x:c>
      <x:c r="H218" s="20" t="n">
        <x:v>45544</x:v>
      </x:c>
      <x:c r="I218" t="n">
        <x:v>3000</x:v>
      </x:c>
      <x:c r="J218" t="n">
        <x:v>2173.35</x:v>
      </x:c>
      <x:c r="K218" t="str">
        <x:v>TWD</x:v>
      </x:c>
      <x:c r="L218" s="20" t="n">
        <x:v>45565</x:v>
      </x:c>
      <x:c r="M218" s="20" t="n">
        <x:v>45565</x:v>
      </x:c>
      <x:c r="N218" t="str">
        <x:v>是</x:v>
      </x:c>
      <x:c r="O218" t="str">
        <x:v>重要</x:v>
      </x:c>
      <x:c r="P218" t="str">
        <x:v>部分出貨</x:v>
      </x:c>
    </x:row>
    <x:row r="219" ht="20" customHeight="1">
      <x:c r="A219" t="str">
        <x:v>SO00218-01</x:v>
      </x:c>
      <x:c r="B219" t="str">
        <x:v>SO00218</x:v>
      </x:c>
      <x:c r="C219" t="str">
        <x:v>Q00336</x:v>
      </x:c>
      <x:c r="D219" t="str">
        <x:v>SEM-009</x:v>
      </x:c>
      <x:c r="E219" t="str">
        <x:v>S02</x:v>
      </x:c>
      <x:c r="F219" t="str">
        <x:v>MECH-CON-A</x:v>
      </x:c>
      <x:c r="G219" t="str">
        <x:v>機電／自動化模組</x:v>
      </x:c>
      <x:c r="H219" s="20" t="n">
        <x:v>45516</x:v>
      </x:c>
      <x:c r="I219" t="n">
        <x:v>20</x:v>
      </x:c>
      <x:c r="J219" t="n">
        <x:v>109045.26</x:v>
      </x:c>
      <x:c r="K219" t="str">
        <x:v>TWD</x:v>
      </x:c>
      <x:c r="L219" s="20" t="n">
        <x:v>45542</x:v>
      </x:c>
      <x:c r="M219" s="20" t="n">
        <x:v>45551</x:v>
      </x:c>
      <x:c r="N219" t="str">
        <x:v>是</x:v>
      </x:c>
      <x:c r="O219" t="str">
        <x:v>重要</x:v>
      </x:c>
      <x:c r="P219" t="str">
        <x:v>已出貨</x:v>
      </x:c>
    </x:row>
    <x:row r="220" ht="20" customHeight="1">
      <x:c r="A220" t="str">
        <x:v>SO00219-01</x:v>
      </x:c>
      <x:c r="B220" t="str">
        <x:v>SO00219</x:v>
      </x:c>
      <x:c r="C220" t="str">
        <x:v>Q00337</x:v>
      </x:c>
      <x:c r="D220" t="str">
        <x:v>EMS-008</x:v>
      </x:c>
      <x:c r="E220" t="str">
        <x:v>S02</x:v>
      </x:c>
      <x:c r="F220" t="str">
        <x:v>AUTO-BRK-B</x:v>
      </x:c>
      <x:c r="G220" t="str">
        <x:v>汽車精密零組件</x:v>
      </x:c>
      <x:c r="H220" s="20" t="n">
        <x:v>45521</x:v>
      </x:c>
      <x:c r="I220" t="n">
        <x:v>7000</x:v>
      </x:c>
      <x:c r="J220" t="n">
        <x:v>2124.58</x:v>
      </x:c>
      <x:c r="K220" t="str">
        <x:v>TWD</x:v>
      </x:c>
      <x:c r="L220" s="20" t="n">
        <x:v>45541</x:v>
      </x:c>
      <x:c r="M220" s="20" t="n">
        <x:v>45541</x:v>
      </x:c>
      <x:c r="N220" t="str">
        <x:v>是</x:v>
      </x:c>
      <x:c r="O220" t="str">
        <x:v>重要</x:v>
      </x:c>
      <x:c r="P220" t="str">
        <x:v>部分出貨</x:v>
      </x:c>
    </x:row>
    <x:row r="221" ht="20" customHeight="1">
      <x:c r="A221" t="str">
        <x:v>SO00220-01</x:v>
      </x:c>
      <x:c r="B221" t="str">
        <x:v>SO00220</x:v>
      </x:c>
      <x:c r="C221" t="str">
        <x:v>Q00338</x:v>
      </x:c>
      <x:c r="D221" t="str">
        <x:v>IAT-002</x:v>
      </x:c>
      <x:c r="E221" t="str">
        <x:v>S01</x:v>
      </x:c>
      <x:c r="F221" t="str">
        <x:v>SEMI-WH-A</x:v>
      </x:c>
      <x:c r="G221" t="str">
        <x:v>半導體設備零組件</x:v>
      </x:c>
      <x:c r="H221" s="20" t="n">
        <x:v>45520</x:v>
      </x:c>
      <x:c r="I221" t="n">
        <x:v>60</x:v>
      </x:c>
      <x:c r="J221" t="n">
        <x:v>114419.95</x:v>
      </x:c>
      <x:c r="K221" t="str">
        <x:v>TWD</x:v>
      </x:c>
      <x:c r="L221" s="20" t="n">
        <x:v>45570</x:v>
      </x:c>
      <x:c r="M221" s="20" t="n">
        <x:v>45570</x:v>
      </x:c>
      <x:c r="N221" t="str">
        <x:v>否</x:v>
      </x:c>
      <x:c r="O221" t="str">
        <x:v>一般</x:v>
      </x:c>
      <x:c r="P221" t="str">
        <x:v>已出貨</x:v>
      </x:c>
    </x:row>
    <x:row r="222" ht="20" customHeight="1">
      <x:c r="A222" t="str">
        <x:v>SO00221-01</x:v>
      </x:c>
      <x:c r="B222" t="str">
        <x:v>SO00221</x:v>
      </x:c>
      <x:c r="C222" t="str">
        <x:v>Q00341</x:v>
      </x:c>
      <x:c r="D222" t="str">
        <x:v>SEM-004</x:v>
      </x:c>
      <x:c r="E222" t="str">
        <x:v>S02</x:v>
      </x:c>
      <x:c r="F222" t="str">
        <x:v>MECH-CON-B</x:v>
      </x:c>
      <x:c r="G222" t="str">
        <x:v>機電／自動化模組</x:v>
      </x:c>
      <x:c r="H222" s="20" t="n">
        <x:v>45516</x:v>
      </x:c>
      <x:c r="I222" t="n">
        <x:v>50</x:v>
      </x:c>
      <x:c r="J222" t="n">
        <x:v>163497.75</x:v>
      </x:c>
      <x:c r="K222" t="str">
        <x:v>TWD</x:v>
      </x:c>
      <x:c r="L222" s="20" t="n">
        <x:v>45560</x:v>
      </x:c>
      <x:c r="M222" s="20" t="n">
        <x:v>45560</x:v>
      </x:c>
      <x:c r="N222" t="str">
        <x:v>否</x:v>
      </x:c>
      <x:c r="O222" t="str">
        <x:v>一般</x:v>
      </x:c>
      <x:c r="P222" t="str">
        <x:v>部分出貨</x:v>
      </x:c>
    </x:row>
    <x:row r="223" ht="20" customHeight="1">
      <x:c r="A223" t="str">
        <x:v>SO00222-01</x:v>
      </x:c>
      <x:c r="B223" t="str">
        <x:v>SO00222</x:v>
      </x:c>
      <x:c r="C223" t="str">
        <x:v>Q00342</x:v>
      </x:c>
      <x:c r="D223" t="str">
        <x:v>AUT-006</x:v>
      </x:c>
      <x:c r="E223" t="str">
        <x:v>S03</x:v>
      </x:c>
      <x:c r="F223" t="str">
        <x:v>PM-ALB-A</x:v>
      </x:c>
      <x:c r="G223" t="str">
        <x:v>精密金屬加工件</x:v>
      </x:c>
      <x:c r="H223" s="20" t="n">
        <x:v>45525</x:v>
      </x:c>
      <x:c r="I223" t="n">
        <x:v>500</x:v>
      </x:c>
      <x:c r="J223" t="n">
        <x:v>11175.64</x:v>
      </x:c>
      <x:c r="K223" t="str">
        <x:v>TWD</x:v>
      </x:c>
      <x:c r="L223" s="20" t="n">
        <x:v>45548</x:v>
      </x:c>
      <x:c r="M223" s="20" t="n">
        <x:v>45551</x:v>
      </x:c>
      <x:c r="N223" t="str">
        <x:v>否</x:v>
      </x:c>
      <x:c r="O223" t="str">
        <x:v>一般</x:v>
      </x:c>
      <x:c r="P223" t="str">
        <x:v>部分出貨</x:v>
      </x:c>
    </x:row>
    <x:row r="224" ht="20" customHeight="1">
      <x:c r="A224" t="str">
        <x:v>SO00223-01</x:v>
      </x:c>
      <x:c r="B224" t="str">
        <x:v>SO00223</x:v>
      </x:c>
      <x:c r="C224" t="str">
        <x:v>Q00343</x:v>
      </x:c>
      <x:c r="D224" t="str">
        <x:v>AUT-008</x:v>
      </x:c>
      <x:c r="E224" t="str">
        <x:v>S01</x:v>
      </x:c>
      <x:c r="F224" t="str">
        <x:v>PM-VAC-B</x:v>
      </x:c>
      <x:c r="G224" t="str">
        <x:v>精密金屬加工件</x:v>
      </x:c>
      <x:c r="H224" s="20" t="n">
        <x:v>45537</x:v>
      </x:c>
      <x:c r="I224" t="n">
        <x:v>300</x:v>
      </x:c>
      <x:c r="J224" t="n">
        <x:v>21242.07</x:v>
      </x:c>
      <x:c r="K224" t="str">
        <x:v>TWD</x:v>
      </x:c>
      <x:c r="L224" s="20" t="n">
        <x:v>45564</x:v>
      </x:c>
      <x:c r="M224" s="20" t="n">
        <x:v>45572</x:v>
      </x:c>
      <x:c r="N224" t="str">
        <x:v>是</x:v>
      </x:c>
      <x:c r="O224" t="str">
        <x:v>重要</x:v>
      </x:c>
      <x:c r="P224" t="str">
        <x:v>部分出貨</x:v>
      </x:c>
    </x:row>
    <x:row r="225" ht="20" customHeight="1">
      <x:c r="A225" t="str">
        <x:v>SO00224-01</x:v>
      </x:c>
      <x:c r="B225" t="str">
        <x:v>SO00224</x:v>
      </x:c>
      <x:c r="C225" t="str">
        <x:v>Q00347</x:v>
      </x:c>
      <x:c r="D225" t="str">
        <x:v>AUT-008</x:v>
      </x:c>
      <x:c r="E225" t="str">
        <x:v>S01</x:v>
      </x:c>
      <x:c r="F225" t="str">
        <x:v>PM-VAC-B</x:v>
      </x:c>
      <x:c r="G225" t="str">
        <x:v>精密金屬加工件</x:v>
      </x:c>
      <x:c r="H225" s="20" t="n">
        <x:v>45526</x:v>
      </x:c>
      <x:c r="I225" t="n">
        <x:v>800</x:v>
      </x:c>
      <x:c r="J225" t="n">
        <x:v>20155.76</x:v>
      </x:c>
      <x:c r="K225" t="str">
        <x:v>TWD</x:v>
      </x:c>
      <x:c r="L225" s="20" t="n">
        <x:v>45556</x:v>
      </x:c>
      <x:c r="M225" s="20" t="n">
        <x:v>45560</x:v>
      </x:c>
      <x:c r="N225" t="str">
        <x:v>否</x:v>
      </x:c>
      <x:c r="O225" t="str">
        <x:v>重要</x:v>
      </x:c>
      <x:c r="P225" t="str">
        <x:v>部分出貨</x:v>
      </x:c>
    </x:row>
    <x:row r="226" ht="20" customHeight="1">
      <x:c r="A226" t="str">
        <x:v>SO00225-01</x:v>
      </x:c>
      <x:c r="B226" t="str">
        <x:v>SO00225</x:v>
      </x:c>
      <x:c r="C226" t="str">
        <x:v>Q00349</x:v>
      </x:c>
      <x:c r="D226" t="str">
        <x:v>IAT-003</x:v>
      </x:c>
      <x:c r="E226" t="str">
        <x:v>S04</x:v>
      </x:c>
      <x:c r="F226" t="str">
        <x:v>PM-BRG-B</x:v>
      </x:c>
      <x:c r="G226" t="str">
        <x:v>精密金屬加工件</x:v>
      </x:c>
      <x:c r="H226" s="20" t="n">
        <x:v>45510</x:v>
      </x:c>
      <x:c r="I226" t="n">
        <x:v>300</x:v>
      </x:c>
      <x:c r="J226" t="n">
        <x:v>7954.77</x:v>
      </x:c>
      <x:c r="K226" t="str">
        <x:v>TWD</x:v>
      </x:c>
      <x:c r="L226" s="20" t="n">
        <x:v>45526</x:v>
      </x:c>
      <x:c r="M226" s="20" t="n">
        <x:v>45531</x:v>
      </x:c>
      <x:c r="N226" t="str">
        <x:v>是</x:v>
      </x:c>
      <x:c r="O226" t="str">
        <x:v>重要</x:v>
      </x:c>
      <x:c r="P226" t="str">
        <x:v>部分出貨</x:v>
      </x:c>
    </x:row>
    <x:row r="227" ht="20" customHeight="1">
      <x:c r="A227" t="str">
        <x:v>SO00226-01</x:v>
      </x:c>
      <x:c r="B227" t="str">
        <x:v>SO00226</x:v>
      </x:c>
      <x:c r="C227" t="str">
        <x:v>Q00350</x:v>
      </x:c>
      <x:c r="D227" t="str">
        <x:v>EMS-004</x:v>
      </x:c>
      <x:c r="E227" t="str">
        <x:v>S03</x:v>
      </x:c>
      <x:c r="F227" t="str">
        <x:v>PM-VAC-B</x:v>
      </x:c>
      <x:c r="G227" t="str">
        <x:v>精密金屬加工件</x:v>
      </x:c>
      <x:c r="H227" s="20" t="n">
        <x:v>45536</x:v>
      </x:c>
      <x:c r="I227" t="n">
        <x:v>1200</x:v>
      </x:c>
      <x:c r="J227" t="n">
        <x:v>21386.33</x:v>
      </x:c>
      <x:c r="K227" t="str">
        <x:v>TWD</x:v>
      </x:c>
      <x:c r="L227" s="20" t="n">
        <x:v>45566</x:v>
      </x:c>
      <x:c r="M227" s="20" t="n">
        <x:v>45570</x:v>
      </x:c>
      <x:c r="N227" t="str">
        <x:v>否</x:v>
      </x:c>
      <x:c r="O227" t="str">
        <x:v>VIP</x:v>
      </x:c>
      <x:c r="P227" t="str">
        <x:v>部分出貨</x:v>
      </x:c>
    </x:row>
    <x:row r="228" ht="20" customHeight="1">
      <x:c r="A228" t="str">
        <x:v>SO00227-01</x:v>
      </x:c>
      <x:c r="B228" t="str">
        <x:v>SO00227</x:v>
      </x:c>
      <x:c r="C228" t="str">
        <x:v>Q00351</x:v>
      </x:c>
      <x:c r="D228" t="str">
        <x:v>AFT-007</x:v>
      </x:c>
      <x:c r="E228" t="str">
        <x:v>S04</x:v>
      </x:c>
      <x:c r="F228" t="str">
        <x:v>PM-ALB-A</x:v>
      </x:c>
      <x:c r="G228" t="str">
        <x:v>精密金屬加工件</x:v>
      </x:c>
      <x:c r="H228" s="20" t="n">
        <x:v>45539</x:v>
      </x:c>
      <x:c r="I228" t="n">
        <x:v>800</x:v>
      </x:c>
      <x:c r="J228" t="n">
        <x:v>10396.19</x:v>
      </x:c>
      <x:c r="K228" t="str">
        <x:v>TWD</x:v>
      </x:c>
      <x:c r="L228" s="20" t="n">
        <x:v>45565</x:v>
      </x:c>
      <x:c r="M228" s="20" t="n">
        <x:v>45565</x:v>
      </x:c>
      <x:c r="N228" t="str">
        <x:v>否</x:v>
      </x:c>
      <x:c r="O228" t="str">
        <x:v>一般</x:v>
      </x:c>
      <x:c r="P228" t="str">
        <x:v>部分出貨</x:v>
      </x:c>
    </x:row>
    <x:row r="229" ht="20" customHeight="1">
      <x:c r="A229" t="str">
        <x:v>SO00228-01</x:v>
      </x:c>
      <x:c r="B229" t="str">
        <x:v>SO00228</x:v>
      </x:c>
      <x:c r="C229" t="str">
        <x:v>Q00356</x:v>
      </x:c>
      <x:c r="D229" t="str">
        <x:v>IAT-008</x:v>
      </x:c>
      <x:c r="E229" t="str">
        <x:v>S01</x:v>
      </x:c>
      <x:c r="F229" t="str">
        <x:v>AUTO-LG-B</x:v>
      </x:c>
      <x:c r="G229" t="str">
        <x:v>汽車精密零組件</x:v>
      </x:c>
      <x:c r="H229" s="20" t="n">
        <x:v>45542</x:v>
      </x:c>
      <x:c r="I229" t="n">
        <x:v>7000</x:v>
      </x:c>
      <x:c r="J229" t="n">
        <x:v>1155.42</x:v>
      </x:c>
      <x:c r="K229" t="str">
        <x:v>TWD</x:v>
      </x:c>
      <x:c r="L229" s="20" t="n">
        <x:v>45558</x:v>
      </x:c>
      <x:c r="M229" s="20" t="n">
        <x:v>45560</x:v>
      </x:c>
      <x:c r="N229" t="str">
        <x:v>是</x:v>
      </x:c>
      <x:c r="O229" t="str">
        <x:v>重要</x:v>
      </x:c>
      <x:c r="P229" t="str">
        <x:v>部分出貨</x:v>
      </x:c>
    </x:row>
    <x:row r="230" ht="20" customHeight="1">
      <x:c r="A230" t="str">
        <x:v>SO00229-01</x:v>
      </x:c>
      <x:c r="B230" t="str">
        <x:v>SO00229</x:v>
      </x:c>
      <x:c r="C230" t="str">
        <x:v>Q00357</x:v>
      </x:c>
      <x:c r="D230" t="str">
        <x:v>EMS-006</x:v>
      </x:c>
      <x:c r="E230" t="str">
        <x:v>S03</x:v>
      </x:c>
      <x:c r="F230" t="str">
        <x:v>AUTO-MH-B</x:v>
      </x:c>
      <x:c r="G230" t="str">
        <x:v>汽車精密零組件</x:v>
      </x:c>
      <x:c r="H230" s="20" t="n">
        <x:v>45514</x:v>
      </x:c>
      <x:c r="I230" t="n">
        <x:v>5000</x:v>
      </x:c>
      <x:c r="J230" t="n">
        <x:v>2988.88</x:v>
      </x:c>
      <x:c r="K230" t="str">
        <x:v>TWD</x:v>
      </x:c>
      <x:c r="L230" s="20" t="n">
        <x:v>45538</x:v>
      </x:c>
      <x:c r="M230" s="20" t="n">
        <x:v>45538</x:v>
      </x:c>
      <x:c r="N230" t="str">
        <x:v>是</x:v>
      </x:c>
      <x:c r="O230" t="str">
        <x:v>重要</x:v>
      </x:c>
      <x:c r="P230" t="str">
        <x:v>部分出貨</x:v>
      </x:c>
    </x:row>
    <x:row r="231" ht="20" customHeight="1">
      <x:c r="A231" t="str">
        <x:v>SO00230-01</x:v>
      </x:c>
      <x:c r="B231" t="str">
        <x:v>SO00230</x:v>
      </x:c>
      <x:c r="C231" t="str">
        <x:v>Q00358</x:v>
      </x:c>
      <x:c r="D231" t="str">
        <x:v>IAT-005</x:v>
      </x:c>
      <x:c r="E231" t="str">
        <x:v>S02</x:v>
      </x:c>
      <x:c r="F231" t="str">
        <x:v>AUTO-KN-A</x:v>
      </x:c>
      <x:c r="G231" t="str">
        <x:v>汽車精密零組件</x:v>
      </x:c>
      <x:c r="H231" s="20" t="n">
        <x:v>45539</x:v>
      </x:c>
      <x:c r="I231" t="n">
        <x:v>3000</x:v>
      </x:c>
      <x:c r="J231" t="n">
        <x:v>2930.43</x:v>
      </x:c>
      <x:c r="K231" t="str">
        <x:v>TWD</x:v>
      </x:c>
      <x:c r="L231" s="20" t="n">
        <x:v>45558</x:v>
      </x:c>
      <x:c r="M231" s="20" t="n">
        <x:v>45562</x:v>
      </x:c>
      <x:c r="N231" t="str">
        <x:v>是</x:v>
      </x:c>
      <x:c r="O231" t="str">
        <x:v>一般</x:v>
      </x:c>
      <x:c r="P231" t="str">
        <x:v>部分出貨</x:v>
      </x:c>
    </x:row>
    <x:row r="232" ht="20" customHeight="1">
      <x:c r="A232" t="str">
        <x:v>SO00231-01</x:v>
      </x:c>
      <x:c r="B232" t="str">
        <x:v>SO00231</x:v>
      </x:c>
      <x:c r="C232" t="str">
        <x:v>Q00359</x:v>
      </x:c>
      <x:c r="D232" t="str">
        <x:v>AUT-009</x:v>
      </x:c>
      <x:c r="E232" t="str">
        <x:v>S04</x:v>
      </x:c>
      <x:c r="F232" t="str">
        <x:v>AUTO-KN-A</x:v>
      </x:c>
      <x:c r="G232" t="str">
        <x:v>汽車精密零組件</x:v>
      </x:c>
      <x:c r="H232" s="20" t="n">
        <x:v>45534</x:v>
      </x:c>
      <x:c r="I232" t="n">
        <x:v>10000</x:v>
      </x:c>
      <x:c r="J232" t="n">
        <x:v>3090.72</x:v>
      </x:c>
      <x:c r="K232" t="str">
        <x:v>TWD</x:v>
      </x:c>
      <x:c r="L232" s="20" t="n">
        <x:v>45558</x:v>
      </x:c>
      <x:c r="M232" s="20" t="n">
        <x:v>45559</x:v>
      </x:c>
      <x:c r="N232" t="str">
        <x:v>否</x:v>
      </x:c>
      <x:c r="O232" t="str">
        <x:v>重要</x:v>
      </x:c>
      <x:c r="P232" t="str">
        <x:v>部分出貨</x:v>
      </x:c>
    </x:row>
    <x:row r="233" ht="20" customHeight="1">
      <x:c r="A233" t="str">
        <x:v>SO00232-01</x:v>
      </x:c>
      <x:c r="B233" t="str">
        <x:v>SO00232</x:v>
      </x:c>
      <x:c r="C233" t="str">
        <x:v>Q00364</x:v>
      </x:c>
      <x:c r="D233" t="str">
        <x:v>AUT-001</x:v>
      </x:c>
      <x:c r="E233" t="str">
        <x:v>S01</x:v>
      </x:c>
      <x:c r="F233" t="str">
        <x:v>AUTO-MH-A</x:v>
      </x:c>
      <x:c r="G233" t="str">
        <x:v>汽車精密零組件</x:v>
      </x:c>
      <x:c r="H233" s="20" t="n">
        <x:v>45566</x:v>
      </x:c>
      <x:c r="I233" t="n">
        <x:v>3000</x:v>
      </x:c>
      <x:c r="J233" t="n">
        <x:v>2475.45</x:v>
      </x:c>
      <x:c r="K233" t="str">
        <x:v>TWD</x:v>
      </x:c>
      <x:c r="L233" s="20" t="n">
        <x:v>45591</x:v>
      </x:c>
      <x:c r="M233" s="20" t="n">
        <x:v>45591</x:v>
      </x:c>
      <x:c r="N233" t="str">
        <x:v>否</x:v>
      </x:c>
      <x:c r="O233" t="str">
        <x:v>VIP</x:v>
      </x:c>
      <x:c r="P233" t="str">
        <x:v>部分出貨</x:v>
      </x:c>
    </x:row>
    <x:row r="234" ht="20" customHeight="1">
      <x:c r="A234" t="str">
        <x:v>SO00233-01</x:v>
      </x:c>
      <x:c r="B234" t="str">
        <x:v>SO00233</x:v>
      </x:c>
      <x:c r="C234" t="str">
        <x:v>Q00365</x:v>
      </x:c>
      <x:c r="D234" t="str">
        <x:v>IAT-006</x:v>
      </x:c>
      <x:c r="E234" t="str">
        <x:v>S01</x:v>
      </x:c>
      <x:c r="F234" t="str">
        <x:v>MECH-STG-B</x:v>
      </x:c>
      <x:c r="G234" t="str">
        <x:v>機電／自動化模組</x:v>
      </x:c>
      <x:c r="H234" s="20" t="n">
        <x:v>45569</x:v>
      </x:c>
      <x:c r="I234" t="n">
        <x:v>20</x:v>
      </x:c>
      <x:c r="J234" t="n">
        <x:v>203029.72</x:v>
      </x:c>
      <x:c r="K234" t="str">
        <x:v>TWD</x:v>
      </x:c>
      <x:c r="L234" s="20" t="n">
        <x:v>45626</x:v>
      </x:c>
      <x:c r="M234" s="20" t="n">
        <x:v>45626</x:v>
      </x:c>
      <x:c r="N234" t="str">
        <x:v>否</x:v>
      </x:c>
      <x:c r="O234" t="str">
        <x:v>重要</x:v>
      </x:c>
      <x:c r="P234" t="str">
        <x:v>已出貨</x:v>
      </x:c>
    </x:row>
    <x:row r="235" ht="20" customHeight="1">
      <x:c r="A235" t="str">
        <x:v>SO00234-01</x:v>
      </x:c>
      <x:c r="B235" t="str">
        <x:v>SO00234</x:v>
      </x:c>
      <x:c r="C235" t="str">
        <x:v>Q00366</x:v>
      </x:c>
      <x:c r="D235" t="str">
        <x:v>EMS-007</x:v>
      </x:c>
      <x:c r="E235" t="str">
        <x:v>S04</x:v>
      </x:c>
      <x:c r="F235" t="str">
        <x:v>PM-BRG-A</x:v>
      </x:c>
      <x:c r="G235" t="str">
        <x:v>精密金屬加工件</x:v>
      </x:c>
      <x:c r="H235" s="20" t="n">
        <x:v>45572</x:v>
      </x:c>
      <x:c r="I235" t="n">
        <x:v>1600</x:v>
      </x:c>
      <x:c r="J235" t="n">
        <x:v>6197.47</x:v>
      </x:c>
      <x:c r="K235" t="str">
        <x:v>TWD</x:v>
      </x:c>
      <x:c r="L235" s="20" t="n">
        <x:v>45589</x:v>
      </x:c>
      <x:c r="M235" s="20" t="n">
        <x:v>45592</x:v>
      </x:c>
      <x:c r="N235" t="str">
        <x:v>否</x:v>
      </x:c>
      <x:c r="O235" t="str">
        <x:v>一般</x:v>
      </x:c>
      <x:c r="P235" t="str">
        <x:v>部分出貨</x:v>
      </x:c>
    </x:row>
    <x:row r="236" ht="20" customHeight="1">
      <x:c r="A236" t="str">
        <x:v>SO00235-01</x:v>
      </x:c>
      <x:c r="B236" t="str">
        <x:v>SO00235</x:v>
      </x:c>
      <x:c r="C236" t="str">
        <x:v>Q00367</x:v>
      </x:c>
      <x:c r="D236" t="str">
        <x:v>AUT-002</x:v>
      </x:c>
      <x:c r="E236" t="str">
        <x:v>S04</x:v>
      </x:c>
      <x:c r="F236" t="str">
        <x:v>PM-ALB-A</x:v>
      </x:c>
      <x:c r="G236" t="str">
        <x:v>精密金屬加工件</x:v>
      </x:c>
      <x:c r="H236" s="20" t="n">
        <x:v>45541</x:v>
      </x:c>
      <x:c r="I236" t="n">
        <x:v>1200</x:v>
      </x:c>
      <x:c r="J236" t="n">
        <x:v>10289.59</x:v>
      </x:c>
      <x:c r="K236" t="str">
        <x:v>TWD</x:v>
      </x:c>
      <x:c r="L236" s="20" t="n">
        <x:v>45559</x:v>
      </x:c>
      <x:c r="M236" s="20" t="n">
        <x:v>45565</x:v>
      </x:c>
      <x:c r="N236" t="str">
        <x:v>是</x:v>
      </x:c>
      <x:c r="O236" t="str">
        <x:v>重要</x:v>
      </x:c>
      <x:c r="P236" t="str">
        <x:v>部分出貨</x:v>
      </x:c>
    </x:row>
    <x:row r="237" ht="20" customHeight="1">
      <x:c r="A237" t="str">
        <x:v>SO00236-01</x:v>
      </x:c>
      <x:c r="B237" t="str">
        <x:v>SO00236</x:v>
      </x:c>
      <x:c r="C237" t="str">
        <x:v>Q00369</x:v>
      </x:c>
      <x:c r="D237" t="str">
        <x:v>IAT-008</x:v>
      </x:c>
      <x:c r="E237" t="str">
        <x:v>S01</x:v>
      </x:c>
      <x:c r="F237" t="str">
        <x:v>SEMI-CHB-A</x:v>
      </x:c>
      <x:c r="G237" t="str">
        <x:v>半導體設備零組件</x:v>
      </x:c>
      <x:c r="H237" s="20" t="n">
        <x:v>45550</x:v>
      </x:c>
      <x:c r="I237" t="n">
        <x:v>80</x:v>
      </x:c>
      <x:c r="J237" t="n">
        <x:v>91123.31</x:v>
      </x:c>
      <x:c r="K237" t="str">
        <x:v>TWD</x:v>
      </x:c>
      <x:c r="L237" s="20" t="n">
        <x:v>45597</x:v>
      </x:c>
      <x:c r="M237" s="20" t="n">
        <x:v>45597</x:v>
      </x:c>
      <x:c r="N237" t="str">
        <x:v>否</x:v>
      </x:c>
      <x:c r="O237" t="str">
        <x:v>重要</x:v>
      </x:c>
      <x:c r="P237" t="str">
        <x:v>部分出貨</x:v>
      </x:c>
    </x:row>
    <x:row r="238" ht="20" customHeight="1">
      <x:c r="A238" t="str">
        <x:v>SO00237-01</x:v>
      </x:c>
      <x:c r="B238" t="str">
        <x:v>SO00237</x:v>
      </x:c>
      <x:c r="C238" t="str">
        <x:v>Q00371</x:v>
      </x:c>
      <x:c r="D238" t="str">
        <x:v>EMS-005</x:v>
      </x:c>
      <x:c r="E238" t="str">
        <x:v>S01</x:v>
      </x:c>
      <x:c r="F238" t="str">
        <x:v>SEMI-CHB-A</x:v>
      </x:c>
      <x:c r="G238" t="str">
        <x:v>半導體設備零組件</x:v>
      </x:c>
      <x:c r="H238" s="20" t="n">
        <x:v>45550</x:v>
      </x:c>
      <x:c r="I238" t="n">
        <x:v>80</x:v>
      </x:c>
      <x:c r="J238" t="n">
        <x:v>90424.85</x:v>
      </x:c>
      <x:c r="K238" t="str">
        <x:v>TWD</x:v>
      </x:c>
      <x:c r="L238" s="20" t="n">
        <x:v>45586</x:v>
      </x:c>
      <x:c r="M238" s="20" t="n">
        <x:v>45597</x:v>
      </x:c>
      <x:c r="N238" t="str">
        <x:v>是</x:v>
      </x:c>
      <x:c r="O238" t="str">
        <x:v>VIP</x:v>
      </x:c>
      <x:c r="P238" t="str">
        <x:v>部分出貨</x:v>
      </x:c>
    </x:row>
    <x:row r="239" ht="20" customHeight="1">
      <x:c r="A239" t="str">
        <x:v>SO00238-01</x:v>
      </x:c>
      <x:c r="B239" t="str">
        <x:v>SO00238</x:v>
      </x:c>
      <x:c r="C239" t="str">
        <x:v>Q00372</x:v>
      </x:c>
      <x:c r="D239" t="str">
        <x:v>IAT-005</x:v>
      </x:c>
      <x:c r="E239" t="str">
        <x:v>S02</x:v>
      </x:c>
      <x:c r="F239" t="str">
        <x:v>SEMI-WH-A</x:v>
      </x:c>
      <x:c r="G239" t="str">
        <x:v>半導體設備零組件</x:v>
      </x:c>
      <x:c r="H239" s="20" t="n">
        <x:v>45568</x:v>
      </x:c>
      <x:c r="I239" t="n">
        <x:v>160</x:v>
      </x:c>
      <x:c r="J239" t="n">
        <x:v>119615.02</x:v>
      </x:c>
      <x:c r="K239" t="str">
        <x:v>TWD</x:v>
      </x:c>
      <x:c r="L239" s="20" t="n">
        <x:v>45609</x:v>
      </x:c>
      <x:c r="M239" s="20" t="n">
        <x:v>45614</x:v>
      </x:c>
      <x:c r="N239" t="str">
        <x:v>否</x:v>
      </x:c>
      <x:c r="O239" t="str">
        <x:v>一般</x:v>
      </x:c>
      <x:c r="P239" t="str">
        <x:v>部分出貨</x:v>
      </x:c>
    </x:row>
    <x:row r="240" ht="20" customHeight="1">
      <x:c r="A240" t="str">
        <x:v>SO00239-01</x:v>
      </x:c>
      <x:c r="B240" t="str">
        <x:v>SO00239</x:v>
      </x:c>
      <x:c r="C240" t="str">
        <x:v>Q00374</x:v>
      </x:c>
      <x:c r="D240" t="str">
        <x:v>AUT-006</x:v>
      </x:c>
      <x:c r="E240" t="str">
        <x:v>S03</x:v>
      </x:c>
      <x:c r="F240" t="str">
        <x:v>AUTO-LG-B</x:v>
      </x:c>
      <x:c r="G240" t="str">
        <x:v>汽車精密零組件</x:v>
      </x:c>
      <x:c r="H240" s="20" t="n">
        <x:v>45569</x:v>
      </x:c>
      <x:c r="I240" t="n">
        <x:v>5000</x:v>
      </x:c>
      <x:c r="J240" t="n">
        <x:v>1182.32</x:v>
      </x:c>
      <x:c r="K240" t="str">
        <x:v>TWD</x:v>
      </x:c>
      <x:c r="L240" s="20" t="n">
        <x:v>45582</x:v>
      </x:c>
      <x:c r="M240" s="20" t="n">
        <x:v>45587</x:v>
      </x:c>
      <x:c r="N240" t="str">
        <x:v>是</x:v>
      </x:c>
      <x:c r="O240" t="str">
        <x:v>一般</x:v>
      </x:c>
      <x:c r="P240" t="str">
        <x:v>部分出貨</x:v>
      </x:c>
    </x:row>
    <x:row r="241" ht="20" customHeight="1">
      <x:c r="A241" t="str">
        <x:v>SO00240-01</x:v>
      </x:c>
      <x:c r="B241" t="str">
        <x:v>SO00240</x:v>
      </x:c>
      <x:c r="C241" t="str">
        <x:v>Q00375</x:v>
      </x:c>
      <x:c r="D241" t="str">
        <x:v>SEM-007</x:v>
      </x:c>
      <x:c r="E241" t="str">
        <x:v>S03</x:v>
      </x:c>
      <x:c r="F241" t="str">
        <x:v>MECH-CON-B</x:v>
      </x:c>
      <x:c r="G241" t="str">
        <x:v>機電／自動化模組</x:v>
      </x:c>
      <x:c r="H241" s="20" t="n">
        <x:v>45565</x:v>
      </x:c>
      <x:c r="I241" t="n">
        <x:v>50</x:v>
      </x:c>
      <x:c r="J241" t="n">
        <x:v>158122.93</x:v>
      </x:c>
      <x:c r="K241" t="str">
        <x:v>TWD</x:v>
      </x:c>
      <x:c r="L241" s="20" t="n">
        <x:v>45601</x:v>
      </x:c>
      <x:c r="M241" s="20" t="n">
        <x:v>45606</x:v>
      </x:c>
      <x:c r="N241" t="str">
        <x:v>是</x:v>
      </x:c>
      <x:c r="O241" t="str">
        <x:v>重要</x:v>
      </x:c>
      <x:c r="P241" t="str">
        <x:v>已出貨</x:v>
      </x:c>
    </x:row>
    <x:row r="242" ht="20" customHeight="1">
      <x:c r="A242" t="str">
        <x:v>SO00241-01</x:v>
      </x:c>
      <x:c r="B242" t="str">
        <x:v>SO00241</x:v>
      </x:c>
      <x:c r="C242" t="str">
        <x:v>Q00376</x:v>
      </x:c>
      <x:c r="D242" t="str">
        <x:v>EMS-001</x:v>
      </x:c>
      <x:c r="E242" t="str">
        <x:v>S02</x:v>
      </x:c>
      <x:c r="F242" t="str">
        <x:v>AUTO-LG-A</x:v>
      </x:c>
      <x:c r="G242" t="str">
        <x:v>汽車精密零組件</x:v>
      </x:c>
      <x:c r="H242" s="20" t="n">
        <x:v>45542</x:v>
      </x:c>
      <x:c r="I242" t="n">
        <x:v>7000</x:v>
      </x:c>
      <x:c r="J242" t="n">
        <x:v>1063.15</x:v>
      </x:c>
      <x:c r="K242" t="str">
        <x:v>TWD</x:v>
      </x:c>
      <x:c r="L242" s="20" t="n">
        <x:v>45560</x:v>
      </x:c>
      <x:c r="M242" s="20" t="n">
        <x:v>45560</x:v>
      </x:c>
      <x:c r="N242" t="str">
        <x:v>否</x:v>
      </x:c>
      <x:c r="O242" t="str">
        <x:v>一般</x:v>
      </x:c>
      <x:c r="P242" t="str">
        <x:v>部分出貨</x:v>
      </x:c>
    </x:row>
    <x:row r="243" ht="20" customHeight="1">
      <x:c r="A243" t="str">
        <x:v>SO00242-01</x:v>
      </x:c>
      <x:c r="B243" t="str">
        <x:v>SO00242</x:v>
      </x:c>
      <x:c r="C243" t="str">
        <x:v>Q00377</x:v>
      </x:c>
      <x:c r="D243" t="str">
        <x:v>AUT-008</x:v>
      </x:c>
      <x:c r="E243" t="str">
        <x:v>S01</x:v>
      </x:c>
      <x:c r="F243" t="str">
        <x:v>PM-BRG-A</x:v>
      </x:c>
      <x:c r="G243" t="str">
        <x:v>精密金屬加工件</x:v>
      </x:c>
      <x:c r="H243" s="20" t="n">
        <x:v>45560</x:v>
      </x:c>
      <x:c r="I243" t="n">
        <x:v>300</x:v>
      </x:c>
      <x:c r="J243" t="n">
        <x:v>7081.19</x:v>
      </x:c>
      <x:c r="K243" t="str">
        <x:v>TWD</x:v>
      </x:c>
      <x:c r="L243" s="20" t="n">
        <x:v>45580</x:v>
      </x:c>
      <x:c r="M243" s="20" t="n">
        <x:v>45580</x:v>
      </x:c>
      <x:c r="N243" t="str">
        <x:v>否</x:v>
      </x:c>
      <x:c r="O243" t="str">
        <x:v>重要</x:v>
      </x:c>
      <x:c r="P243" t="str">
        <x:v>部分出貨</x:v>
      </x:c>
    </x:row>
    <x:row r="244" ht="20" customHeight="1">
      <x:c r="A244" t="str">
        <x:v>SO00243-01</x:v>
      </x:c>
      <x:c r="B244" t="str">
        <x:v>SO00243</x:v>
      </x:c>
      <x:c r="C244" t="str">
        <x:v>Q00378</x:v>
      </x:c>
      <x:c r="D244" t="str">
        <x:v>IAT-002</x:v>
      </x:c>
      <x:c r="E244" t="str">
        <x:v>S01</x:v>
      </x:c>
      <x:c r="F244" t="str">
        <x:v>AUTO-FL-B</x:v>
      </x:c>
      <x:c r="G244" t="str">
        <x:v>汽車精密零組件</x:v>
      </x:c>
      <x:c r="H244" s="20" t="n">
        <x:v>45541</x:v>
      </x:c>
      <x:c r="I244" t="n">
        <x:v>3000</x:v>
      </x:c>
      <x:c r="J244" t="n">
        <x:v>1561.6</x:v>
      </x:c>
      <x:c r="K244" t="str">
        <x:v>TWD</x:v>
      </x:c>
      <x:c r="L244" s="20" t="n">
        <x:v>45560</x:v>
      </x:c>
      <x:c r="M244" s="20" t="n">
        <x:v>45560</x:v>
      </x:c>
      <x:c r="N244" t="str">
        <x:v>否</x:v>
      </x:c>
      <x:c r="O244" t="str">
        <x:v>一般</x:v>
      </x:c>
      <x:c r="P244" t="str">
        <x:v>部分出貨</x:v>
      </x:c>
    </x:row>
    <x:row r="245" ht="20" customHeight="1">
      <x:c r="A245" t="str">
        <x:v>SO00244-01</x:v>
      </x:c>
      <x:c r="B245" t="str">
        <x:v>SO00244</x:v>
      </x:c>
      <x:c r="C245" t="str">
        <x:v>Q00379</x:v>
      </x:c>
      <x:c r="D245" t="str">
        <x:v>SEM-008</x:v>
      </x:c>
      <x:c r="E245" t="str">
        <x:v>S04</x:v>
      </x:c>
      <x:c r="F245" t="str">
        <x:v>PM-ALB-A</x:v>
      </x:c>
      <x:c r="G245" t="str">
        <x:v>精密金屬加工件</x:v>
      </x:c>
      <x:c r="H245" s="20" t="n">
        <x:v>45563</x:v>
      </x:c>
      <x:c r="I245" t="n">
        <x:v>800</x:v>
      </x:c>
      <x:c r="J245" t="n">
        <x:v>11163.28</x:v>
      </x:c>
      <x:c r="K245" t="str">
        <x:v>TWD</x:v>
      </x:c>
      <x:c r="L245" s="20" t="n">
        <x:v>45582</x:v>
      </x:c>
      <x:c r="M245" s="20" t="n">
        <x:v>45586</x:v>
      </x:c>
      <x:c r="N245" t="str">
        <x:v>是</x:v>
      </x:c>
      <x:c r="O245" t="str">
        <x:v>VIP</x:v>
      </x:c>
      <x:c r="P245" t="str">
        <x:v>部分出貨</x:v>
      </x:c>
    </x:row>
    <x:row r="246" ht="20" customHeight="1">
      <x:c r="A246" t="str">
        <x:v>SO00245-01</x:v>
      </x:c>
      <x:c r="B246" t="str">
        <x:v>SO00245</x:v>
      </x:c>
      <x:c r="C246" t="str">
        <x:v>Q00380</x:v>
      </x:c>
      <x:c r="D246" t="str">
        <x:v>AUT-003</x:v>
      </x:c>
      <x:c r="E246" t="str">
        <x:v>S03</x:v>
      </x:c>
      <x:c r="F246" t="str">
        <x:v>PM-VAC-B</x:v>
      </x:c>
      <x:c r="G246" t="str">
        <x:v>精密金屬加工件</x:v>
      </x:c>
      <x:c r="H246" s="20" t="n">
        <x:v>45554</x:v>
      </x:c>
      <x:c r="I246" t="n">
        <x:v>500</x:v>
      </x:c>
      <x:c r="J246" t="n">
        <x:v>22915.3</x:v>
      </x:c>
      <x:c r="K246" t="str">
        <x:v>TWD</x:v>
      </x:c>
      <x:c r="L246" s="20" t="n">
        <x:v>45586</x:v>
      </x:c>
      <x:c r="M246" s="20" t="n">
        <x:v>45589</x:v>
      </x:c>
      <x:c r="N246" t="str">
        <x:v>否</x:v>
      </x:c>
      <x:c r="O246" t="str">
        <x:v>VIP</x:v>
      </x:c>
      <x:c r="P246" t="str">
        <x:v>部分出貨</x:v>
      </x:c>
    </x:row>
    <x:row r="247" ht="20" customHeight="1">
      <x:c r="A247" t="str">
        <x:v>SO00246-01</x:v>
      </x:c>
      <x:c r="B247" t="str">
        <x:v>SO00246</x:v>
      </x:c>
      <x:c r="C247" t="str">
        <x:v>Q00382</x:v>
      </x:c>
      <x:c r="D247" t="str">
        <x:v>IAT-008</x:v>
      </x:c>
      <x:c r="E247" t="str">
        <x:v>S01</x:v>
      </x:c>
      <x:c r="F247" t="str">
        <x:v>MECH-STG-B</x:v>
      </x:c>
      <x:c r="G247" t="str">
        <x:v>機電／自動化模組</x:v>
      </x:c>
      <x:c r="H247" s="20" t="n">
        <x:v>45574</x:v>
      </x:c>
      <x:c r="I247" t="n">
        <x:v>40</x:v>
      </x:c>
      <x:c r="J247" t="n">
        <x:v>196890.88</x:v>
      </x:c>
      <x:c r="K247" t="str">
        <x:v>TWD</x:v>
      </x:c>
      <x:c r="L247" s="20" t="n">
        <x:v>45621</x:v>
      </x:c>
      <x:c r="M247" s="20" t="n">
        <x:v>45622</x:v>
      </x:c>
      <x:c r="N247" t="str">
        <x:v>否</x:v>
      </x:c>
      <x:c r="O247" t="str">
        <x:v>重要</x:v>
      </x:c>
      <x:c r="P247" t="str">
        <x:v>已出貨</x:v>
      </x:c>
    </x:row>
    <x:row r="248" ht="20" customHeight="1">
      <x:c r="A248" t="str">
        <x:v>SO00247-01</x:v>
      </x:c>
      <x:c r="B248" t="str">
        <x:v>SO00247</x:v>
      </x:c>
      <x:c r="C248" t="str">
        <x:v>Q00384</x:v>
      </x:c>
      <x:c r="D248" t="str">
        <x:v>AUT-012</x:v>
      </x:c>
      <x:c r="E248" t="str">
        <x:v>S06</x:v>
      </x:c>
      <x:c r="F248" t="str">
        <x:v>PM-ALB-B</x:v>
      </x:c>
      <x:c r="G248" t="str">
        <x:v>精密金屬加工件</x:v>
      </x:c>
      <x:c r="H248" s="20" t="n">
        <x:v>45569</x:v>
      </x:c>
      <x:c r="I248" t="n">
        <x:v>300</x:v>
      </x:c>
      <x:c r="J248" t="n">
        <x:v>15459.51</x:v>
      </x:c>
      <x:c r="K248" t="str">
        <x:v>TWD</x:v>
      </x:c>
      <x:c r="L248" s="20" t="n">
        <x:v>45603</x:v>
      </x:c>
      <x:c r="M248" s="20" t="n">
        <x:v>45603</x:v>
      </x:c>
      <x:c r="N248" t="str">
        <x:v>否</x:v>
      </x:c>
      <x:c r="O248" t="str">
        <x:v>VIP</x:v>
      </x:c>
      <x:c r="P248" t="str">
        <x:v>部分出貨</x:v>
      </x:c>
    </x:row>
    <x:row r="249" ht="20" customHeight="1">
      <x:c r="A249" t="str">
        <x:v>SO00248-01</x:v>
      </x:c>
      <x:c r="B249" t="str">
        <x:v>SO00248</x:v>
      </x:c>
      <x:c r="C249" t="str">
        <x:v>Q00385</x:v>
      </x:c>
      <x:c r="D249" t="str">
        <x:v>SEM-009</x:v>
      </x:c>
      <x:c r="E249" t="str">
        <x:v>S02</x:v>
      </x:c>
      <x:c r="F249" t="str">
        <x:v>SEMI-WH-B</x:v>
      </x:c>
      <x:c r="G249" t="str">
        <x:v>半導體設備零組件</x:v>
      </x:c>
      <x:c r="H249" s="20" t="n">
        <x:v>45571</x:v>
      </x:c>
      <x:c r="I249" t="n">
        <x:v>40</x:v>
      </x:c>
      <x:c r="J249" t="n">
        <x:v>170374.65</x:v>
      </x:c>
      <x:c r="K249" t="str">
        <x:v>TWD</x:v>
      </x:c>
      <x:c r="L249" s="20" t="n">
        <x:v>45622</x:v>
      </x:c>
      <x:c r="M249" s="20" t="n">
        <x:v>45634</x:v>
      </x:c>
      <x:c r="N249" t="str">
        <x:v>否</x:v>
      </x:c>
      <x:c r="O249" t="str">
        <x:v>重要</x:v>
      </x:c>
      <x:c r="P249" t="str">
        <x:v>部分出貨</x:v>
      </x:c>
    </x:row>
    <x:row r="250" ht="20" customHeight="1">
      <x:c r="A250" t="str">
        <x:v>SO00249-01</x:v>
      </x:c>
      <x:c r="B250" t="str">
        <x:v>SO00249</x:v>
      </x:c>
      <x:c r="C250" t="str">
        <x:v>Q00386</x:v>
      </x:c>
      <x:c r="D250" t="str">
        <x:v>IAT-001</x:v>
      </x:c>
      <x:c r="E250" t="str">
        <x:v>S05</x:v>
      </x:c>
      <x:c r="F250" t="str">
        <x:v>AUTO-MH-B</x:v>
      </x:c>
      <x:c r="G250" t="str">
        <x:v>汽車精密零組件</x:v>
      </x:c>
      <x:c r="H250" s="20" t="n">
        <x:v>45562</x:v>
      </x:c>
      <x:c r="I250" t="n">
        <x:v>7000</x:v>
      </x:c>
      <x:c r="J250" t="n">
        <x:v>3110.19</x:v>
      </x:c>
      <x:c r="K250" t="str">
        <x:v>TWD</x:v>
      </x:c>
      <x:c r="L250" s="20" t="n">
        <x:v>45589</x:v>
      </x:c>
      <x:c r="M250" s="20" t="n">
        <x:v>45589</x:v>
      </x:c>
      <x:c r="N250" t="str">
        <x:v>否</x:v>
      </x:c>
      <x:c r="O250" t="str">
        <x:v>一般</x:v>
      </x:c>
      <x:c r="P250" t="str">
        <x:v>部分出貨</x:v>
      </x:c>
    </x:row>
    <x:row r="251" ht="20" customHeight="1">
      <x:c r="A251" t="str">
        <x:v>SO00250-01</x:v>
      </x:c>
      <x:c r="B251" t="str">
        <x:v>SO00250</x:v>
      </x:c>
      <x:c r="C251" t="str">
        <x:v>Q00387</x:v>
      </x:c>
      <x:c r="D251" t="str">
        <x:v>SEM-002</x:v>
      </x:c>
      <x:c r="E251" t="str">
        <x:v>S02</x:v>
      </x:c>
      <x:c r="F251" t="str">
        <x:v>PM-ALB-B</x:v>
      </x:c>
      <x:c r="G251" t="str">
        <x:v>精密金屬加工件</x:v>
      </x:c>
      <x:c r="H251" s="20" t="n">
        <x:v>45567</x:v>
      </x:c>
      <x:c r="I251" t="n">
        <x:v>500</x:v>
      </x:c>
      <x:c r="J251" t="n">
        <x:v>16274.34</x:v>
      </x:c>
      <x:c r="K251" t="str">
        <x:v>TWD</x:v>
      </x:c>
      <x:c r="L251" s="20" t="n">
        <x:v>45594</x:v>
      </x:c>
      <x:c r="M251" s="20" t="n">
        <x:v>45594</x:v>
      </x:c>
      <x:c r="N251" t="str">
        <x:v>否</x:v>
      </x:c>
      <x:c r="O251" t="str">
        <x:v>重要</x:v>
      </x:c>
      <x:c r="P251" t="str">
        <x:v>部分出貨</x:v>
      </x:c>
    </x:row>
    <x:row r="252" ht="20" customHeight="1">
      <x:c r="A252" t="str">
        <x:v>SO00251-01</x:v>
      </x:c>
      <x:c r="B252" t="str">
        <x:v>SO00251</x:v>
      </x:c>
      <x:c r="C252" t="str">
        <x:v>Q00388</x:v>
      </x:c>
      <x:c r="D252" t="str">
        <x:v>AFT-006</x:v>
      </x:c>
      <x:c r="E252" t="str">
        <x:v>S01</x:v>
      </x:c>
      <x:c r="F252" t="str">
        <x:v>AUTO-BS-B</x:v>
      </x:c>
      <x:c r="G252" t="str">
        <x:v>汽車精密零組件</x:v>
      </x:c>
      <x:c r="H252" s="20" t="n">
        <x:v>45573</x:v>
      </x:c>
      <x:c r="I252" t="n">
        <x:v>7000</x:v>
      </x:c>
      <x:c r="J252" t="n">
        <x:v>816.93</x:v>
      </x:c>
      <x:c r="K252" t="str">
        <x:v>TWD</x:v>
      </x:c>
      <x:c r="L252" s="20" t="n">
        <x:v>45585</x:v>
      </x:c>
      <x:c r="M252" s="20" t="n">
        <x:v>45589</x:v>
      </x:c>
      <x:c r="N252" t="str">
        <x:v>是</x:v>
      </x:c>
      <x:c r="O252" t="str">
        <x:v>一般</x:v>
      </x:c>
      <x:c r="P252" t="str">
        <x:v>部分出貨</x:v>
      </x:c>
    </x:row>
    <x:row r="253" ht="20" customHeight="1">
      <x:c r="A253" t="str">
        <x:v>SO00252-01</x:v>
      </x:c>
      <x:c r="B253" t="str">
        <x:v>SO00252</x:v>
      </x:c>
      <x:c r="C253" t="str">
        <x:v>Q00389</x:v>
      </x:c>
      <x:c r="D253" t="str">
        <x:v>SEM-006</x:v>
      </x:c>
      <x:c r="E253" t="str">
        <x:v>S06</x:v>
      </x:c>
      <x:c r="F253" t="str">
        <x:v>SEMI-CHB-A</x:v>
      </x:c>
      <x:c r="G253" t="str">
        <x:v>半導體設備零組件</x:v>
      </x:c>
      <x:c r="H253" s="20" t="n">
        <x:v>45572</x:v>
      </x:c>
      <x:c r="I253" t="n">
        <x:v>40</x:v>
      </x:c>
      <x:c r="J253" t="n">
        <x:v>91484.1</x:v>
      </x:c>
      <x:c r="K253" t="str">
        <x:v>TWD</x:v>
      </x:c>
      <x:c r="L253" s="20" t="n">
        <x:v>45605</x:v>
      </x:c>
      <x:c r="M253" s="20" t="n">
        <x:v>45620</x:v>
      </x:c>
      <x:c r="N253" t="str">
        <x:v>是</x:v>
      </x:c>
      <x:c r="O253" t="str">
        <x:v>重要</x:v>
      </x:c>
      <x:c r="P253" t="str">
        <x:v>部分出貨</x:v>
      </x:c>
    </x:row>
    <x:row r="254" ht="20" customHeight="1">
      <x:c r="A254" t="str">
        <x:v>SO00253-01</x:v>
      </x:c>
      <x:c r="B254" t="str">
        <x:v>SO00253</x:v>
      </x:c>
      <x:c r="C254" t="str">
        <x:v>Q00391</x:v>
      </x:c>
      <x:c r="D254" t="str">
        <x:v>IAT-007</x:v>
      </x:c>
      <x:c r="E254" t="str">
        <x:v>S04</x:v>
      </x:c>
      <x:c r="F254" t="str">
        <x:v>SEMI-WH-A</x:v>
      </x:c>
      <x:c r="G254" t="str">
        <x:v>半導體設備零組件</x:v>
      </x:c>
      <x:c r="H254" s="20" t="n">
        <x:v>45593</x:v>
      </x:c>
      <x:c r="I254" t="n">
        <x:v>40</x:v>
      </x:c>
      <x:c r="J254" t="n">
        <x:v>115071.95</x:v>
      </x:c>
      <x:c r="K254" t="str">
        <x:v>TWD</x:v>
      </x:c>
      <x:c r="L254" s="20" t="n">
        <x:v>45646</x:v>
      </x:c>
      <x:c r="M254" s="20" t="n">
        <x:v>45646</x:v>
      </x:c>
      <x:c r="N254" t="str">
        <x:v>否</x:v>
      </x:c>
      <x:c r="O254" t="str">
        <x:v>重要</x:v>
      </x:c>
      <x:c r="P254" t="str">
        <x:v>部分出貨</x:v>
      </x:c>
    </x:row>
    <x:row r="255" ht="20" customHeight="1">
      <x:c r="A255" t="str">
        <x:v>SO00254-01</x:v>
      </x:c>
      <x:c r="B255" t="str">
        <x:v>SO00254</x:v>
      </x:c>
      <x:c r="C255" t="str">
        <x:v>Q00392</x:v>
      </x:c>
      <x:c r="D255" t="str">
        <x:v>SEM-005</x:v>
      </x:c>
      <x:c r="E255" t="str">
        <x:v>S06</x:v>
      </x:c>
      <x:c r="F255" t="str">
        <x:v>MECH-STG-A</x:v>
      </x:c>
      <x:c r="G255" t="str">
        <x:v>機電／自動化模組</x:v>
      </x:c>
      <x:c r="H255" s="20" t="n">
        <x:v>45599</x:v>
      </x:c>
      <x:c r="I255" t="n">
        <x:v>40</x:v>
      </x:c>
      <x:c r="J255" t="n">
        <x:v>138258.13</x:v>
      </x:c>
      <x:c r="K255" t="str">
        <x:v>TWD</x:v>
      </x:c>
      <x:c r="L255" s="20" t="n">
        <x:v>45634</x:v>
      </x:c>
      <x:c r="M255" s="20" t="n">
        <x:v>45639</x:v>
      </x:c>
      <x:c r="N255" t="str">
        <x:v>否</x:v>
      </x:c>
      <x:c r="O255" t="str">
        <x:v>重要</x:v>
      </x:c>
      <x:c r="P255" t="str">
        <x:v>已出貨</x:v>
      </x:c>
    </x:row>
    <x:row r="256" ht="20" customHeight="1">
      <x:c r="A256" t="str">
        <x:v>SO00255-01</x:v>
      </x:c>
      <x:c r="B256" t="str">
        <x:v>SO00255</x:v>
      </x:c>
      <x:c r="C256" t="str">
        <x:v>Q00393</x:v>
      </x:c>
      <x:c r="D256" t="str">
        <x:v>EMS-004</x:v>
      </x:c>
      <x:c r="E256" t="str">
        <x:v>S03</x:v>
      </x:c>
      <x:c r="F256" t="str">
        <x:v>PM-BRG-B</x:v>
      </x:c>
      <x:c r="G256" t="str">
        <x:v>精密金屬加工件</x:v>
      </x:c>
      <x:c r="H256" s="20" t="n">
        <x:v>45586</x:v>
      </x:c>
      <x:c r="I256" t="n">
        <x:v>1600</x:v>
      </x:c>
      <x:c r="J256" t="n">
        <x:v>7949.22</x:v>
      </x:c>
      <x:c r="K256" t="str">
        <x:v>TWD</x:v>
      </x:c>
      <x:c r="L256" s="20" t="n">
        <x:v>45602</x:v>
      </x:c>
      <x:c r="M256" s="20" t="n">
        <x:v>45607</x:v>
      </x:c>
      <x:c r="N256" t="str">
        <x:v>是</x:v>
      </x:c>
      <x:c r="O256" t="str">
        <x:v>VIP</x:v>
      </x:c>
      <x:c r="P256" t="str">
        <x:v>部分出貨</x:v>
      </x:c>
    </x:row>
    <x:row r="257" ht="20" customHeight="1">
      <x:c r="A257" t="str">
        <x:v>SO00256-01</x:v>
      </x:c>
      <x:c r="B257" t="str">
        <x:v>SO00256</x:v>
      </x:c>
      <x:c r="C257" t="str">
        <x:v>Q00394</x:v>
      </x:c>
      <x:c r="D257" t="str">
        <x:v>EMS-002</x:v>
      </x:c>
      <x:c r="E257" t="str">
        <x:v>S05</x:v>
      </x:c>
      <x:c r="F257" t="str">
        <x:v>AUTO-BRK-A</x:v>
      </x:c>
      <x:c r="G257" t="str">
        <x:v>汽車精密零組件</x:v>
      </x:c>
      <x:c r="H257" s="20" t="n">
        <x:v>45588</x:v>
      </x:c>
      <x:c r="I257" t="n">
        <x:v>13000</x:v>
      </x:c>
      <x:c r="J257" t="n">
        <x:v>1727.18</x:v>
      </x:c>
      <x:c r="K257" t="str">
        <x:v>TWD</x:v>
      </x:c>
      <x:c r="L257" s="20" t="n">
        <x:v>45607</x:v>
      </x:c>
      <x:c r="M257" s="20" t="n">
        <x:v>45607</x:v>
      </x:c>
      <x:c r="N257" t="str">
        <x:v>否</x:v>
      </x:c>
      <x:c r="O257" t="str">
        <x:v>重要</x:v>
      </x:c>
      <x:c r="P257" t="str">
        <x:v>部分出貨</x:v>
      </x:c>
    </x:row>
    <x:row r="258" ht="20" customHeight="1">
      <x:c r="A258" t="str">
        <x:v>SO00257-01</x:v>
      </x:c>
      <x:c r="B258" t="str">
        <x:v>SO00257</x:v>
      </x:c>
      <x:c r="C258" t="str">
        <x:v>Q00395</x:v>
      </x:c>
      <x:c r="D258" t="str">
        <x:v>IAT-002</x:v>
      </x:c>
      <x:c r="E258" t="str">
        <x:v>S01</x:v>
      </x:c>
      <x:c r="F258" t="str">
        <x:v>AUTO-BS-A</x:v>
      </x:c>
      <x:c r="G258" t="str">
        <x:v>汽車精密零組件</x:v>
      </x:c>
      <x:c r="H258" s="20" t="n">
        <x:v>45588</x:v>
      </x:c>
      <x:c r="I258" t="n">
        <x:v>7000</x:v>
      </x:c>
      <x:c r="J258" t="n">
        <x:v>775.87</x:v>
      </x:c>
      <x:c r="K258" t="str">
        <x:v>TWD</x:v>
      </x:c>
      <x:c r="L258" s="20" t="n">
        <x:v>45600</x:v>
      </x:c>
      <x:c r="M258" s="20" t="n">
        <x:v>45601</x:v>
      </x:c>
      <x:c r="N258" t="str">
        <x:v>否</x:v>
      </x:c>
      <x:c r="O258" t="str">
        <x:v>一般</x:v>
      </x:c>
      <x:c r="P258" t="str">
        <x:v>部分出貨</x:v>
      </x:c>
    </x:row>
    <x:row r="259" ht="20" customHeight="1">
      <x:c r="A259" t="str">
        <x:v>SO00258-01</x:v>
      </x:c>
      <x:c r="B259" t="str">
        <x:v>SO00258</x:v>
      </x:c>
      <x:c r="C259" t="str">
        <x:v>Q00397</x:v>
      </x:c>
      <x:c r="D259" t="str">
        <x:v>EMS-006</x:v>
      </x:c>
      <x:c r="E259" t="str">
        <x:v>S03</x:v>
      </x:c>
      <x:c r="F259" t="str">
        <x:v>PM-SUS-A</x:v>
      </x:c>
      <x:c r="G259" t="str">
        <x:v>精密金屬加工件</x:v>
      </x:c>
      <x:c r="H259" s="20" t="n">
        <x:v>45587</x:v>
      </x:c>
      <x:c r="I259" t="n">
        <x:v>500</x:v>
      </x:c>
      <x:c r="J259" t="n">
        <x:v>10820.25</x:v>
      </x:c>
      <x:c r="K259" t="str">
        <x:v>TWD</x:v>
      </x:c>
      <x:c r="L259" s="20" t="n">
        <x:v>45605</x:v>
      </x:c>
      <x:c r="M259" s="20" t="n">
        <x:v>45612</x:v>
      </x:c>
      <x:c r="N259" t="str">
        <x:v>是</x:v>
      </x:c>
      <x:c r="O259" t="str">
        <x:v>重要</x:v>
      </x:c>
      <x:c r="P259" t="str">
        <x:v>部分出貨</x:v>
      </x:c>
    </x:row>
    <x:row r="260" ht="20" customHeight="1">
      <x:c r="A260" t="str">
        <x:v>SO00259-01</x:v>
      </x:c>
      <x:c r="B260" t="str">
        <x:v>SO00259</x:v>
      </x:c>
      <x:c r="C260" t="str">
        <x:v>Q00398</x:v>
      </x:c>
      <x:c r="D260" t="str">
        <x:v>IAT-004</x:v>
      </x:c>
      <x:c r="E260" t="str">
        <x:v>S05</x:v>
      </x:c>
      <x:c r="F260" t="str">
        <x:v>AUTO-BRK-A</x:v>
      </x:c>
      <x:c r="G260" t="str">
        <x:v>汽車精密零組件</x:v>
      </x:c>
      <x:c r="H260" s="20" t="n">
        <x:v>45603</x:v>
      </x:c>
      <x:c r="I260" t="n">
        <x:v>10000</x:v>
      </x:c>
      <x:c r="J260" t="n">
        <x:v>1794.01</x:v>
      </x:c>
      <x:c r="K260" t="str">
        <x:v>TWD</x:v>
      </x:c>
      <x:c r="L260" s="20" t="n">
        <x:v>45619</x:v>
      </x:c>
      <x:c r="M260" s="20" t="n">
        <x:v>45620</x:v>
      </x:c>
      <x:c r="N260" t="str">
        <x:v>否</x:v>
      </x:c>
      <x:c r="O260" t="str">
        <x:v>重要</x:v>
      </x:c>
      <x:c r="P260" t="str">
        <x:v>部分出貨</x:v>
      </x:c>
    </x:row>
    <x:row r="261" ht="20" customHeight="1">
      <x:c r="A261" t="str">
        <x:v>SO00260-01</x:v>
      </x:c>
      <x:c r="B261" t="str">
        <x:v>SO00260</x:v>
      </x:c>
      <x:c r="C261" t="str">
        <x:v>Q00399</x:v>
      </x:c>
      <x:c r="D261" t="str">
        <x:v>SEM-008</x:v>
      </x:c>
      <x:c r="E261" t="str">
        <x:v>S04</x:v>
      </x:c>
      <x:c r="F261" t="str">
        <x:v>PM-ALB-B</x:v>
      </x:c>
      <x:c r="G261" t="str">
        <x:v>精密金屬加工件</x:v>
      </x:c>
      <x:c r="H261" s="20" t="n">
        <x:v>45606</x:v>
      </x:c>
      <x:c r="I261" t="n">
        <x:v>1600</x:v>
      </x:c>
      <x:c r="J261" t="n">
        <x:v>14274.55</x:v>
      </x:c>
      <x:c r="K261" t="str">
        <x:v>TWD</x:v>
      </x:c>
      <x:c r="L261" s="20" t="n">
        <x:v>45631</x:v>
      </x:c>
      <x:c r="M261" s="20" t="n">
        <x:v>45635</x:v>
      </x:c>
      <x:c r="N261" t="str">
        <x:v>否</x:v>
      </x:c>
      <x:c r="O261" t="str">
        <x:v>VIP</x:v>
      </x:c>
      <x:c r="P261" t="str">
        <x:v>部分出貨</x:v>
      </x:c>
    </x:row>
    <x:row r="262" ht="20" customHeight="1">
      <x:c r="A262" t="str">
        <x:v>SO00261-01</x:v>
      </x:c>
      <x:c r="B262" t="str">
        <x:v>SO00261</x:v>
      </x:c>
      <x:c r="C262" t="str">
        <x:v>Q00400</x:v>
      </x:c>
      <x:c r="D262" t="str">
        <x:v>AFT-002</x:v>
      </x:c>
      <x:c r="E262" t="str">
        <x:v>S04</x:v>
      </x:c>
      <x:c r="F262" t="str">
        <x:v>PM-ALB-A</x:v>
      </x:c>
      <x:c r="G262" t="str">
        <x:v>精密金屬加工件</x:v>
      </x:c>
      <x:c r="H262" s="20" t="n">
        <x:v>45585</x:v>
      </x:c>
      <x:c r="I262" t="n">
        <x:v>300</x:v>
      </x:c>
      <x:c r="J262" t="n">
        <x:v>10793.61</x:v>
      </x:c>
      <x:c r="K262" t="str">
        <x:v>TWD</x:v>
      </x:c>
      <x:c r="L262" s="20" t="n">
        <x:v>45609</x:v>
      </x:c>
      <x:c r="M262" s="20" t="n">
        <x:v>45609</x:v>
      </x:c>
      <x:c r="N262" t="str">
        <x:v>否</x:v>
      </x:c>
      <x:c r="O262" t="str">
        <x:v>一般</x:v>
      </x:c>
      <x:c r="P262" t="str">
        <x:v>部分出貨</x:v>
      </x:c>
    </x:row>
    <x:row r="263" ht="20" customHeight="1">
      <x:c r="A263" t="str">
        <x:v>SO00262-01</x:v>
      </x:c>
      <x:c r="B263" t="str">
        <x:v>SO00262</x:v>
      </x:c>
      <x:c r="C263" t="str">
        <x:v>Q00401</x:v>
      </x:c>
      <x:c r="D263" t="str">
        <x:v>EMS-002</x:v>
      </x:c>
      <x:c r="E263" t="str">
        <x:v>S05</x:v>
      </x:c>
      <x:c r="F263" t="str">
        <x:v>AUTO-MH-A</x:v>
      </x:c>
      <x:c r="G263" t="str">
        <x:v>汽車精密零組件</x:v>
      </x:c>
      <x:c r="H263" s="20" t="n">
        <x:v>45598</x:v>
      </x:c>
      <x:c r="I263" t="n">
        <x:v>3000</x:v>
      </x:c>
      <x:c r="J263" t="n">
        <x:v>2262.63</x:v>
      </x:c>
      <x:c r="K263" t="str">
        <x:v>TWD</x:v>
      </x:c>
      <x:c r="L263" s="20" t="n">
        <x:v>45614</x:v>
      </x:c>
      <x:c r="M263" s="20" t="n">
        <x:v>45618</x:v>
      </x:c>
      <x:c r="N263" t="str">
        <x:v>是</x:v>
      </x:c>
      <x:c r="O263" t="str">
        <x:v>重要</x:v>
      </x:c>
      <x:c r="P263" t="str">
        <x:v>部分出貨</x:v>
      </x:c>
    </x:row>
    <x:row r="264" ht="20" customHeight="1">
      <x:c r="A264" t="str">
        <x:v>SO00263-01</x:v>
      </x:c>
      <x:c r="B264" t="str">
        <x:v>SO00263</x:v>
      </x:c>
      <x:c r="C264" t="str">
        <x:v>Q00402</x:v>
      </x:c>
      <x:c r="D264" t="str">
        <x:v>AFT-001</x:v>
      </x:c>
      <x:c r="E264" t="str">
        <x:v>S05</x:v>
      </x:c>
      <x:c r="F264" t="str">
        <x:v>PM-SUS-A</x:v>
      </x:c>
      <x:c r="G264" t="str">
        <x:v>精密金屬加工件</x:v>
      </x:c>
      <x:c r="H264" s="20" t="n">
        <x:v>45595</x:v>
      </x:c>
      <x:c r="I264" t="n">
        <x:v>800</x:v>
      </x:c>
      <x:c r="J264" t="n">
        <x:v>11191.99</x:v>
      </x:c>
      <x:c r="K264" t="str">
        <x:v>TWD</x:v>
      </x:c>
      <x:c r="L264" s="20" t="n">
        <x:v>45620</x:v>
      </x:c>
      <x:c r="M264" s="20" t="n">
        <x:v>45620</x:v>
      </x:c>
      <x:c r="N264" t="str">
        <x:v>否</x:v>
      </x:c>
      <x:c r="O264" t="str">
        <x:v>重要</x:v>
      </x:c>
      <x:c r="P264" t="str">
        <x:v>部分出貨</x:v>
      </x:c>
    </x:row>
    <x:row r="265" ht="20" customHeight="1">
      <x:c r="A265" t="str">
        <x:v>SO00264-01</x:v>
      </x:c>
      <x:c r="B265" t="str">
        <x:v>SO00264</x:v>
      </x:c>
      <x:c r="C265" t="str">
        <x:v>Q00404</x:v>
      </x:c>
      <x:c r="D265" t="str">
        <x:v>EMS-006</x:v>
      </x:c>
      <x:c r="E265" t="str">
        <x:v>S03</x:v>
      </x:c>
      <x:c r="F265" t="str">
        <x:v>PM-VAC-A</x:v>
      </x:c>
      <x:c r="G265" t="str">
        <x:v>精密金屬加工件</x:v>
      </x:c>
      <x:c r="H265" s="20" t="n">
        <x:v>45591</x:v>
      </x:c>
      <x:c r="I265" t="n">
        <x:v>800</x:v>
      </x:c>
      <x:c r="J265" t="n">
        <x:v>16664.23</x:v>
      </x:c>
      <x:c r="K265" t="str">
        <x:v>TWD</x:v>
      </x:c>
      <x:c r="L265" s="20" t="n">
        <x:v>45616</x:v>
      </x:c>
      <x:c r="M265" s="20" t="n">
        <x:v>45619</x:v>
      </x:c>
      <x:c r="N265" t="str">
        <x:v>否</x:v>
      </x:c>
      <x:c r="O265" t="str">
        <x:v>重要</x:v>
      </x:c>
      <x:c r="P265" t="str">
        <x:v>部分出貨</x:v>
      </x:c>
    </x:row>
    <x:row r="266" ht="20" customHeight="1">
      <x:c r="A266" t="str">
        <x:v>SO00265-01</x:v>
      </x:c>
      <x:c r="B266" t="str">
        <x:v>SO00265</x:v>
      </x:c>
      <x:c r="C266" t="str">
        <x:v>Q00406</x:v>
      </x:c>
      <x:c r="D266" t="str">
        <x:v>IAT-008</x:v>
      </x:c>
      <x:c r="E266" t="str">
        <x:v>S01</x:v>
      </x:c>
      <x:c r="F266" t="str">
        <x:v>PM-VAC-B</x:v>
      </x:c>
      <x:c r="G266" t="str">
        <x:v>精密金屬加工件</x:v>
      </x:c>
      <x:c r="H266" s="20" t="n">
        <x:v>45576</x:v>
      </x:c>
      <x:c r="I266" t="n">
        <x:v>800</x:v>
      </x:c>
      <x:c r="J266" t="n">
        <x:v>21780.56</x:v>
      </x:c>
      <x:c r="K266" t="str">
        <x:v>TWD</x:v>
      </x:c>
      <x:c r="L266" s="20" t="n">
        <x:v>45611</x:v>
      </x:c>
      <x:c r="M266" s="20" t="n">
        <x:v>45613</x:v>
      </x:c>
      <x:c r="N266" t="str">
        <x:v>否</x:v>
      </x:c>
      <x:c r="O266" t="str">
        <x:v>重要</x:v>
      </x:c>
      <x:c r="P266" t="str">
        <x:v>部分出貨</x:v>
      </x:c>
    </x:row>
    <x:row r="267" ht="20" customHeight="1">
      <x:c r="A267" t="str">
        <x:v>SO00266-01</x:v>
      </x:c>
      <x:c r="B267" t="str">
        <x:v>SO00266</x:v>
      </x:c>
      <x:c r="C267" t="str">
        <x:v>Q00407</x:v>
      </x:c>
      <x:c r="D267" t="str">
        <x:v>AUT-002</x:v>
      </x:c>
      <x:c r="E267" t="str">
        <x:v>S04</x:v>
      </x:c>
      <x:c r="F267" t="str">
        <x:v>PM-VAC-B</x:v>
      </x:c>
      <x:c r="G267" t="str">
        <x:v>精密金屬加工件</x:v>
      </x:c>
      <x:c r="H267" s="20" t="n">
        <x:v>45606</x:v>
      </x:c>
      <x:c r="I267" t="n">
        <x:v>300</x:v>
      </x:c>
      <x:c r="J267" t="n">
        <x:v>22501.47</x:v>
      </x:c>
      <x:c r="K267" t="str">
        <x:v>TWD</x:v>
      </x:c>
      <x:c r="L267" s="20" t="n">
        <x:v>45639</x:v>
      </x:c>
      <x:c r="M267" s="20" t="n">
        <x:v>45639</x:v>
      </x:c>
      <x:c r="N267" t="str">
        <x:v>否</x:v>
      </x:c>
      <x:c r="O267" t="str">
        <x:v>重要</x:v>
      </x:c>
      <x:c r="P267" t="str">
        <x:v>部分出貨</x:v>
      </x:c>
    </x:row>
    <x:row r="268" ht="20" customHeight="1">
      <x:c r="A268" t="str">
        <x:v>SO00267-01</x:v>
      </x:c>
      <x:c r="B268" t="str">
        <x:v>SO00267</x:v>
      </x:c>
      <x:c r="C268" t="str">
        <x:v>Q00409</x:v>
      </x:c>
      <x:c r="D268" t="str">
        <x:v>SEM-006</x:v>
      </x:c>
      <x:c r="E268" t="str">
        <x:v>S06</x:v>
      </x:c>
      <x:c r="F268" t="str">
        <x:v>MECH-CON-A</x:v>
      </x:c>
      <x:c r="G268" t="str">
        <x:v>機電／自動化模組</x:v>
      </x:c>
      <x:c r="H268" s="20" t="n">
        <x:v>45587</x:v>
      </x:c>
      <x:c r="I268" t="n">
        <x:v>10</x:v>
      </x:c>
      <x:c r="J268" t="n">
        <x:v>114558.79</x:v>
      </x:c>
      <x:c r="K268" t="str">
        <x:v>TWD</x:v>
      </x:c>
      <x:c r="L268" s="20" t="n">
        <x:v>45616</x:v>
      </x:c>
      <x:c r="M268" s="20" t="n">
        <x:v>45620</x:v>
      </x:c>
      <x:c r="N268" t="str">
        <x:v>否</x:v>
      </x:c>
      <x:c r="O268" t="str">
        <x:v>重要</x:v>
      </x:c>
      <x:c r="P268" t="str">
        <x:v>已出貨</x:v>
      </x:c>
    </x:row>
    <x:row r="269" ht="20" customHeight="1">
      <x:c r="A269" t="str">
        <x:v>SO00268-01</x:v>
      </x:c>
      <x:c r="B269" t="str">
        <x:v>SO00268</x:v>
      </x:c>
      <x:c r="C269" t="str">
        <x:v>Q00413</x:v>
      </x:c>
      <x:c r="D269" t="str">
        <x:v>IAT-009</x:v>
      </x:c>
      <x:c r="E269" t="str">
        <x:v>S04</x:v>
      </x:c>
      <x:c r="F269" t="str">
        <x:v>AUTO-FL-A</x:v>
      </x:c>
      <x:c r="G269" t="str">
        <x:v>汽車精密零組件</x:v>
      </x:c>
      <x:c r="H269" s="20" t="n">
        <x:v>45597</x:v>
      </x:c>
      <x:c r="I269" t="n">
        <x:v>7000</x:v>
      </x:c>
      <x:c r="J269" t="n">
        <x:v>1306.95</x:v>
      </x:c>
      <x:c r="K269" t="str">
        <x:v>TWD</x:v>
      </x:c>
      <x:c r="L269" s="20" t="n">
        <x:v>45613</x:v>
      </x:c>
      <x:c r="M269" s="20" t="n">
        <x:v>45613</x:v>
      </x:c>
      <x:c r="N269" t="str">
        <x:v>否</x:v>
      </x:c>
      <x:c r="O269" t="str">
        <x:v>重要</x:v>
      </x:c>
      <x:c r="P269" t="str">
        <x:v>部分出貨</x:v>
      </x:c>
    </x:row>
    <x:row r="270" ht="20" customHeight="1">
      <x:c r="A270" t="str">
        <x:v>SO00269-01</x:v>
      </x:c>
      <x:c r="B270" t="str">
        <x:v>SO00269</x:v>
      </x:c>
      <x:c r="C270" t="str">
        <x:v>Q00415</x:v>
      </x:c>
      <x:c r="D270" t="str">
        <x:v>SEM-005</x:v>
      </x:c>
      <x:c r="E270" t="str">
        <x:v>S06</x:v>
      </x:c>
      <x:c r="F270" t="str">
        <x:v>PM-VAC-A</x:v>
      </x:c>
      <x:c r="G270" t="str">
        <x:v>精密金屬加工件</x:v>
      </x:c>
      <x:c r="H270" s="20" t="n">
        <x:v>45590</x:v>
      </x:c>
      <x:c r="I270" t="n">
        <x:v>1600</x:v>
      </x:c>
      <x:c r="J270" t="n">
        <x:v>15289.19</x:v>
      </x:c>
      <x:c r="K270" t="str">
        <x:v>TWD</x:v>
      </x:c>
      <x:c r="L270" s="20" t="n">
        <x:v>45615</x:v>
      </x:c>
      <x:c r="M270" s="20" t="n">
        <x:v>45618</x:v>
      </x:c>
      <x:c r="N270" t="str">
        <x:v>是</x:v>
      </x:c>
      <x:c r="O270" t="str">
        <x:v>重要</x:v>
      </x:c>
      <x:c r="P270" t="str">
        <x:v>部分出貨</x:v>
      </x:c>
    </x:row>
    <x:row r="271" ht="20" customHeight="1">
      <x:c r="A271" t="str">
        <x:v>SO00270-01</x:v>
      </x:c>
      <x:c r="B271" t="str">
        <x:v>SO00270</x:v>
      </x:c>
      <x:c r="C271" t="str">
        <x:v>Q00416</x:v>
      </x:c>
      <x:c r="D271" t="str">
        <x:v>AFT-008</x:v>
      </x:c>
      <x:c r="E271" t="str">
        <x:v>S04</x:v>
      </x:c>
      <x:c r="F271" t="str">
        <x:v>AUTO-MH-A</x:v>
      </x:c>
      <x:c r="G271" t="str">
        <x:v>汽車精密零組件</x:v>
      </x:c>
      <x:c r="H271" s="20" t="n">
        <x:v>45590</x:v>
      </x:c>
      <x:c r="I271" t="n">
        <x:v>10000</x:v>
      </x:c>
      <x:c r="J271" t="n">
        <x:v>2505.89</x:v>
      </x:c>
      <x:c r="K271" t="str">
        <x:v>TWD</x:v>
      </x:c>
      <x:c r="L271" s="20" t="n">
        <x:v>45612</x:v>
      </x:c>
      <x:c r="M271" s="20" t="n">
        <x:v>45612</x:v>
      </x:c>
      <x:c r="N271" t="str">
        <x:v>否</x:v>
      </x:c>
      <x:c r="O271" t="str">
        <x:v>重要</x:v>
      </x:c>
      <x:c r="P271" t="str">
        <x:v>部分出貨</x:v>
      </x:c>
    </x:row>
    <x:row r="272" ht="20" customHeight="1">
      <x:c r="A272" t="str">
        <x:v>SO00271-01</x:v>
      </x:c>
      <x:c r="B272" t="str">
        <x:v>SO00271</x:v>
      </x:c>
      <x:c r="C272" t="str">
        <x:v>Q00417</x:v>
      </x:c>
      <x:c r="D272" t="str">
        <x:v>AUT-009</x:v>
      </x:c>
      <x:c r="E272" t="str">
        <x:v>S04</x:v>
      </x:c>
      <x:c r="F272" t="str">
        <x:v>PM-VAC-B</x:v>
      </x:c>
      <x:c r="G272" t="str">
        <x:v>精密金屬加工件</x:v>
      </x:c>
      <x:c r="H272" s="20" t="n">
        <x:v>45577</x:v>
      </x:c>
      <x:c r="I272" t="n">
        <x:v>300</x:v>
      </x:c>
      <x:c r="J272" t="n">
        <x:v>21934.13</x:v>
      </x:c>
      <x:c r="K272" t="str">
        <x:v>TWD</x:v>
      </x:c>
      <x:c r="L272" s="20" t="n">
        <x:v>45608</x:v>
      </x:c>
      <x:c r="M272" s="20" t="n">
        <x:v>45612</x:v>
      </x:c>
      <x:c r="N272" t="str">
        <x:v>否</x:v>
      </x:c>
      <x:c r="O272" t="str">
        <x:v>重要</x:v>
      </x:c>
      <x:c r="P272" t="str">
        <x:v>部分出貨</x:v>
      </x:c>
    </x:row>
    <x:row r="273" ht="20" customHeight="1">
      <x:c r="A273" t="str">
        <x:v>SO00272-01</x:v>
      </x:c>
      <x:c r="B273" t="str">
        <x:v>SO00272</x:v>
      </x:c>
      <x:c r="C273" t="str">
        <x:v>Q00418</x:v>
      </x:c>
      <x:c r="D273" t="str">
        <x:v>SEM-004</x:v>
      </x:c>
      <x:c r="E273" t="str">
        <x:v>S02</x:v>
      </x:c>
      <x:c r="F273" t="str">
        <x:v>PM-BRG-A</x:v>
      </x:c>
      <x:c r="G273" t="str">
        <x:v>精密金屬加工件</x:v>
      </x:c>
      <x:c r="H273" s="20" t="n">
        <x:v>45602</x:v>
      </x:c>
      <x:c r="I273" t="n">
        <x:v>1600</x:v>
      </x:c>
      <x:c r="J273" t="n">
        <x:v>6832.45</x:v>
      </x:c>
      <x:c r="K273" t="str">
        <x:v>TWD</x:v>
      </x:c>
      <x:c r="L273" s="20" t="n">
        <x:v>45617</x:v>
      </x:c>
      <x:c r="M273" s="20" t="n">
        <x:v>45623</x:v>
      </x:c>
      <x:c r="N273" t="str">
        <x:v>是</x:v>
      </x:c>
      <x:c r="O273" t="str">
        <x:v>一般</x:v>
      </x:c>
      <x:c r="P273" t="str">
        <x:v>部分出貨</x:v>
      </x:c>
    </x:row>
    <x:row r="274" ht="20" customHeight="1">
      <x:c r="A274" t="str">
        <x:v>SO00273-01</x:v>
      </x:c>
      <x:c r="B274" t="str">
        <x:v>SO00273</x:v>
      </x:c>
      <x:c r="C274" t="str">
        <x:v>Q00420</x:v>
      </x:c>
      <x:c r="D274" t="str">
        <x:v>AUT-014</x:v>
      </x:c>
      <x:c r="E274" t="str">
        <x:v>S06</x:v>
      </x:c>
      <x:c r="F274" t="str">
        <x:v>AUTO-BS-B</x:v>
      </x:c>
      <x:c r="G274" t="str">
        <x:v>汽車精密零組件</x:v>
      </x:c>
      <x:c r="H274" s="20" t="n">
        <x:v>45594</x:v>
      </x:c>
      <x:c r="I274" t="n">
        <x:v>3000</x:v>
      </x:c>
      <x:c r="J274" t="n">
        <x:v>934.64</x:v>
      </x:c>
      <x:c r="K274" t="str">
        <x:v>TWD</x:v>
      </x:c>
      <x:c r="L274" s="20" t="n">
        <x:v>45605</x:v>
      </x:c>
      <x:c r="M274" s="20" t="n">
        <x:v>45610</x:v>
      </x:c>
      <x:c r="N274" t="str">
        <x:v>是</x:v>
      </x:c>
      <x:c r="O274" t="str">
        <x:v>重要</x:v>
      </x:c>
      <x:c r="P274" t="str">
        <x:v>部分出貨</x:v>
      </x:c>
    </x:row>
    <x:row r="275" ht="20" customHeight="1">
      <x:c r="A275" t="str">
        <x:v>SO00274-01</x:v>
      </x:c>
      <x:c r="B275" t="str">
        <x:v>SO00274</x:v>
      </x:c>
      <x:c r="C275" t="str">
        <x:v>Q00421</x:v>
      </x:c>
      <x:c r="D275" t="str">
        <x:v>SEM-010</x:v>
      </x:c>
      <x:c r="E275" t="str">
        <x:v>S01</x:v>
      </x:c>
      <x:c r="F275" t="str">
        <x:v>MECH-STG-A</x:v>
      </x:c>
      <x:c r="G275" t="str">
        <x:v>機電／自動化模組</x:v>
      </x:c>
      <x:c r="H275" s="20" t="n">
        <x:v>45588</x:v>
      </x:c>
      <x:c r="I275" t="n">
        <x:v>50</x:v>
      </x:c>
      <x:c r="J275" t="n">
        <x:v>135751.78</x:v>
      </x:c>
      <x:c r="K275" t="str">
        <x:v>TWD</x:v>
      </x:c>
      <x:c r="L275" s="20" t="n">
        <x:v>45623</x:v>
      </x:c>
      <x:c r="M275" s="20" t="n">
        <x:v>45625</x:v>
      </x:c>
      <x:c r="N275" t="str">
        <x:v>否</x:v>
      </x:c>
      <x:c r="O275" t="str">
        <x:v>一般</x:v>
      </x:c>
      <x:c r="P275" t="str">
        <x:v>已出貨</x:v>
      </x:c>
    </x:row>
    <x:row r="276" ht="20" customHeight="1">
      <x:c r="A276" t="str">
        <x:v>SO00275-01</x:v>
      </x:c>
      <x:c r="B276" t="str">
        <x:v>SO00275</x:v>
      </x:c>
      <x:c r="C276" t="str">
        <x:v>Q00422</x:v>
      </x:c>
      <x:c r="D276" t="str">
        <x:v>IAT-003</x:v>
      </x:c>
      <x:c r="E276" t="str">
        <x:v>S04</x:v>
      </x:c>
      <x:c r="F276" t="str">
        <x:v>PM-SUS-B</x:v>
      </x:c>
      <x:c r="G276" t="str">
        <x:v>精密金屬加工件</x:v>
      </x:c>
      <x:c r="H276" s="20" t="n">
        <x:v>45583</x:v>
      </x:c>
      <x:c r="I276" t="n">
        <x:v>1600</x:v>
      </x:c>
      <x:c r="J276" t="n">
        <x:v>15012.42</x:v>
      </x:c>
      <x:c r="K276" t="str">
        <x:v>TWD</x:v>
      </x:c>
      <x:c r="L276" s="20" t="n">
        <x:v>45608</x:v>
      </x:c>
      <x:c r="M276" s="20" t="n">
        <x:v>45608</x:v>
      </x:c>
      <x:c r="N276" t="str">
        <x:v>是</x:v>
      </x:c>
      <x:c r="O276" t="str">
        <x:v>重要</x:v>
      </x:c>
      <x:c r="P276" t="str">
        <x:v>部分出貨</x:v>
      </x:c>
    </x:row>
    <x:row r="277" ht="20" customHeight="1">
      <x:c r="A277" t="str">
        <x:v>SO00276-01</x:v>
      </x:c>
      <x:c r="B277" t="str">
        <x:v>SO00276</x:v>
      </x:c>
      <x:c r="C277" t="str">
        <x:v>Q00423</x:v>
      </x:c>
      <x:c r="D277" t="str">
        <x:v>IAT-010</x:v>
      </x:c>
      <x:c r="E277" t="str">
        <x:v>S04</x:v>
      </x:c>
      <x:c r="F277" t="str">
        <x:v>SEMI-CHB-B</x:v>
      </x:c>
      <x:c r="G277" t="str">
        <x:v>半導體設備零組件</x:v>
      </x:c>
      <x:c r="H277" s="20" t="n">
        <x:v>45617</x:v>
      </x:c>
      <x:c r="I277" t="n">
        <x:v>160</x:v>
      </x:c>
      <x:c r="J277" t="n">
        <x:v>139762.79</x:v>
      </x:c>
      <x:c r="K277" t="str">
        <x:v>TWD</x:v>
      </x:c>
      <x:c r="L277" s="20" t="n">
        <x:v>45679</x:v>
      </x:c>
      <x:c r="M277" s="20" t="n">
        <x:v>45679</x:v>
      </x:c>
      <x:c r="N277" t="str">
        <x:v>否</x:v>
      </x:c>
      <x:c r="O277" t="str">
        <x:v>重要</x:v>
      </x:c>
      <x:c r="P277" t="str">
        <x:v>部分出貨</x:v>
      </x:c>
    </x:row>
    <x:row r="278" ht="20" customHeight="1">
      <x:c r="A278" t="str">
        <x:v>SO00277-01</x:v>
      </x:c>
      <x:c r="B278" t="str">
        <x:v>SO00277</x:v>
      </x:c>
      <x:c r="C278" t="str">
        <x:v>Q00425</x:v>
      </x:c>
      <x:c r="D278" t="str">
        <x:v>AUT-013</x:v>
      </x:c>
      <x:c r="E278" t="str">
        <x:v>S01</x:v>
      </x:c>
      <x:c r="F278" t="str">
        <x:v>AUTO-FL-B</x:v>
      </x:c>
      <x:c r="G278" t="str">
        <x:v>汽車精密零組件</x:v>
      </x:c>
      <x:c r="H278" s="20" t="n">
        <x:v>45604</x:v>
      </x:c>
      <x:c r="I278" t="n">
        <x:v>7000</x:v>
      </x:c>
      <x:c r="J278" t="n">
        <x:v>1574.63</x:v>
      </x:c>
      <x:c r="K278" t="str">
        <x:v>TWD</x:v>
      </x:c>
      <x:c r="L278" s="20" t="n">
        <x:v>45621</x:v>
      </x:c>
      <x:c r="M278" s="20" t="n">
        <x:v>45621</x:v>
      </x:c>
      <x:c r="N278" t="str">
        <x:v>是</x:v>
      </x:c>
      <x:c r="O278" t="str">
        <x:v>重要</x:v>
      </x:c>
      <x:c r="P278" t="str">
        <x:v>部分出貨</x:v>
      </x:c>
    </x:row>
    <x:row r="279" ht="20" customHeight="1">
      <x:c r="A279" t="str">
        <x:v>SO00278-01</x:v>
      </x:c>
      <x:c r="B279" t="str">
        <x:v>SO00278</x:v>
      </x:c>
      <x:c r="C279" t="str">
        <x:v>Q00427</x:v>
      </x:c>
      <x:c r="D279" t="str">
        <x:v>IAT-002</x:v>
      </x:c>
      <x:c r="E279" t="str">
        <x:v>S01</x:v>
      </x:c>
      <x:c r="F279" t="str">
        <x:v>AUTO-BRK-B</x:v>
      </x:c>
      <x:c r="G279" t="str">
        <x:v>汽車精密零組件</x:v>
      </x:c>
      <x:c r="H279" s="20" t="n">
        <x:v>45600</x:v>
      </x:c>
      <x:c r="I279" t="n">
        <x:v>7000</x:v>
      </x:c>
      <x:c r="J279" t="n">
        <x:v>2140.74</x:v>
      </x:c>
      <x:c r="K279" t="str">
        <x:v>TWD</x:v>
      </x:c>
      <x:c r="L279" s="20" t="n">
        <x:v>45617</x:v>
      </x:c>
      <x:c r="M279" s="20" t="n">
        <x:v>45621</x:v>
      </x:c>
      <x:c r="N279" t="str">
        <x:v>否</x:v>
      </x:c>
      <x:c r="O279" t="str">
        <x:v>一般</x:v>
      </x:c>
      <x:c r="P279" t="str">
        <x:v>部分出貨</x:v>
      </x:c>
    </x:row>
    <x:row r="280" ht="20" customHeight="1">
      <x:c r="A280" t="str">
        <x:v>SO00279-01</x:v>
      </x:c>
      <x:c r="B280" t="str">
        <x:v>SO00279</x:v>
      </x:c>
      <x:c r="C280" t="str">
        <x:v>Q00428</x:v>
      </x:c>
      <x:c r="D280" t="str">
        <x:v>IAT-002</x:v>
      </x:c>
      <x:c r="E280" t="str">
        <x:v>S01</x:v>
      </x:c>
      <x:c r="F280" t="str">
        <x:v>AUTO-LG-A</x:v>
      </x:c>
      <x:c r="G280" t="str">
        <x:v>汽車精密零組件</x:v>
      </x:c>
      <x:c r="H280" s="20" t="n">
        <x:v>45622</x:v>
      </x:c>
      <x:c r="I280" t="n">
        <x:v>3000</x:v>
      </x:c>
      <x:c r="J280" t="n">
        <x:v>1073.01</x:v>
      </x:c>
      <x:c r="K280" t="str">
        <x:v>TWD</x:v>
      </x:c>
      <x:c r="L280" s="20" t="n">
        <x:v>45640</x:v>
      </x:c>
      <x:c r="M280" s="20" t="n">
        <x:v>45640</x:v>
      </x:c>
      <x:c r="N280" t="str">
        <x:v>否</x:v>
      </x:c>
      <x:c r="O280" t="str">
        <x:v>一般</x:v>
      </x:c>
      <x:c r="P280" t="str">
        <x:v>部分出貨</x:v>
      </x:c>
    </x:row>
    <x:row r="281" ht="20" customHeight="1">
      <x:c r="A281" t="str">
        <x:v>SO00280-01</x:v>
      </x:c>
      <x:c r="B281" t="str">
        <x:v>SO00280</x:v>
      </x:c>
      <x:c r="C281" t="str">
        <x:v>Q00429</x:v>
      </x:c>
      <x:c r="D281" t="str">
        <x:v>IAT-006</x:v>
      </x:c>
      <x:c r="E281" t="str">
        <x:v>S01</x:v>
      </x:c>
      <x:c r="F281" t="str">
        <x:v>AUTO-FL-A</x:v>
      </x:c>
      <x:c r="G281" t="str">
        <x:v>汽車精密零組件</x:v>
      </x:c>
      <x:c r="H281" s="20" t="n">
        <x:v>45629</x:v>
      </x:c>
      <x:c r="I281" t="n">
        <x:v>3000</x:v>
      </x:c>
      <x:c r="J281" t="n">
        <x:v>1202.16</x:v>
      </x:c>
      <x:c r="K281" t="str">
        <x:v>TWD</x:v>
      </x:c>
      <x:c r="L281" s="20" t="n">
        <x:v>45647</x:v>
      </x:c>
      <x:c r="M281" s="20" t="n">
        <x:v>45647</x:v>
      </x:c>
      <x:c r="N281" t="str">
        <x:v>否</x:v>
      </x:c>
      <x:c r="O281" t="str">
        <x:v>重要</x:v>
      </x:c>
      <x:c r="P281" t="str">
        <x:v>部分出貨</x:v>
      </x:c>
    </x:row>
    <x:row r="282" ht="20" customHeight="1">
      <x:c r="A282" t="str">
        <x:v>SO00281-01</x:v>
      </x:c>
      <x:c r="B282" t="str">
        <x:v>SO00281</x:v>
      </x:c>
      <x:c r="C282" t="str">
        <x:v>Q00432</x:v>
      </x:c>
      <x:c r="D282" t="str">
        <x:v>IAT-002</x:v>
      </x:c>
      <x:c r="E282" t="str">
        <x:v>S01</x:v>
      </x:c>
      <x:c r="F282" t="str">
        <x:v>AUTO-LG-B</x:v>
      </x:c>
      <x:c r="G282" t="str">
        <x:v>汽車精密零組件</x:v>
      </x:c>
      <x:c r="H282" s="20" t="n">
        <x:v>45624</x:v>
      </x:c>
      <x:c r="I282" t="n">
        <x:v>7000</x:v>
      </x:c>
      <x:c r="J282" t="n">
        <x:v>1277.71</x:v>
      </x:c>
      <x:c r="K282" t="str">
        <x:v>TWD</x:v>
      </x:c>
      <x:c r="L282" s="20" t="n">
        <x:v>45640</x:v>
      </x:c>
      <x:c r="M282" s="20" t="n">
        <x:v>45640</x:v>
      </x:c>
      <x:c r="N282" t="str">
        <x:v>否</x:v>
      </x:c>
      <x:c r="O282" t="str">
        <x:v>一般</x:v>
      </x:c>
      <x:c r="P282" t="str">
        <x:v>部分出貨</x:v>
      </x:c>
    </x:row>
    <x:row r="283" ht="20" customHeight="1">
      <x:c r="A283" t="str">
        <x:v>SO00282-01</x:v>
      </x:c>
      <x:c r="B283" t="str">
        <x:v>SO00282</x:v>
      </x:c>
      <x:c r="C283" t="str">
        <x:v>Q00434</x:v>
      </x:c>
      <x:c r="D283" t="str">
        <x:v>IAT-009</x:v>
      </x:c>
      <x:c r="E283" t="str">
        <x:v>S04</x:v>
      </x:c>
      <x:c r="F283" t="str">
        <x:v>AUTO-LG-B</x:v>
      </x:c>
      <x:c r="G283" t="str">
        <x:v>汽車精密零組件</x:v>
      </x:c>
      <x:c r="H283" s="20" t="n">
        <x:v>45607</x:v>
      </x:c>
      <x:c r="I283" t="n">
        <x:v>3000</x:v>
      </x:c>
      <x:c r="J283" t="n">
        <x:v>1195.69</x:v>
      </x:c>
      <x:c r="K283" t="str">
        <x:v>TWD</x:v>
      </x:c>
      <x:c r="L283" s="20" t="n">
        <x:v>45623</x:v>
      </x:c>
      <x:c r="M283" s="20" t="n">
        <x:v>45626</x:v>
      </x:c>
      <x:c r="N283" t="str">
        <x:v>是</x:v>
      </x:c>
      <x:c r="O283" t="str">
        <x:v>重要</x:v>
      </x:c>
      <x:c r="P283" t="str">
        <x:v>部分出貨</x:v>
      </x:c>
    </x:row>
    <x:row r="284" ht="20" customHeight="1">
      <x:c r="A284" t="str">
        <x:v>SO00283-01</x:v>
      </x:c>
      <x:c r="B284" t="str">
        <x:v>SO00283</x:v>
      </x:c>
      <x:c r="C284" t="str">
        <x:v>Q00435</x:v>
      </x:c>
      <x:c r="D284" t="str">
        <x:v>AUT-014</x:v>
      </x:c>
      <x:c r="E284" t="str">
        <x:v>S06</x:v>
      </x:c>
      <x:c r="F284" t="str">
        <x:v>PM-BRG-A</x:v>
      </x:c>
      <x:c r="G284" t="str">
        <x:v>精密金屬加工件</x:v>
      </x:c>
      <x:c r="H284" s="20" t="n">
        <x:v>45621</x:v>
      </x:c>
      <x:c r="I284" t="n">
        <x:v>500</x:v>
      </x:c>
      <x:c r="J284" t="n">
        <x:v>6884.64</x:v>
      </x:c>
      <x:c r="K284" t="str">
        <x:v>TWD</x:v>
      </x:c>
      <x:c r="L284" s="20" t="n">
        <x:v>45635</x:v>
      </x:c>
      <x:c r="M284" s="20" t="n">
        <x:v>45640</x:v>
      </x:c>
      <x:c r="N284" t="str">
        <x:v>是</x:v>
      </x:c>
      <x:c r="O284" t="str">
        <x:v>重要</x:v>
      </x:c>
      <x:c r="P284" t="str">
        <x:v>部分出貨</x:v>
      </x:c>
    </x:row>
    <x:row r="285" ht="20" customHeight="1">
      <x:c r="A285" t="str">
        <x:v>SO00284-01</x:v>
      </x:c>
      <x:c r="B285" t="str">
        <x:v>SO00284</x:v>
      </x:c>
      <x:c r="C285" t="str">
        <x:v>Q00436</x:v>
      </x:c>
      <x:c r="D285" t="str">
        <x:v>SEM-007</x:v>
      </x:c>
      <x:c r="E285" t="str">
        <x:v>S03</x:v>
      </x:c>
      <x:c r="F285" t="str">
        <x:v>SEMI-WH-A</x:v>
      </x:c>
      <x:c r="G285" t="str">
        <x:v>半導體設備零組件</x:v>
      </x:c>
      <x:c r="H285" s="20" t="n">
        <x:v>45629</x:v>
      </x:c>
      <x:c r="I285" t="n">
        <x:v>80</x:v>
      </x:c>
      <x:c r="J285" t="n">
        <x:v>115926.13</x:v>
      </x:c>
      <x:c r="K285" t="str">
        <x:v>TWD</x:v>
      </x:c>
      <x:c r="L285" s="20" t="n">
        <x:v>45665</x:v>
      </x:c>
      <x:c r="M285" s="20" t="n">
        <x:v>45680</x:v>
      </x:c>
      <x:c r="N285" t="str">
        <x:v>是</x:v>
      </x:c>
      <x:c r="O285" t="str">
        <x:v>重要</x:v>
      </x:c>
      <x:c r="P285" t="str">
        <x:v>部分出貨</x:v>
      </x:c>
    </x:row>
    <x:row r="286" ht="20" customHeight="1">
      <x:c r="A286" t="str">
        <x:v>SO00285-01</x:v>
      </x:c>
      <x:c r="B286" t="str">
        <x:v>SO00285</x:v>
      </x:c>
      <x:c r="C286" t="str">
        <x:v>Q00438</x:v>
      </x:c>
      <x:c r="D286" t="str">
        <x:v>IAT-002</x:v>
      </x:c>
      <x:c r="E286" t="str">
        <x:v>S01</x:v>
      </x:c>
      <x:c r="F286" t="str">
        <x:v>PM-ALB-A</x:v>
      </x:c>
      <x:c r="G286" t="str">
        <x:v>精密金屬加工件</x:v>
      </x:c>
      <x:c r="H286" s="20" t="n">
        <x:v>45637</x:v>
      </x:c>
      <x:c r="I286" t="n">
        <x:v>300</x:v>
      </x:c>
      <x:c r="J286" t="n">
        <x:v>11336.93</x:v>
      </x:c>
      <x:c r="K286" t="str">
        <x:v>TWD</x:v>
      </x:c>
      <x:c r="L286" s="20" t="n">
        <x:v>45664</x:v>
      </x:c>
      <x:c r="M286" s="20" t="n">
        <x:v>45664</x:v>
      </x:c>
      <x:c r="N286" t="str">
        <x:v>否</x:v>
      </x:c>
      <x:c r="O286" t="str">
        <x:v>一般</x:v>
      </x:c>
      <x:c r="P286" t="str">
        <x:v>部分出貨</x:v>
      </x:c>
    </x:row>
    <x:row r="287" ht="20" customHeight="1">
      <x:c r="A287" t="str">
        <x:v>SO00286-01</x:v>
      </x:c>
      <x:c r="B287" t="str">
        <x:v>SO00286</x:v>
      </x:c>
      <x:c r="C287" t="str">
        <x:v>Q00439</x:v>
      </x:c>
      <x:c r="D287" t="str">
        <x:v>SEM-010</x:v>
      </x:c>
      <x:c r="E287" t="str">
        <x:v>S01</x:v>
      </x:c>
      <x:c r="F287" t="str">
        <x:v>SEMI-CHB-B</x:v>
      </x:c>
      <x:c r="G287" t="str">
        <x:v>半導體設備零組件</x:v>
      </x:c>
      <x:c r="H287" s="20" t="n">
        <x:v>45633</x:v>
      </x:c>
      <x:c r="I287" t="n">
        <x:v>60</x:v>
      </x:c>
      <x:c r="J287" t="n">
        <x:v>128095.02</x:v>
      </x:c>
      <x:c r="K287" t="str">
        <x:v>TWD</x:v>
      </x:c>
      <x:c r="L287" s="20" t="n">
        <x:v>45694</x:v>
      </x:c>
      <x:c r="M287" s="20" t="n">
        <x:v>45694</x:v>
      </x:c>
      <x:c r="N287" t="str">
        <x:v>是</x:v>
      </x:c>
      <x:c r="O287" t="str">
        <x:v>一般</x:v>
      </x:c>
      <x:c r="P287" t="str">
        <x:v>部分出貨</x:v>
      </x:c>
    </x:row>
    <x:row r="288" ht="20" customHeight="1">
      <x:c r="A288" t="str">
        <x:v>SO00287-01</x:v>
      </x:c>
      <x:c r="B288" t="str">
        <x:v>SO00287</x:v>
      </x:c>
      <x:c r="C288" t="str">
        <x:v>Q00440</x:v>
      </x:c>
      <x:c r="D288" t="str">
        <x:v>AFT-001</x:v>
      </x:c>
      <x:c r="E288" t="str">
        <x:v>S05</x:v>
      </x:c>
      <x:c r="F288" t="str">
        <x:v>AUTO-KN-A</x:v>
      </x:c>
      <x:c r="G288" t="str">
        <x:v>汽車精密零組件</x:v>
      </x:c>
      <x:c r="H288" s="20" t="n">
        <x:v>45628</x:v>
      </x:c>
      <x:c r="I288" t="n">
        <x:v>10000</x:v>
      </x:c>
      <x:c r="J288" t="n">
        <x:v>3310.36</x:v>
      </x:c>
      <x:c r="K288" t="str">
        <x:v>TWD</x:v>
      </x:c>
      <x:c r="L288" s="20" t="n">
        <x:v>45651</x:v>
      </x:c>
      <x:c r="M288" s="20" t="n">
        <x:v>45651</x:v>
      </x:c>
      <x:c r="N288" t="str">
        <x:v>否</x:v>
      </x:c>
      <x:c r="O288" t="str">
        <x:v>重要</x:v>
      </x:c>
      <x:c r="P288" t="str">
        <x:v>部分出貨</x:v>
      </x:c>
    </x:row>
    <x:row r="289" ht="20" customHeight="1">
      <x:c r="A289" t="str">
        <x:v>SO00288-01</x:v>
      </x:c>
      <x:c r="B289" t="str">
        <x:v>SO00288</x:v>
      </x:c>
      <x:c r="C289" t="str">
        <x:v>Q00441</x:v>
      </x:c>
      <x:c r="D289" t="str">
        <x:v>EMS-007</x:v>
      </x:c>
      <x:c r="E289" t="str">
        <x:v>S04</x:v>
      </x:c>
      <x:c r="F289" t="str">
        <x:v>AUTO-LG-A</x:v>
      </x:c>
      <x:c r="G289" t="str">
        <x:v>汽車精密零組件</x:v>
      </x:c>
      <x:c r="H289" s="20" t="n">
        <x:v>45612</x:v>
      </x:c>
      <x:c r="I289" t="n">
        <x:v>7000</x:v>
      </x:c>
      <x:c r="J289" t="n">
        <x:v>1146.29</x:v>
      </x:c>
      <x:c r="K289" t="str">
        <x:v>TWD</x:v>
      </x:c>
      <x:c r="L289" s="20" t="n">
        <x:v>45629</x:v>
      </x:c>
      <x:c r="M289" s="20" t="n">
        <x:v>45629</x:v>
      </x:c>
      <x:c r="N289" t="str">
        <x:v>否</x:v>
      </x:c>
      <x:c r="O289" t="str">
        <x:v>一般</x:v>
      </x:c>
      <x:c r="P289" t="str">
        <x:v>部分出貨</x:v>
      </x:c>
    </x:row>
    <x:row r="290" ht="20" customHeight="1">
      <x:c r="A290" t="str">
        <x:v>SO00289-01</x:v>
      </x:c>
      <x:c r="B290" t="str">
        <x:v>SO00289</x:v>
      </x:c>
      <x:c r="C290" t="str">
        <x:v>Q00442</x:v>
      </x:c>
      <x:c r="D290" t="str">
        <x:v>AUT-014</x:v>
      </x:c>
      <x:c r="E290" t="str">
        <x:v>S06</x:v>
      </x:c>
      <x:c r="F290" t="str">
        <x:v>AUTO-KN-B</x:v>
      </x:c>
      <x:c r="G290" t="str">
        <x:v>汽車精密零組件</x:v>
      </x:c>
      <x:c r="H290" s="20" t="n">
        <x:v>45610</x:v>
      </x:c>
      <x:c r="I290" t="n">
        <x:v>3000</x:v>
      </x:c>
      <x:c r="J290" t="n">
        <x:v>3617.99</x:v>
      </x:c>
      <x:c r="K290" t="str">
        <x:v>TWD</x:v>
      </x:c>
      <x:c r="L290" s="20" t="n">
        <x:v>45630</x:v>
      </x:c>
      <x:c r="M290" s="20" t="n">
        <x:v>45635</x:v>
      </x:c>
      <x:c r="N290" t="str">
        <x:v>是</x:v>
      </x:c>
      <x:c r="O290" t="str">
        <x:v>重要</x:v>
      </x:c>
      <x:c r="P290" t="str">
        <x:v>部分出貨</x:v>
      </x:c>
    </x:row>
    <x:row r="291" ht="20" customHeight="1">
      <x:c r="A291" t="str">
        <x:v>SO00290-01</x:v>
      </x:c>
      <x:c r="B291" t="str">
        <x:v>SO00290</x:v>
      </x:c>
      <x:c r="C291" t="str">
        <x:v>Q00444</x:v>
      </x:c>
      <x:c r="D291" t="str">
        <x:v>AUT-009</x:v>
      </x:c>
      <x:c r="E291" t="str">
        <x:v>S04</x:v>
      </x:c>
      <x:c r="F291" t="str">
        <x:v>AUTO-BRK-A</x:v>
      </x:c>
      <x:c r="G291" t="str">
        <x:v>汽車精密零組件</x:v>
      </x:c>
      <x:c r="H291" s="20" t="n">
        <x:v>45605</x:v>
      </x:c>
      <x:c r="I291" t="n">
        <x:v>10000</x:v>
      </x:c>
      <x:c r="J291" t="n">
        <x:v>1788.94</x:v>
      </x:c>
      <x:c r="K291" t="str">
        <x:v>TWD</x:v>
      </x:c>
      <x:c r="L291" s="20" t="n">
        <x:v>45625</x:v>
      </x:c>
      <x:c r="M291" s="20" t="n">
        <x:v>45625</x:v>
      </x:c>
      <x:c r="N291" t="str">
        <x:v>否</x:v>
      </x:c>
      <x:c r="O291" t="str">
        <x:v>重要</x:v>
      </x:c>
      <x:c r="P291" t="str">
        <x:v>部分出貨</x:v>
      </x:c>
    </x:row>
    <x:row r="292" ht="20" customHeight="1">
      <x:c r="A292" t="str">
        <x:v>SO00291-01</x:v>
      </x:c>
      <x:c r="B292" t="str">
        <x:v>SO00291</x:v>
      </x:c>
      <x:c r="C292" t="str">
        <x:v>Q00446</x:v>
      </x:c>
      <x:c r="D292" t="str">
        <x:v>AFT-005</x:v>
      </x:c>
      <x:c r="E292" t="str">
        <x:v>S05</x:v>
      </x:c>
      <x:c r="F292" t="str">
        <x:v>PM-BRG-A</x:v>
      </x:c>
      <x:c r="G292" t="str">
        <x:v>精密金屬加工件</x:v>
      </x:c>
      <x:c r="H292" s="20" t="n">
        <x:v>45631</x:v>
      </x:c>
      <x:c r="I292" t="n">
        <x:v>800</x:v>
      </x:c>
      <x:c r="J292" t="n">
        <x:v>6540.2</x:v>
      </x:c>
      <x:c r="K292" t="str">
        <x:v>TWD</x:v>
      </x:c>
      <x:c r="L292" s="20" t="n">
        <x:v>45649</x:v>
      </x:c>
      <x:c r="M292" s="20" t="n">
        <x:v>45650</x:v>
      </x:c>
      <x:c r="N292" t="str">
        <x:v>否</x:v>
      </x:c>
      <x:c r="O292" t="str">
        <x:v>VIP</x:v>
      </x:c>
      <x:c r="P292" t="str">
        <x:v>部分出貨</x:v>
      </x:c>
    </x:row>
    <x:row r="293" ht="20" customHeight="1">
      <x:c r="A293" t="str">
        <x:v>SO00292-01</x:v>
      </x:c>
      <x:c r="B293" t="str">
        <x:v>SO00292</x:v>
      </x:c>
      <x:c r="C293" t="str">
        <x:v>Q00447</x:v>
      </x:c>
      <x:c r="D293" t="str">
        <x:v>AUT-006</x:v>
      </x:c>
      <x:c r="E293" t="str">
        <x:v>S03</x:v>
      </x:c>
      <x:c r="F293" t="str">
        <x:v>AUTO-LG-A</x:v>
      </x:c>
      <x:c r="G293" t="str">
        <x:v>汽車精密零組件</x:v>
      </x:c>
      <x:c r="H293" s="20" t="n">
        <x:v>45604</x:v>
      </x:c>
      <x:c r="I293" t="n">
        <x:v>10000</x:v>
      </x:c>
      <x:c r="J293" t="n">
        <x:v>1104.85</x:v>
      </x:c>
      <x:c r="K293" t="str">
        <x:v>TWD</x:v>
      </x:c>
      <x:c r="L293" s="20" t="n">
        <x:v>45622</x:v>
      </x:c>
      <x:c r="M293" s="20" t="n">
        <x:v>45622</x:v>
      </x:c>
      <x:c r="N293" t="str">
        <x:v>否</x:v>
      </x:c>
      <x:c r="O293" t="str">
        <x:v>一般</x:v>
      </x:c>
      <x:c r="P293" t="str">
        <x:v>部分出貨</x:v>
      </x:c>
    </x:row>
    <x:row r="294" ht="20" customHeight="1">
      <x:c r="A294" t="str">
        <x:v>SO00293-01</x:v>
      </x:c>
      <x:c r="B294" t="str">
        <x:v>SO00293</x:v>
      </x:c>
      <x:c r="C294" t="str">
        <x:v>Q00449</x:v>
      </x:c>
      <x:c r="D294" t="str">
        <x:v>AUT-006</x:v>
      </x:c>
      <x:c r="E294" t="str">
        <x:v>S03</x:v>
      </x:c>
      <x:c r="F294" t="str">
        <x:v>MECH-STG-B</x:v>
      </x:c>
      <x:c r="G294" t="str">
        <x:v>機電／自動化模組</x:v>
      </x:c>
      <x:c r="H294" s="20" t="n">
        <x:v>45653</x:v>
      </x:c>
      <x:c r="I294" t="n">
        <x:v>10</x:v>
      </x:c>
      <x:c r="J294" t="n">
        <x:v>196415.85</x:v>
      </x:c>
      <x:c r="K294" t="str">
        <x:v>TWD</x:v>
      </x:c>
      <x:c r="L294" s="20" t="n">
        <x:v>45699</x:v>
      </x:c>
      <x:c r="M294" s="20" t="n">
        <x:v>45699</x:v>
      </x:c>
      <x:c r="N294" t="str">
        <x:v>否</x:v>
      </x:c>
      <x:c r="O294" t="str">
        <x:v>一般</x:v>
      </x:c>
      <x:c r="P294" t="str">
        <x:v>已出貨</x:v>
      </x:c>
    </x:row>
    <x:row r="295" ht="20" customHeight="1">
      <x:c r="A295" t="str">
        <x:v>SO00294-01</x:v>
      </x:c>
      <x:c r="B295" t="str">
        <x:v>SO00294</x:v>
      </x:c>
      <x:c r="C295" t="str">
        <x:v>Q00450</x:v>
      </x:c>
      <x:c r="D295" t="str">
        <x:v>AFT-003</x:v>
      </x:c>
      <x:c r="E295" t="str">
        <x:v>S01</x:v>
      </x:c>
      <x:c r="F295" t="str">
        <x:v>PM-SUS-A</x:v>
      </x:c>
      <x:c r="G295" t="str">
        <x:v>精密金屬加工件</x:v>
      </x:c>
      <x:c r="H295" s="20" t="n">
        <x:v>45653</x:v>
      </x:c>
      <x:c r="I295" t="n">
        <x:v>1600</x:v>
      </x:c>
      <x:c r="J295" t="n">
        <x:v>10480.42</x:v>
      </x:c>
      <x:c r="K295" t="str">
        <x:v>TWD</x:v>
      </x:c>
      <x:c r="L295" s="20" t="n">
        <x:v>45672</x:v>
      </x:c>
      <x:c r="M295" s="20" t="n">
        <x:v>45678</x:v>
      </x:c>
      <x:c r="N295" t="str">
        <x:v>是</x:v>
      </x:c>
      <x:c r="O295" t="str">
        <x:v>重要</x:v>
      </x:c>
      <x:c r="P295" t="str">
        <x:v>部分出貨</x:v>
      </x:c>
    </x:row>
    <x:row r="296" ht="20" customHeight="1">
      <x:c r="A296" t="str">
        <x:v>SO00295-01</x:v>
      </x:c>
      <x:c r="B296" t="str">
        <x:v>SO00295</x:v>
      </x:c>
      <x:c r="C296" t="str">
        <x:v>Q00451</x:v>
      </x:c>
      <x:c r="D296" t="str">
        <x:v>AUT-003</x:v>
      </x:c>
      <x:c r="E296" t="str">
        <x:v>S03</x:v>
      </x:c>
      <x:c r="F296" t="str">
        <x:v>PM-VAC-B</x:v>
      </x:c>
      <x:c r="G296" t="str">
        <x:v>精密金屬加工件</x:v>
      </x:c>
      <x:c r="H296" s="20" t="n">
        <x:v>45659</x:v>
      </x:c>
      <x:c r="I296" t="n">
        <x:v>1600</x:v>
      </x:c>
      <x:c r="J296" t="n">
        <x:v>22213.14</x:v>
      </x:c>
      <x:c r="K296" t="str">
        <x:v>TWD</x:v>
      </x:c>
      <x:c r="L296" s="20" t="n">
        <x:v>45686</x:v>
      </x:c>
      <x:c r="M296" s="20" t="n">
        <x:v>45695</x:v>
      </x:c>
      <x:c r="N296" t="str">
        <x:v>是</x:v>
      </x:c>
      <x:c r="O296" t="str">
        <x:v>VIP</x:v>
      </x:c>
      <x:c r="P296" t="str">
        <x:v>部分出貨</x:v>
      </x:c>
    </x:row>
    <x:row r="297" ht="20" customHeight="1">
      <x:c r="A297" t="str">
        <x:v>SO00296-01</x:v>
      </x:c>
      <x:c r="B297" t="str">
        <x:v>SO00296</x:v>
      </x:c>
      <x:c r="C297" t="str">
        <x:v>Q00454</x:v>
      </x:c>
      <x:c r="D297" t="str">
        <x:v>AFT-001</x:v>
      </x:c>
      <x:c r="E297" t="str">
        <x:v>S05</x:v>
      </x:c>
      <x:c r="F297" t="str">
        <x:v>AUTO-FL-A</x:v>
      </x:c>
      <x:c r="G297" t="str">
        <x:v>汽車精密零組件</x:v>
      </x:c>
      <x:c r="H297" s="20" t="n">
        <x:v>45652</x:v>
      </x:c>
      <x:c r="I297" t="n">
        <x:v>5000</x:v>
      </x:c>
      <x:c r="J297" t="n">
        <x:v>1288.73</x:v>
      </x:c>
      <x:c r="K297" t="str">
        <x:v>TWD</x:v>
      </x:c>
      <x:c r="L297" s="20" t="n">
        <x:v>45667</x:v>
      </x:c>
      <x:c r="M297" s="20" t="n">
        <x:v>45668</x:v>
      </x:c>
      <x:c r="N297" t="str">
        <x:v>是</x:v>
      </x:c>
      <x:c r="O297" t="str">
        <x:v>重要</x:v>
      </x:c>
      <x:c r="P297" t="str">
        <x:v>部分出貨</x:v>
      </x:c>
    </x:row>
    <x:row r="298" ht="20" customHeight="1">
      <x:c r="A298" t="str">
        <x:v>SO00297-01</x:v>
      </x:c>
      <x:c r="B298" t="str">
        <x:v>SO00297</x:v>
      </x:c>
      <x:c r="C298" t="str">
        <x:v>Q00456</x:v>
      </x:c>
      <x:c r="D298" t="str">
        <x:v>AUT-011</x:v>
      </x:c>
      <x:c r="E298" t="str">
        <x:v>S02</x:v>
      </x:c>
      <x:c r="F298" t="str">
        <x:v>AUTO-MH-A</x:v>
      </x:c>
      <x:c r="G298" t="str">
        <x:v>汽車精密零組件</x:v>
      </x:c>
      <x:c r="H298" s="20" t="n">
        <x:v>45651</x:v>
      </x:c>
      <x:c r="I298" t="n">
        <x:v>10000</x:v>
      </x:c>
      <x:c r="J298" t="n">
        <x:v>2582.9</x:v>
      </x:c>
      <x:c r="K298" t="str">
        <x:v>TWD</x:v>
      </x:c>
      <x:c r="L298" s="20" t="n">
        <x:v>45674</x:v>
      </x:c>
      <x:c r="M298" s="20" t="n">
        <x:v>45674</x:v>
      </x:c>
      <x:c r="N298" t="str">
        <x:v>否</x:v>
      </x:c>
      <x:c r="O298" t="str">
        <x:v>重要</x:v>
      </x:c>
      <x:c r="P298" t="str">
        <x:v>部分出貨</x:v>
      </x:c>
    </x:row>
    <x:row r="299" ht="20" customHeight="1">
      <x:c r="A299" t="str">
        <x:v>SO00298-01</x:v>
      </x:c>
      <x:c r="B299" t="str">
        <x:v>SO00298</x:v>
      </x:c>
      <x:c r="C299" t="str">
        <x:v>Q00457</x:v>
      </x:c>
      <x:c r="D299" t="str">
        <x:v>SEM-007</x:v>
      </x:c>
      <x:c r="E299" t="str">
        <x:v>S03</x:v>
      </x:c>
      <x:c r="F299" t="str">
        <x:v>SEMI-WH-A</x:v>
      </x:c>
      <x:c r="G299" t="str">
        <x:v>半導體設備零組件</x:v>
      </x:c>
      <x:c r="H299" s="20" t="n">
        <x:v>45656</x:v>
      </x:c>
      <x:c r="I299" t="n">
        <x:v>160</x:v>
      </x:c>
      <x:c r="J299" t="n">
        <x:v>112989.13</x:v>
      </x:c>
      <x:c r="K299" t="str">
        <x:v>TWD</x:v>
      </x:c>
      <x:c r="L299" s="20" t="n">
        <x:v>45695</x:v>
      </x:c>
      <x:c r="M299" s="20" t="n">
        <x:v>45704</x:v>
      </x:c>
      <x:c r="N299" t="str">
        <x:v>是</x:v>
      </x:c>
      <x:c r="O299" t="str">
        <x:v>重要</x:v>
      </x:c>
      <x:c r="P299" t="str">
        <x:v>部分出貨</x:v>
      </x:c>
    </x:row>
    <x:row r="300" ht="20" customHeight="1">
      <x:c r="A300" t="str">
        <x:v>SO00299-01</x:v>
      </x:c>
      <x:c r="B300" t="str">
        <x:v>SO00299</x:v>
      </x:c>
      <x:c r="C300" t="str">
        <x:v>Q00459</x:v>
      </x:c>
      <x:c r="D300" t="str">
        <x:v>EMS-006</x:v>
      </x:c>
      <x:c r="E300" t="str">
        <x:v>S03</x:v>
      </x:c>
      <x:c r="F300" t="str">
        <x:v>AUTO-MH-B</x:v>
      </x:c>
      <x:c r="G300" t="str">
        <x:v>汽車精密零組件</x:v>
      </x:c>
      <x:c r="H300" s="20" t="n">
        <x:v>45645</x:v>
      </x:c>
      <x:c r="I300" t="n">
        <x:v>13000</x:v>
      </x:c>
      <x:c r="J300" t="n">
        <x:v>2899.87</x:v>
      </x:c>
      <x:c r="K300" t="str">
        <x:v>TWD</x:v>
      </x:c>
      <x:c r="L300" s="20" t="n">
        <x:v>45663</x:v>
      </x:c>
      <x:c r="M300" s="20" t="n">
        <x:v>45668</x:v>
      </x:c>
      <x:c r="N300" t="str">
        <x:v>是</x:v>
      </x:c>
      <x:c r="O300" t="str">
        <x:v>重要</x:v>
      </x:c>
      <x:c r="P300" t="str">
        <x:v>部分出貨</x:v>
      </x:c>
    </x:row>
    <x:row r="301" ht="20" customHeight="1">
      <x:c r="A301" t="str">
        <x:v>SO00300-01</x:v>
      </x:c>
      <x:c r="B301" t="str">
        <x:v>SO00300</x:v>
      </x:c>
      <x:c r="C301" t="str">
        <x:v>Q00460</x:v>
      </x:c>
      <x:c r="D301" t="str">
        <x:v>IAT-006</x:v>
      </x:c>
      <x:c r="E301" t="str">
        <x:v>S01</x:v>
      </x:c>
      <x:c r="F301" t="str">
        <x:v>PM-VAC-A</x:v>
      </x:c>
      <x:c r="G301" t="str">
        <x:v>精密金屬加工件</x:v>
      </x:c>
      <x:c r="H301" s="20" t="n">
        <x:v>45665</x:v>
      </x:c>
      <x:c r="I301" t="n">
        <x:v>500</x:v>
      </x:c>
      <x:c r="J301" t="n">
        <x:v>16178.35</x:v>
      </x:c>
      <x:c r="K301" t="str">
        <x:v>TWD</x:v>
      </x:c>
      <x:c r="L301" s="20" t="n">
        <x:v>45698</x:v>
      </x:c>
      <x:c r="M301" s="20" t="n">
        <x:v>45698</x:v>
      </x:c>
      <x:c r="N301" t="str">
        <x:v>否</x:v>
      </x:c>
      <x:c r="O301" t="str">
        <x:v>重要</x:v>
      </x:c>
      <x:c r="P301" t="str">
        <x:v>部分出貨</x:v>
      </x:c>
    </x:row>
    <x:row r="302" ht="20" customHeight="1">
      <x:c r="A302" t="str">
        <x:v>SO00301-01</x:v>
      </x:c>
      <x:c r="B302" t="str">
        <x:v>SO00301</x:v>
      </x:c>
      <x:c r="C302" t="str">
        <x:v>Q00461</x:v>
      </x:c>
      <x:c r="D302" t="str">
        <x:v>EMS-008</x:v>
      </x:c>
      <x:c r="E302" t="str">
        <x:v>S02</x:v>
      </x:c>
      <x:c r="F302" t="str">
        <x:v>MECH-STG-B</x:v>
      </x:c>
      <x:c r="G302" t="str">
        <x:v>機電／自動化模組</x:v>
      </x:c>
      <x:c r="H302" s="20" t="n">
        <x:v>45634</x:v>
      </x:c>
      <x:c r="I302" t="n">
        <x:v>20</x:v>
      </x:c>
      <x:c r="J302" t="n">
        <x:v>196280.23</x:v>
      </x:c>
      <x:c r="K302" t="str">
        <x:v>TWD</x:v>
      </x:c>
      <x:c r="L302" s="20" t="n">
        <x:v>45690</x:v>
      </x:c>
      <x:c r="M302" s="20" t="n">
        <x:v>45690</x:v>
      </x:c>
      <x:c r="N302" t="str">
        <x:v>否</x:v>
      </x:c>
      <x:c r="O302" t="str">
        <x:v>重要</x:v>
      </x:c>
      <x:c r="P302" t="str">
        <x:v>已出貨</x:v>
      </x:c>
    </x:row>
    <x:row r="303" ht="20" customHeight="1">
      <x:c r="A303" t="str">
        <x:v>SO00302-01</x:v>
      </x:c>
      <x:c r="B303" t="str">
        <x:v>SO00302</x:v>
      </x:c>
      <x:c r="C303" t="str">
        <x:v>Q00463</x:v>
      </x:c>
      <x:c r="D303" t="str">
        <x:v>SEM-003</x:v>
      </x:c>
      <x:c r="E303" t="str">
        <x:v>S02</x:v>
      </x:c>
      <x:c r="F303" t="str">
        <x:v>MECH-STG-A</x:v>
      </x:c>
      <x:c r="G303" t="str">
        <x:v>機電／自動化模組</x:v>
      </x:c>
      <x:c r="H303" s="20" t="n">
        <x:v>45654</x:v>
      </x:c>
      <x:c r="I303" t="n">
        <x:v>30</x:v>
      </x:c>
      <x:c r="J303" t="n">
        <x:v>127349</x:v>
      </x:c>
      <x:c r="K303" t="str">
        <x:v>TWD</x:v>
      </x:c>
      <x:c r="L303" s="20" t="n">
        <x:v>45690</x:v>
      </x:c>
      <x:c r="M303" s="20" t="n">
        <x:v>45694</x:v>
      </x:c>
      <x:c r="N303" t="str">
        <x:v>否</x:v>
      </x:c>
      <x:c r="O303" t="str">
        <x:v>重要</x:v>
      </x:c>
      <x:c r="P303" t="str">
        <x:v>已出貨</x:v>
      </x:c>
    </x:row>
    <x:row r="304" ht="20" customHeight="1">
      <x:c r="A304" t="str">
        <x:v>SO00303-01</x:v>
      </x:c>
      <x:c r="B304" t="str">
        <x:v>SO00303</x:v>
      </x:c>
      <x:c r="C304" t="str">
        <x:v>Q00464</x:v>
      </x:c>
      <x:c r="D304" t="str">
        <x:v>IAT-003</x:v>
      </x:c>
      <x:c r="E304" t="str">
        <x:v>S04</x:v>
      </x:c>
      <x:c r="F304" t="str">
        <x:v>PM-VAC-B</x:v>
      </x:c>
      <x:c r="G304" t="str">
        <x:v>精密金屬加工件</x:v>
      </x:c>
      <x:c r="H304" s="20" t="n">
        <x:v>45641</x:v>
      </x:c>
      <x:c r="I304" t="n">
        <x:v>1600</x:v>
      </x:c>
      <x:c r="J304" t="n">
        <x:v>22746.14</x:v>
      </x:c>
      <x:c r="K304" t="str">
        <x:v>TWD</x:v>
      </x:c>
      <x:c r="L304" s="20" t="n">
        <x:v>45678</x:v>
      </x:c>
      <x:c r="M304" s="20" t="n">
        <x:v>45678</x:v>
      </x:c>
      <x:c r="N304" t="str">
        <x:v>否</x:v>
      </x:c>
      <x:c r="O304" t="str">
        <x:v>重要</x:v>
      </x:c>
      <x:c r="P304" t="str">
        <x:v>部分出貨</x:v>
      </x:c>
    </x:row>
    <x:row r="305" ht="20" customHeight="1">
      <x:c r="A305" t="str">
        <x:v>SO00304-01</x:v>
      </x:c>
      <x:c r="B305" t="str">
        <x:v>SO00304</x:v>
      </x:c>
      <x:c r="C305" t="str">
        <x:v>Q00466</x:v>
      </x:c>
      <x:c r="D305" t="str">
        <x:v>AFT-002</x:v>
      </x:c>
      <x:c r="E305" t="str">
        <x:v>S04</x:v>
      </x:c>
      <x:c r="F305" t="str">
        <x:v>AUTO-MH-A</x:v>
      </x:c>
      <x:c r="G305" t="str">
        <x:v>汽車精密零組件</x:v>
      </x:c>
      <x:c r="H305" s="20" t="n">
        <x:v>45649</x:v>
      </x:c>
      <x:c r="I305" t="n">
        <x:v>13000</x:v>
      </x:c>
      <x:c r="J305" t="n">
        <x:v>2454.87</x:v>
      </x:c>
      <x:c r="K305" t="str">
        <x:v>TWD</x:v>
      </x:c>
      <x:c r="L305" s="20" t="n">
        <x:v>45669</x:v>
      </x:c>
      <x:c r="M305" s="20" t="n">
        <x:v>45670</x:v>
      </x:c>
      <x:c r="N305" t="str">
        <x:v>否</x:v>
      </x:c>
      <x:c r="O305" t="str">
        <x:v>一般</x:v>
      </x:c>
      <x:c r="P305" t="str">
        <x:v>部分出貨</x:v>
      </x:c>
    </x:row>
    <x:row r="306" ht="20" customHeight="1">
      <x:c r="A306" t="str">
        <x:v>SO00305-01</x:v>
      </x:c>
      <x:c r="B306" t="str">
        <x:v>SO00305</x:v>
      </x:c>
      <x:c r="C306" t="str">
        <x:v>Q00467</x:v>
      </x:c>
      <x:c r="D306" t="str">
        <x:v>EMS-002</x:v>
      </x:c>
      <x:c r="E306" t="str">
        <x:v>S05</x:v>
      </x:c>
      <x:c r="F306" t="str">
        <x:v>AUTO-LG-B</x:v>
      </x:c>
      <x:c r="G306" t="str">
        <x:v>汽車精密零組件</x:v>
      </x:c>
      <x:c r="H306" s="20" t="n">
        <x:v>45657</x:v>
      </x:c>
      <x:c r="I306" t="n">
        <x:v>3000</x:v>
      </x:c>
      <x:c r="J306" t="n">
        <x:v>1207.24</x:v>
      </x:c>
      <x:c r="K306" t="str">
        <x:v>TWD</x:v>
      </x:c>
      <x:c r="L306" s="20" t="n">
        <x:v>45674</x:v>
      </x:c>
      <x:c r="M306" s="20" t="n">
        <x:v>45675</x:v>
      </x:c>
      <x:c r="N306" t="str">
        <x:v>否</x:v>
      </x:c>
      <x:c r="O306" t="str">
        <x:v>重要</x:v>
      </x:c>
      <x:c r="P306" t="str">
        <x:v>部分出貨</x:v>
      </x:c>
    </x:row>
    <x:row r="307" ht="20" customHeight="1">
      <x:c r="A307" t="str">
        <x:v>SO00306-01</x:v>
      </x:c>
      <x:c r="B307" t="str">
        <x:v>SO00306</x:v>
      </x:c>
      <x:c r="C307" t="str">
        <x:v>Q00468</x:v>
      </x:c>
      <x:c r="D307" t="str">
        <x:v>IAT-007</x:v>
      </x:c>
      <x:c r="E307" t="str">
        <x:v>S04</x:v>
      </x:c>
      <x:c r="F307" t="str">
        <x:v>AUTO-KN-B</x:v>
      </x:c>
      <x:c r="G307" t="str">
        <x:v>汽車精密零組件</x:v>
      </x:c>
      <x:c r="H307" s="20" t="n">
        <x:v>45661</x:v>
      </x:c>
      <x:c r="I307" t="n">
        <x:v>13000</x:v>
      </x:c>
      <x:c r="J307" t="n">
        <x:v>3743.63</x:v>
      </x:c>
      <x:c r="K307" t="str">
        <x:v>TWD</x:v>
      </x:c>
      <x:c r="L307" s="20" t="n">
        <x:v>45683</x:v>
      </x:c>
      <x:c r="M307" s="20" t="n">
        <x:v>45685</x:v>
      </x:c>
      <x:c r="N307" t="str">
        <x:v>否</x:v>
      </x:c>
      <x:c r="O307" t="str">
        <x:v>重要</x:v>
      </x:c>
      <x:c r="P307" t="str">
        <x:v>部分出貨</x:v>
      </x:c>
    </x:row>
    <x:row r="308" ht="20" customHeight="1">
      <x:c r="A308" t="str">
        <x:v>SO00307-01</x:v>
      </x:c>
      <x:c r="B308" t="str">
        <x:v>SO00307</x:v>
      </x:c>
      <x:c r="C308" t="str">
        <x:v>Q00469</x:v>
      </x:c>
      <x:c r="D308" t="str">
        <x:v>AFT-001</x:v>
      </x:c>
      <x:c r="E308" t="str">
        <x:v>S05</x:v>
      </x:c>
      <x:c r="F308" t="str">
        <x:v>AUTO-KN-A</x:v>
      </x:c>
      <x:c r="G308" t="str">
        <x:v>汽車精密零組件</x:v>
      </x:c>
      <x:c r="H308" s="20" t="n">
        <x:v>45647</x:v>
      </x:c>
      <x:c r="I308" t="n">
        <x:v>3000</x:v>
      </x:c>
      <x:c r="J308" t="n">
        <x:v>3314.42</x:v>
      </x:c>
      <x:c r="K308" t="str">
        <x:v>TWD</x:v>
      </x:c>
      <x:c r="L308" s="20" t="n">
        <x:v>45664</x:v>
      </x:c>
      <x:c r="M308" s="20" t="n">
        <x:v>45672</x:v>
      </x:c>
      <x:c r="N308" t="str">
        <x:v>是</x:v>
      </x:c>
      <x:c r="O308" t="str">
        <x:v>重要</x:v>
      </x:c>
      <x:c r="P308" t="str">
        <x:v>部分出貨</x:v>
      </x:c>
    </x:row>
    <x:row r="309" ht="20" customHeight="1">
      <x:c r="A309" t="str">
        <x:v>SO00308-01</x:v>
      </x:c>
      <x:c r="B309" t="str">
        <x:v>SO00308</x:v>
      </x:c>
      <x:c r="C309" t="str">
        <x:v>Q00470</x:v>
      </x:c>
      <x:c r="D309" t="str">
        <x:v>SEM-008</x:v>
      </x:c>
      <x:c r="E309" t="str">
        <x:v>S04</x:v>
      </x:c>
      <x:c r="F309" t="str">
        <x:v>MECH-STG-B</x:v>
      </x:c>
      <x:c r="G309" t="str">
        <x:v>機電／自動化模組</x:v>
      </x:c>
      <x:c r="H309" s="20" t="n">
        <x:v>45638</x:v>
      </x:c>
      <x:c r="I309" t="n">
        <x:v>50</x:v>
      </x:c>
      <x:c r="J309" t="n">
        <x:v>200178.91</x:v>
      </x:c>
      <x:c r="K309" t="str">
        <x:v>TWD</x:v>
      </x:c>
      <x:c r="L309" s="20" t="n">
        <x:v>45683</x:v>
      </x:c>
      <x:c r="M309" s="20" t="n">
        <x:v>45686</x:v>
      </x:c>
      <x:c r="N309" t="str">
        <x:v>否</x:v>
      </x:c>
      <x:c r="O309" t="str">
        <x:v>VIP</x:v>
      </x:c>
      <x:c r="P309" t="str">
        <x:v>已出貨</x:v>
      </x:c>
    </x:row>
    <x:row r="310" ht="20" customHeight="1">
      <x:c r="A310" t="str">
        <x:v>SO00309-01</x:v>
      </x:c>
      <x:c r="B310" t="str">
        <x:v>SO00309</x:v>
      </x:c>
      <x:c r="C310" t="str">
        <x:v>Q00474</x:v>
      </x:c>
      <x:c r="D310" t="str">
        <x:v>AUT-005</x:v>
      </x:c>
      <x:c r="E310" t="str">
        <x:v>S04</x:v>
      </x:c>
      <x:c r="F310" t="str">
        <x:v>AUTO-BRK-B</x:v>
      </x:c>
      <x:c r="G310" t="str">
        <x:v>汽車精密零組件</x:v>
      </x:c>
      <x:c r="H310" s="20" t="n">
        <x:v>45640</x:v>
      </x:c>
      <x:c r="I310" t="n">
        <x:v>5000</x:v>
      </x:c>
      <x:c r="J310" t="n">
        <x:v>2152.54</x:v>
      </x:c>
      <x:c r="K310" t="str">
        <x:v>TWD</x:v>
      </x:c>
      <x:c r="L310" s="20" t="n">
        <x:v>45662</x:v>
      </x:c>
      <x:c r="M310" s="20" t="n">
        <x:v>45662</x:v>
      </x:c>
      <x:c r="N310" t="str">
        <x:v>否</x:v>
      </x:c>
      <x:c r="O310" t="str">
        <x:v>VIP</x:v>
      </x:c>
      <x:c r="P310" t="str">
        <x:v>部分出貨</x:v>
      </x:c>
    </x:row>
    <x:row r="311" ht="20" customHeight="1">
      <x:c r="A311" t="str">
        <x:v>SO00310-01</x:v>
      </x:c>
      <x:c r="B311" t="str">
        <x:v>SO00310</x:v>
      </x:c>
      <x:c r="C311" t="str">
        <x:v>Q00477</x:v>
      </x:c>
      <x:c r="D311" t="str">
        <x:v>IAT-009</x:v>
      </x:c>
      <x:c r="E311" t="str">
        <x:v>S04</x:v>
      </x:c>
      <x:c r="F311" t="str">
        <x:v>SEMI-CHB-B</x:v>
      </x:c>
      <x:c r="G311" t="str">
        <x:v>半導體設備零組件</x:v>
      </x:c>
      <x:c r="H311" s="20" t="n">
        <x:v>45677</x:v>
      </x:c>
      <x:c r="I311" t="n">
        <x:v>160</x:v>
      </x:c>
      <x:c r="J311" t="n">
        <x:v>141468.76</x:v>
      </x:c>
      <x:c r="K311" t="str">
        <x:v>TWD</x:v>
      </x:c>
      <x:c r="L311" s="20" t="n">
        <x:v>45734</x:v>
      </x:c>
      <x:c r="M311" s="20" t="n">
        <x:v>45735</x:v>
      </x:c>
      <x:c r="N311" t="str">
        <x:v>是</x:v>
      </x:c>
      <x:c r="O311" t="str">
        <x:v>重要</x:v>
      </x:c>
      <x:c r="P311" t="str">
        <x:v>部分出貨</x:v>
      </x:c>
    </x:row>
    <x:row r="312" ht="20" customHeight="1">
      <x:c r="A312" t="str">
        <x:v>SO00311-01</x:v>
      </x:c>
      <x:c r="B312" t="str">
        <x:v>SO00311</x:v>
      </x:c>
      <x:c r="C312" t="str">
        <x:v>Q00478</x:v>
      </x:c>
      <x:c r="D312" t="str">
        <x:v>AFT-005</x:v>
      </x:c>
      <x:c r="E312" t="str">
        <x:v>S05</x:v>
      </x:c>
      <x:c r="F312" t="str">
        <x:v>PM-SUS-A</x:v>
      </x:c>
      <x:c r="G312" t="str">
        <x:v>精密金屬加工件</x:v>
      </x:c>
      <x:c r="H312" s="20" t="n">
        <x:v>45678</x:v>
      </x:c>
      <x:c r="I312" t="n">
        <x:v>1600</x:v>
      </x:c>
      <x:c r="J312" t="n">
        <x:v>10919.43</x:v>
      </x:c>
      <x:c r="K312" t="str">
        <x:v>TWD</x:v>
      </x:c>
      <x:c r="L312" s="20" t="n">
        <x:v>45704</x:v>
      </x:c>
      <x:c r="M312" s="20" t="n">
        <x:v>45704</x:v>
      </x:c>
      <x:c r="N312" t="str">
        <x:v>否</x:v>
      </x:c>
      <x:c r="O312" t="str">
        <x:v>VIP</x:v>
      </x:c>
      <x:c r="P312" t="str">
        <x:v>部分出貨</x:v>
      </x:c>
    </x:row>
    <x:row r="313" ht="20" customHeight="1">
      <x:c r="A313" t="str">
        <x:v>SO00312-01</x:v>
      </x:c>
      <x:c r="B313" t="str">
        <x:v>SO00312</x:v>
      </x:c>
      <x:c r="C313" t="str">
        <x:v>Q00479</x:v>
      </x:c>
      <x:c r="D313" t="str">
        <x:v>AUT-005</x:v>
      </x:c>
      <x:c r="E313" t="str">
        <x:v>S04</x:v>
      </x:c>
      <x:c r="F313" t="str">
        <x:v>AUTO-MH-B</x:v>
      </x:c>
      <x:c r="G313" t="str">
        <x:v>汽車精密零組件</x:v>
      </x:c>
      <x:c r="H313" s="20" t="n">
        <x:v>45670</x:v>
      </x:c>
      <x:c r="I313" t="n">
        <x:v>3000</x:v>
      </x:c>
      <x:c r="J313" t="n">
        <x:v>3122</x:v>
      </x:c>
      <x:c r="K313" t="str">
        <x:v>TWD</x:v>
      </x:c>
      <x:c r="L313" s="20" t="n">
        <x:v>45687</x:v>
      </x:c>
      <x:c r="M313" s="20" t="n">
        <x:v>45694</x:v>
      </x:c>
      <x:c r="N313" t="str">
        <x:v>是</x:v>
      </x:c>
      <x:c r="O313" t="str">
        <x:v>VIP</x:v>
      </x:c>
      <x:c r="P313" t="str">
        <x:v>部分出貨</x:v>
      </x:c>
    </x:row>
    <x:row r="314" ht="20" customHeight="1">
      <x:c r="A314" t="str">
        <x:v>SO00313-01</x:v>
      </x:c>
      <x:c r="B314" t="str">
        <x:v>SO00313</x:v>
      </x:c>
      <x:c r="C314" t="str">
        <x:v>Q00480</x:v>
      </x:c>
      <x:c r="D314" t="str">
        <x:v>IAT-006</x:v>
      </x:c>
      <x:c r="E314" t="str">
        <x:v>S01</x:v>
      </x:c>
      <x:c r="F314" t="str">
        <x:v>PM-ALB-B</x:v>
      </x:c>
      <x:c r="G314" t="str">
        <x:v>精密金屬加工件</x:v>
      </x:c>
      <x:c r="H314" s="20" t="n">
        <x:v>45673</x:v>
      </x:c>
      <x:c r="I314" t="n">
        <x:v>300</x:v>
      </x:c>
      <x:c r="J314" t="n">
        <x:v>16238.79</x:v>
      </x:c>
      <x:c r="K314" t="str">
        <x:v>TWD</x:v>
      </x:c>
      <x:c r="L314" s="20" t="n">
        <x:v>45700</x:v>
      </x:c>
      <x:c r="M314" s="20" t="n">
        <x:v>45705</x:v>
      </x:c>
      <x:c r="N314" t="str">
        <x:v>否</x:v>
      </x:c>
      <x:c r="O314" t="str">
        <x:v>重要</x:v>
      </x:c>
      <x:c r="P314" t="str">
        <x:v>部分出貨</x:v>
      </x:c>
    </x:row>
    <x:row r="315" ht="20" customHeight="1">
      <x:c r="A315" t="str">
        <x:v>SO00314-01</x:v>
      </x:c>
      <x:c r="B315" t="str">
        <x:v>SO00314</x:v>
      </x:c>
      <x:c r="C315" t="str">
        <x:v>Q00481</x:v>
      </x:c>
      <x:c r="D315" t="str">
        <x:v>IAT-007</x:v>
      </x:c>
      <x:c r="E315" t="str">
        <x:v>S04</x:v>
      </x:c>
      <x:c r="F315" t="str">
        <x:v>PM-ALB-A</x:v>
      </x:c>
      <x:c r="G315" t="str">
        <x:v>精密金屬加工件</x:v>
      </x:c>
      <x:c r="H315" s="20" t="n">
        <x:v>45677</x:v>
      </x:c>
      <x:c r="I315" t="n">
        <x:v>500</x:v>
      </x:c>
      <x:c r="J315" t="n">
        <x:v>10784.69</x:v>
      </x:c>
      <x:c r="K315" t="str">
        <x:v>TWD</x:v>
      </x:c>
      <x:c r="L315" s="20" t="n">
        <x:v>45704</x:v>
      </x:c>
      <x:c r="M315" s="20" t="n">
        <x:v>45704</x:v>
      </x:c>
      <x:c r="N315" t="str">
        <x:v>否</x:v>
      </x:c>
      <x:c r="O315" t="str">
        <x:v>重要</x:v>
      </x:c>
      <x:c r="P315" t="str">
        <x:v>部分出貨</x:v>
      </x:c>
    </x:row>
    <x:row r="316" ht="20" customHeight="1">
      <x:c r="A316" t="str">
        <x:v>SO00315-01</x:v>
      </x:c>
      <x:c r="B316" t="str">
        <x:v>SO00315</x:v>
      </x:c>
      <x:c r="C316" t="str">
        <x:v>Q00482</x:v>
      </x:c>
      <x:c r="D316" t="str">
        <x:v>AFT-007</x:v>
      </x:c>
      <x:c r="E316" t="str">
        <x:v>S04</x:v>
      </x:c>
      <x:c r="F316" t="str">
        <x:v>AUTO-BS-A</x:v>
      </x:c>
      <x:c r="G316" t="str">
        <x:v>汽車精密零組件</x:v>
      </x:c>
      <x:c r="H316" s="20" t="n">
        <x:v>45669</x:v>
      </x:c>
      <x:c r="I316" t="n">
        <x:v>13000</x:v>
      </x:c>
      <x:c r="J316" t="n">
        <x:v>762.61</x:v>
      </x:c>
      <x:c r="K316" t="str">
        <x:v>TWD</x:v>
      </x:c>
      <x:c r="L316" s="20" t="n">
        <x:v>45683</x:v>
      </x:c>
      <x:c r="M316" s="20" t="n">
        <x:v>45684</x:v>
      </x:c>
      <x:c r="N316" t="str">
        <x:v>否</x:v>
      </x:c>
      <x:c r="O316" t="str">
        <x:v>一般</x:v>
      </x:c>
      <x:c r="P316" t="str">
        <x:v>部分出貨</x:v>
      </x:c>
    </x:row>
    <x:row r="317" ht="20" customHeight="1">
      <x:c r="A317" t="str">
        <x:v>SO00316-01</x:v>
      </x:c>
      <x:c r="B317" t="str">
        <x:v>SO00316</x:v>
      </x:c>
      <x:c r="C317" t="str">
        <x:v>Q00484</x:v>
      </x:c>
      <x:c r="D317" t="str">
        <x:v>IAT-001</x:v>
      </x:c>
      <x:c r="E317" t="str">
        <x:v>S05</x:v>
      </x:c>
      <x:c r="F317" t="str">
        <x:v>AUTO-FL-B</x:v>
      </x:c>
      <x:c r="G317" t="str">
        <x:v>汽車精密零組件</x:v>
      </x:c>
      <x:c r="H317" s="20" t="n">
        <x:v>45682</x:v>
      </x:c>
      <x:c r="I317" t="n">
        <x:v>3000</x:v>
      </x:c>
      <x:c r="J317" t="n">
        <x:v>1401.5</x:v>
      </x:c>
      <x:c r="K317" t="str">
        <x:v>TWD</x:v>
      </x:c>
      <x:c r="L317" s="20" t="n">
        <x:v>45699</x:v>
      </x:c>
      <x:c r="M317" s="20" t="n">
        <x:v>45699</x:v>
      </x:c>
      <x:c r="N317" t="str">
        <x:v>否</x:v>
      </x:c>
      <x:c r="O317" t="str">
        <x:v>一般</x:v>
      </x:c>
      <x:c r="P317" t="str">
        <x:v>部分出貨</x:v>
      </x:c>
    </x:row>
    <x:row r="318" ht="20" customHeight="1">
      <x:c r="A318" t="str">
        <x:v>SO00317-01</x:v>
      </x:c>
      <x:c r="B318" t="str">
        <x:v>SO00317</x:v>
      </x:c>
      <x:c r="C318" t="str">
        <x:v>Q00485</x:v>
      </x:c>
      <x:c r="D318" t="str">
        <x:v>IAT-010</x:v>
      </x:c>
      <x:c r="E318" t="str">
        <x:v>S04</x:v>
      </x:c>
      <x:c r="F318" t="str">
        <x:v>SEMI-CHB-B</x:v>
      </x:c>
      <x:c r="G318" t="str">
        <x:v>半導體設備零組件</x:v>
      </x:c>
      <x:c r="H318" s="20" t="n">
        <x:v>45667</x:v>
      </x:c>
      <x:c r="I318" t="n">
        <x:v>60</x:v>
      </x:c>
      <x:c r="J318" t="n">
        <x:v>139008.8</x:v>
      </x:c>
      <x:c r="K318" t="str">
        <x:v>TWD</x:v>
      </x:c>
      <x:c r="L318" s="20" t="n">
        <x:v>45726</x:v>
      </x:c>
      <x:c r="M318" s="20" t="n">
        <x:v>45726</x:v>
      </x:c>
      <x:c r="N318" t="str">
        <x:v>否</x:v>
      </x:c>
      <x:c r="O318" t="str">
        <x:v>重要</x:v>
      </x:c>
      <x:c r="P318" t="str">
        <x:v>部分出貨</x:v>
      </x:c>
    </x:row>
    <x:row r="319" ht="20" customHeight="1">
      <x:c r="A319" t="str">
        <x:v>SO00318-01</x:v>
      </x:c>
      <x:c r="B319" t="str">
        <x:v>SO00318</x:v>
      </x:c>
      <x:c r="C319" t="str">
        <x:v>Q00486</x:v>
      </x:c>
      <x:c r="D319" t="str">
        <x:v>IAT-002</x:v>
      </x:c>
      <x:c r="E319" t="str">
        <x:v>S01</x:v>
      </x:c>
      <x:c r="F319" t="str">
        <x:v>PM-SUS-B</x:v>
      </x:c>
      <x:c r="G319" t="str">
        <x:v>精密金屬加工件</x:v>
      </x:c>
      <x:c r="H319" s="20" t="n">
        <x:v>45681</x:v>
      </x:c>
      <x:c r="I319" t="n">
        <x:v>300</x:v>
      </x:c>
      <x:c r="J319" t="n">
        <x:v>14360.85</x:v>
      </x:c>
      <x:c r="K319" t="str">
        <x:v>TWD</x:v>
      </x:c>
      <x:c r="L319" s="20" t="n">
        <x:v>45707</x:v>
      </x:c>
      <x:c r="M319" s="20" t="n">
        <x:v>45709</x:v>
      </x:c>
      <x:c r="N319" t="str">
        <x:v>否</x:v>
      </x:c>
      <x:c r="O319" t="str">
        <x:v>一般</x:v>
      </x:c>
      <x:c r="P319" t="str">
        <x:v>部分出貨</x:v>
      </x:c>
    </x:row>
    <x:row r="320" ht="20" customHeight="1">
      <x:c r="A320" t="str">
        <x:v>SO00319-01</x:v>
      </x:c>
      <x:c r="B320" t="str">
        <x:v>SO00319</x:v>
      </x:c>
      <x:c r="C320" t="str">
        <x:v>Q00487</x:v>
      </x:c>
      <x:c r="D320" t="str">
        <x:v>IAT-006</x:v>
      </x:c>
      <x:c r="E320" t="str">
        <x:v>S01</x:v>
      </x:c>
      <x:c r="F320" t="str">
        <x:v>AUTO-KN-B</x:v>
      </x:c>
      <x:c r="G320" t="str">
        <x:v>汽車精密零組件</x:v>
      </x:c>
      <x:c r="H320" s="20" t="n">
        <x:v>45694</x:v>
      </x:c>
      <x:c r="I320" t="n">
        <x:v>3000</x:v>
      </x:c>
      <x:c r="J320" t="n">
        <x:v>3420.68</x:v>
      </x:c>
      <x:c r="K320" t="str">
        <x:v>TWD</x:v>
      </x:c>
      <x:c r="L320" s="20" t="n">
        <x:v>45718</x:v>
      </x:c>
      <x:c r="M320" s="20" t="n">
        <x:v>45722</x:v>
      </x:c>
      <x:c r="N320" t="str">
        <x:v>否</x:v>
      </x:c>
      <x:c r="O320" t="str">
        <x:v>重要</x:v>
      </x:c>
      <x:c r="P320" t="str">
        <x:v>部分出貨</x:v>
      </x:c>
    </x:row>
    <x:row r="321" ht="20" customHeight="1">
      <x:c r="A321" t="str">
        <x:v>SO00320-01</x:v>
      </x:c>
      <x:c r="B321" t="str">
        <x:v>SO00320</x:v>
      </x:c>
      <x:c r="C321" t="str">
        <x:v>Q00489</x:v>
      </x:c>
      <x:c r="D321" t="str">
        <x:v>EMS-002</x:v>
      </x:c>
      <x:c r="E321" t="str">
        <x:v>S05</x:v>
      </x:c>
      <x:c r="F321" t="str">
        <x:v>AUTO-BRK-B</x:v>
      </x:c>
      <x:c r="G321" t="str">
        <x:v>汽車精密零組件</x:v>
      </x:c>
      <x:c r="H321" s="20" t="n">
        <x:v>45687</x:v>
      </x:c>
      <x:c r="I321" t="n">
        <x:v>3000</x:v>
      </x:c>
      <x:c r="J321" t="n">
        <x:v>2142.76</x:v>
      </x:c>
      <x:c r="K321" t="str">
        <x:v>TWD</x:v>
      </x:c>
      <x:c r="L321" s="20" t="n">
        <x:v>45704</x:v>
      </x:c>
      <x:c r="M321" s="20" t="n">
        <x:v>45705</x:v>
      </x:c>
      <x:c r="N321" t="str">
        <x:v>否</x:v>
      </x:c>
      <x:c r="O321" t="str">
        <x:v>重要</x:v>
      </x:c>
      <x:c r="P321" t="str">
        <x:v>部分出貨</x:v>
      </x:c>
    </x:row>
    <x:row r="322" ht="20" customHeight="1">
      <x:c r="A322" t="str">
        <x:v>SO00321-01</x:v>
      </x:c>
      <x:c r="B322" t="str">
        <x:v>SO00321</x:v>
      </x:c>
      <x:c r="C322" t="str">
        <x:v>Q00490</x:v>
      </x:c>
      <x:c r="D322" t="str">
        <x:v>AUT-011</x:v>
      </x:c>
      <x:c r="E322" t="str">
        <x:v>S02</x:v>
      </x:c>
      <x:c r="F322" t="str">
        <x:v>MECH-CON-A</x:v>
      </x:c>
      <x:c r="G322" t="str">
        <x:v>機電／自動化模組</x:v>
      </x:c>
      <x:c r="H322" s="20" t="n">
        <x:v>45685</x:v>
      </x:c>
      <x:c r="I322" t="n">
        <x:v>10</x:v>
      </x:c>
      <x:c r="J322" t="n">
        <x:v>114343.89</x:v>
      </x:c>
      <x:c r="K322" t="str">
        <x:v>TWD</x:v>
      </x:c>
      <x:c r="L322" s="20" t="n">
        <x:v>45710</x:v>
      </x:c>
      <x:c r="M322" s="20" t="n">
        <x:v>45721</x:v>
      </x:c>
      <x:c r="N322" t="str">
        <x:v>是</x:v>
      </x:c>
      <x:c r="O322" t="str">
        <x:v>重要</x:v>
      </x:c>
      <x:c r="P322" t="str">
        <x:v>已出貨</x:v>
      </x:c>
    </x:row>
    <x:row r="323" ht="20" customHeight="1">
      <x:c r="A323" t="str">
        <x:v>SO00322-01</x:v>
      </x:c>
      <x:c r="B323" t="str">
        <x:v>SO00322</x:v>
      </x:c>
      <x:c r="C323" t="str">
        <x:v>Q00491</x:v>
      </x:c>
      <x:c r="D323" t="str">
        <x:v>AUT-013</x:v>
      </x:c>
      <x:c r="E323" t="str">
        <x:v>S01</x:v>
      </x:c>
      <x:c r="F323" t="str">
        <x:v>MECH-CON-A</x:v>
      </x:c>
      <x:c r="G323" t="str">
        <x:v>機電／自動化模組</x:v>
      </x:c>
      <x:c r="H323" s="20" t="n">
        <x:v>45675</x:v>
      </x:c>
      <x:c r="I323" t="n">
        <x:v>20</x:v>
      </x:c>
      <x:c r="J323" t="n">
        <x:v>113188.83</x:v>
      </x:c>
      <x:c r="K323" t="str">
        <x:v>TWD</x:v>
      </x:c>
      <x:c r="L323" s="20" t="n">
        <x:v>45708</x:v>
      </x:c>
      <x:c r="M323" s="20" t="n">
        <x:v>45711</x:v>
      </x:c>
      <x:c r="N323" t="str">
        <x:v>否</x:v>
      </x:c>
      <x:c r="O323" t="str">
        <x:v>重要</x:v>
      </x:c>
      <x:c r="P323" t="str">
        <x:v>已出貨</x:v>
      </x:c>
    </x:row>
    <x:row r="324" ht="20" customHeight="1">
      <x:c r="A324" t="str">
        <x:v>SO00323-01</x:v>
      </x:c>
      <x:c r="B324" t="str">
        <x:v>SO00323</x:v>
      </x:c>
      <x:c r="C324" t="str">
        <x:v>Q00493</x:v>
      </x:c>
      <x:c r="D324" t="str">
        <x:v>AFT-001</x:v>
      </x:c>
      <x:c r="E324" t="str">
        <x:v>S05</x:v>
      </x:c>
      <x:c r="F324" t="str">
        <x:v>PM-ALB-B</x:v>
      </x:c>
      <x:c r="G324" t="str">
        <x:v>精密金屬加工件</x:v>
      </x:c>
      <x:c r="H324" s="20" t="n">
        <x:v>45684</x:v>
      </x:c>
      <x:c r="I324" t="n">
        <x:v>1600</x:v>
      </x:c>
      <x:c r="J324" t="n">
        <x:v>15641.46</x:v>
      </x:c>
      <x:c r="K324" t="str">
        <x:v>TWD</x:v>
      </x:c>
      <x:c r="L324" s="20" t="n">
        <x:v>45716</x:v>
      </x:c>
      <x:c r="M324" s="20" t="n">
        <x:v>45716</x:v>
      </x:c>
      <x:c r="N324" t="str">
        <x:v>否</x:v>
      </x:c>
      <x:c r="O324" t="str">
        <x:v>重要</x:v>
      </x:c>
      <x:c r="P324" t="str">
        <x:v>部分出貨</x:v>
      </x:c>
    </x:row>
    <x:row r="325" ht="20" customHeight="1">
      <x:c r="A325" t="str">
        <x:v>SO00324-01</x:v>
      </x:c>
      <x:c r="B325" t="str">
        <x:v>SO00324</x:v>
      </x:c>
      <x:c r="C325" t="str">
        <x:v>Q00495</x:v>
      </x:c>
      <x:c r="D325" t="str">
        <x:v>EMS-001</x:v>
      </x:c>
      <x:c r="E325" t="str">
        <x:v>S02</x:v>
      </x:c>
      <x:c r="F325" t="str">
        <x:v>PM-SUS-B</x:v>
      </x:c>
      <x:c r="G325" t="str">
        <x:v>精密金屬加工件</x:v>
      </x:c>
      <x:c r="H325" s="20" t="n">
        <x:v>45683</x:v>
      </x:c>
      <x:c r="I325" t="n">
        <x:v>500</x:v>
      </x:c>
      <x:c r="J325" t="n">
        <x:v>15248.35</x:v>
      </x:c>
      <x:c r="K325" t="str">
        <x:v>TWD</x:v>
      </x:c>
      <x:c r="L325" s="20" t="n">
        <x:v>45703</x:v>
      </x:c>
      <x:c r="M325" s="20" t="n">
        <x:v>45712</x:v>
      </x:c>
      <x:c r="N325" t="str">
        <x:v>是</x:v>
      </x:c>
      <x:c r="O325" t="str">
        <x:v>一般</x:v>
      </x:c>
      <x:c r="P325" t="str">
        <x:v>部分出貨</x:v>
      </x:c>
    </x:row>
    <x:row r="326" ht="20" customHeight="1">
      <x:c r="A326" t="str">
        <x:v>SO00325-01</x:v>
      </x:c>
      <x:c r="B326" t="str">
        <x:v>SO00325</x:v>
      </x:c>
      <x:c r="C326" t="str">
        <x:v>Q00496</x:v>
      </x:c>
      <x:c r="D326" t="str">
        <x:v>IAT-007</x:v>
      </x:c>
      <x:c r="E326" t="str">
        <x:v>S04</x:v>
      </x:c>
      <x:c r="F326" t="str">
        <x:v>SEMI-CHB-B</x:v>
      </x:c>
      <x:c r="G326" t="str">
        <x:v>半導體設備零組件</x:v>
      </x:c>
      <x:c r="H326" s="20" t="n">
        <x:v>45669</x:v>
      </x:c>
      <x:c r="I326" t="n">
        <x:v>160</x:v>
      </x:c>
      <x:c r="J326" t="n">
        <x:v>137223.47</x:v>
      </x:c>
      <x:c r="K326" t="str">
        <x:v>TWD</x:v>
      </x:c>
      <x:c r="L326" s="20" t="n">
        <x:v>45725</x:v>
      </x:c>
      <x:c r="M326" s="20" t="n">
        <x:v>45725</x:v>
      </x:c>
      <x:c r="N326" t="str">
        <x:v>否</x:v>
      </x:c>
      <x:c r="O326" t="str">
        <x:v>重要</x:v>
      </x:c>
      <x:c r="P326" t="str">
        <x:v>部分出貨</x:v>
      </x:c>
    </x:row>
    <x:row r="327" ht="20" customHeight="1">
      <x:c r="A327" t="str">
        <x:v>SO00326-01</x:v>
      </x:c>
      <x:c r="B327" t="str">
        <x:v>SO00326</x:v>
      </x:c>
      <x:c r="C327" t="str">
        <x:v>Q00497</x:v>
      </x:c>
      <x:c r="D327" t="str">
        <x:v>EMS-005</x:v>
      </x:c>
      <x:c r="E327" t="str">
        <x:v>S01</x:v>
      </x:c>
      <x:c r="F327" t="str">
        <x:v>MECH-CON-A</x:v>
      </x:c>
      <x:c r="G327" t="str">
        <x:v>機電／自動化模組</x:v>
      </x:c>
      <x:c r="H327" s="20" t="n">
        <x:v>45687</x:v>
      </x:c>
      <x:c r="I327" t="n">
        <x:v>10</x:v>
      </x:c>
      <x:c r="J327" t="n">
        <x:v>110235.21</x:v>
      </x:c>
      <x:c r="K327" t="str">
        <x:v>TWD</x:v>
      </x:c>
      <x:c r="L327" s="20" t="n">
        <x:v>45717</x:v>
      </x:c>
      <x:c r="M327" s="20" t="n">
        <x:v>45723</x:v>
      </x:c>
      <x:c r="N327" t="str">
        <x:v>否</x:v>
      </x:c>
      <x:c r="O327" t="str">
        <x:v>VIP</x:v>
      </x:c>
      <x:c r="P327" t="str">
        <x:v>已出貨</x:v>
      </x:c>
    </x:row>
    <x:row r="328" ht="20" customHeight="1">
      <x:c r="A328" t="str">
        <x:v>SO00327-01</x:v>
      </x:c>
      <x:c r="B328" t="str">
        <x:v>SO00327</x:v>
      </x:c>
      <x:c r="C328" t="str">
        <x:v>Q00499</x:v>
      </x:c>
      <x:c r="D328" t="str">
        <x:v>EMS-002</x:v>
      </x:c>
      <x:c r="E328" t="str">
        <x:v>S05</x:v>
      </x:c>
      <x:c r="F328" t="str">
        <x:v>MECH-STG-A</x:v>
      </x:c>
      <x:c r="G328" t="str">
        <x:v>機電／自動化模組</x:v>
      </x:c>
      <x:c r="H328" s="20" t="n">
        <x:v>45669</x:v>
      </x:c>
      <x:c r="I328" t="n">
        <x:v>30</x:v>
      </x:c>
      <x:c r="J328" t="n">
        <x:v>137082.83</x:v>
      </x:c>
      <x:c r="K328" t="str">
        <x:v>TWD</x:v>
      </x:c>
      <x:c r="L328" s="20" t="n">
        <x:v>45710</x:v>
      </x:c>
      <x:c r="M328" s="20" t="n">
        <x:v>45710</x:v>
      </x:c>
      <x:c r="N328" t="str">
        <x:v>否</x:v>
      </x:c>
      <x:c r="O328" t="str">
        <x:v>重要</x:v>
      </x:c>
      <x:c r="P328" t="str">
        <x:v>部分出貨</x:v>
      </x:c>
    </x:row>
    <x:row r="329" ht="20" customHeight="1">
      <x:c r="A329" t="str">
        <x:v>SO00328-01</x:v>
      </x:c>
      <x:c r="B329" t="str">
        <x:v>SO00328</x:v>
      </x:c>
      <x:c r="C329" t="str">
        <x:v>Q00500</x:v>
      </x:c>
      <x:c r="D329" t="str">
        <x:v>EMS-008</x:v>
      </x:c>
      <x:c r="E329" t="str">
        <x:v>S02</x:v>
      </x:c>
      <x:c r="F329" t="str">
        <x:v>SEMI-CHB-A</x:v>
      </x:c>
      <x:c r="G329" t="str">
        <x:v>半導體設備零組件</x:v>
      </x:c>
      <x:c r="H329" s="20" t="n">
        <x:v>45689</x:v>
      </x:c>
      <x:c r="I329" t="n">
        <x:v>80</x:v>
      </x:c>
      <x:c r="J329" t="n">
        <x:v>87181.52</x:v>
      </x:c>
      <x:c r="K329" t="str">
        <x:v>TWD</x:v>
      </x:c>
      <x:c r="L329" s="20" t="n">
        <x:v>45739</x:v>
      </x:c>
      <x:c r="M329" s="20" t="n">
        <x:v>45739</x:v>
      </x:c>
      <x:c r="N329" t="str">
        <x:v>否</x:v>
      </x:c>
      <x:c r="O329" t="str">
        <x:v>重要</x:v>
      </x:c>
      <x:c r="P329" t="str">
        <x:v>部分出貨</x:v>
      </x:c>
    </x:row>
    <x:row r="330" ht="20" customHeight="1">
      <x:c r="A330" t="str">
        <x:v>SO00329-01</x:v>
      </x:c>
      <x:c r="B330" t="str">
        <x:v>SO00329</x:v>
      </x:c>
      <x:c r="C330" t="str">
        <x:v>Q00502</x:v>
      </x:c>
      <x:c r="D330" t="str">
        <x:v>SEM-003</x:v>
      </x:c>
      <x:c r="E330" t="str">
        <x:v>S02</x:v>
      </x:c>
      <x:c r="F330" t="str">
        <x:v>SEMI-WH-B</x:v>
      </x:c>
      <x:c r="G330" t="str">
        <x:v>半導體設備零組件</x:v>
      </x:c>
      <x:c r="H330" s="20" t="n">
        <x:v>45664</x:v>
      </x:c>
      <x:c r="I330" t="n">
        <x:v>60</x:v>
      </x:c>
      <x:c r="J330" t="n">
        <x:v>159672.27</x:v>
      </x:c>
      <x:c r="K330" t="str">
        <x:v>TWD</x:v>
      </x:c>
      <x:c r="L330" s="20" t="n">
        <x:v>45712</x:v>
      </x:c>
      <x:c r="M330" s="20" t="n">
        <x:v>45727</x:v>
      </x:c>
      <x:c r="N330" t="str">
        <x:v>是</x:v>
      </x:c>
      <x:c r="O330" t="str">
        <x:v>重要</x:v>
      </x:c>
      <x:c r="P330" t="str">
        <x:v>部分出貨</x:v>
      </x:c>
    </x:row>
    <x:row r="331" ht="20" customHeight="1">
      <x:c r="A331" t="str">
        <x:v>SO00330-01</x:v>
      </x:c>
      <x:c r="B331" t="str">
        <x:v>SO00330</x:v>
      </x:c>
      <x:c r="C331" t="str">
        <x:v>Q00503</x:v>
      </x:c>
      <x:c r="D331" t="str">
        <x:v>AFT-003</x:v>
      </x:c>
      <x:c r="E331" t="str">
        <x:v>S01</x:v>
      </x:c>
      <x:c r="F331" t="str">
        <x:v>AUTO-FL-B</x:v>
      </x:c>
      <x:c r="G331" t="str">
        <x:v>汽車精密零組件</x:v>
      </x:c>
      <x:c r="H331" s="20" t="n">
        <x:v>45666</x:v>
      </x:c>
      <x:c r="I331" t="n">
        <x:v>10000</x:v>
      </x:c>
      <x:c r="J331" t="n">
        <x:v>1427.37</x:v>
      </x:c>
      <x:c r="K331" t="str">
        <x:v>TWD</x:v>
      </x:c>
      <x:c r="L331" s="20" t="n">
        <x:v>45682</x:v>
      </x:c>
      <x:c r="M331" s="20" t="n">
        <x:v>45682</x:v>
      </x:c>
      <x:c r="N331" t="str">
        <x:v>否</x:v>
      </x:c>
      <x:c r="O331" t="str">
        <x:v>重要</x:v>
      </x:c>
      <x:c r="P331" t="str">
        <x:v>部分出貨</x:v>
      </x:c>
    </x:row>
    <x:row r="332" ht="20" customHeight="1">
      <x:c r="A332" t="str">
        <x:v>SO00331-01</x:v>
      </x:c>
      <x:c r="B332" t="str">
        <x:v>SO00331</x:v>
      </x:c>
      <x:c r="C332" t="str">
        <x:v>Q00507</x:v>
      </x:c>
      <x:c r="D332" t="str">
        <x:v>IAT-009</x:v>
      </x:c>
      <x:c r="E332" t="str">
        <x:v>S04</x:v>
      </x:c>
      <x:c r="F332" t="str">
        <x:v>MECH-STG-A</x:v>
      </x:c>
      <x:c r="G332" t="str">
        <x:v>機電／自動化模組</x:v>
      </x:c>
      <x:c r="H332" s="20" t="n">
        <x:v>45723</x:v>
      </x:c>
      <x:c r="I332" t="n">
        <x:v>30</x:v>
      </x:c>
      <x:c r="J332" t="n">
        <x:v>136734.74</x:v>
      </x:c>
      <x:c r="K332" t="str">
        <x:v>TWD</x:v>
      </x:c>
      <x:c r="L332" s="20" t="n">
        <x:v>45756</x:v>
      </x:c>
      <x:c r="M332" s="20" t="n">
        <x:v>45762</x:v>
      </x:c>
      <x:c r="N332" t="str">
        <x:v>是</x:v>
      </x:c>
      <x:c r="O332" t="str">
        <x:v>重要</x:v>
      </x:c>
      <x:c r="P332" t="str">
        <x:v>已出貨</x:v>
      </x:c>
    </x:row>
    <x:row r="333" ht="20" customHeight="1">
      <x:c r="A333" t="str">
        <x:v>SO00332-01</x:v>
      </x:c>
      <x:c r="B333" t="str">
        <x:v>SO00332</x:v>
      </x:c>
      <x:c r="C333" t="str">
        <x:v>Q00510</x:v>
      </x:c>
      <x:c r="D333" t="str">
        <x:v>SEM-004</x:v>
      </x:c>
      <x:c r="E333" t="str">
        <x:v>S02</x:v>
      </x:c>
      <x:c r="F333" t="str">
        <x:v>MECH-STG-A</x:v>
      </x:c>
      <x:c r="G333" t="str">
        <x:v>機電／自動化模組</x:v>
      </x:c>
      <x:c r="H333" s="20" t="n">
        <x:v>45719</x:v>
      </x:c>
      <x:c r="I333" t="n">
        <x:v>10</x:v>
      </x:c>
      <x:c r="J333" t="n">
        <x:v>136815.63</x:v>
      </x:c>
      <x:c r="K333" t="str">
        <x:v>TWD</x:v>
      </x:c>
      <x:c r="L333" s="20" t="n">
        <x:v>45750</x:v>
      </x:c>
      <x:c r="M333" s="20" t="n">
        <x:v>45761</x:v>
      </x:c>
      <x:c r="N333" t="str">
        <x:v>是</x:v>
      </x:c>
      <x:c r="O333" t="str">
        <x:v>一般</x:v>
      </x:c>
      <x:c r="P333" t="str">
        <x:v>已出貨</x:v>
      </x:c>
    </x:row>
    <x:row r="334" ht="20" customHeight="1">
      <x:c r="A334" t="str">
        <x:v>SO00333-01</x:v>
      </x:c>
      <x:c r="B334" t="str">
        <x:v>SO00333</x:v>
      </x:c>
      <x:c r="C334" t="str">
        <x:v>Q00511</x:v>
      </x:c>
      <x:c r="D334" t="str">
        <x:v>IAT-007</x:v>
      </x:c>
      <x:c r="E334" t="str">
        <x:v>S04</x:v>
      </x:c>
      <x:c r="F334" t="str">
        <x:v>AUTO-BS-A</x:v>
      </x:c>
      <x:c r="G334" t="str">
        <x:v>汽車精密零組件</x:v>
      </x:c>
      <x:c r="H334" s="20" t="n">
        <x:v>45724</x:v>
      </x:c>
      <x:c r="I334" t="n">
        <x:v>5000</x:v>
      </x:c>
      <x:c r="J334" t="n">
        <x:v>781.58</x:v>
      </x:c>
      <x:c r="K334" t="str">
        <x:v>TWD</x:v>
      </x:c>
      <x:c r="L334" s="20" t="n">
        <x:v>45738</x:v>
      </x:c>
      <x:c r="M334" s="20" t="n">
        <x:v>45738</x:v>
      </x:c>
      <x:c r="N334" t="str">
        <x:v>否</x:v>
      </x:c>
      <x:c r="O334" t="str">
        <x:v>重要</x:v>
      </x:c>
      <x:c r="P334" t="str">
        <x:v>部分出貨</x:v>
      </x:c>
    </x:row>
    <x:row r="335" ht="20" customHeight="1">
      <x:c r="A335" t="str">
        <x:v>SO00334-01</x:v>
      </x:c>
      <x:c r="B335" t="str">
        <x:v>SO00334</x:v>
      </x:c>
      <x:c r="C335" t="str">
        <x:v>Q00512</x:v>
      </x:c>
      <x:c r="D335" t="str">
        <x:v>EMS-004</x:v>
      </x:c>
      <x:c r="E335" t="str">
        <x:v>S03</x:v>
      </x:c>
      <x:c r="F335" t="str">
        <x:v>AUTO-BS-A</x:v>
      </x:c>
      <x:c r="G335" t="str">
        <x:v>汽車精密零組件</x:v>
      </x:c>
      <x:c r="H335" s="20" t="n">
        <x:v>45716</x:v>
      </x:c>
      <x:c r="I335" t="n">
        <x:v>3000</x:v>
      </x:c>
      <x:c r="J335" t="n">
        <x:v>728.14</x:v>
      </x:c>
      <x:c r="K335" t="str">
        <x:v>TWD</x:v>
      </x:c>
      <x:c r="L335" s="20" t="n">
        <x:v>45730</x:v>
      </x:c>
      <x:c r="M335" s="20" t="n">
        <x:v>45730</x:v>
      </x:c>
      <x:c r="N335" t="str">
        <x:v>否</x:v>
      </x:c>
      <x:c r="O335" t="str">
        <x:v>VIP</x:v>
      </x:c>
      <x:c r="P335" t="str">
        <x:v>部分出貨</x:v>
      </x:c>
    </x:row>
    <x:row r="336" ht="20" customHeight="1">
      <x:c r="A336" t="str">
        <x:v>SO00335-01</x:v>
      </x:c>
      <x:c r="B336" t="str">
        <x:v>SO00335</x:v>
      </x:c>
      <x:c r="C336" t="str">
        <x:v>Q00513</x:v>
      </x:c>
      <x:c r="D336" t="str">
        <x:v>SEM-010</x:v>
      </x:c>
      <x:c r="E336" t="str">
        <x:v>S01</x:v>
      </x:c>
      <x:c r="F336" t="str">
        <x:v>PM-SUS-B</x:v>
      </x:c>
      <x:c r="G336" t="str">
        <x:v>精密金屬加工件</x:v>
      </x:c>
      <x:c r="H336" s="20" t="n">
        <x:v>45717</x:v>
      </x:c>
      <x:c r="I336" t="n">
        <x:v>1200</x:v>
      </x:c>
      <x:c r="J336" t="n">
        <x:v>14698.54</x:v>
      </x:c>
      <x:c r="K336" t="str">
        <x:v>TWD</x:v>
      </x:c>
      <x:c r="L336" s="20" t="n">
        <x:v>45738</x:v>
      </x:c>
      <x:c r="M336" s="20" t="n">
        <x:v>45745</x:v>
      </x:c>
      <x:c r="N336" t="str">
        <x:v>是</x:v>
      </x:c>
      <x:c r="O336" t="str">
        <x:v>一般</x:v>
      </x:c>
      <x:c r="P336" t="str">
        <x:v>部分出貨</x:v>
      </x:c>
    </x:row>
    <x:row r="337" ht="20" customHeight="1">
      <x:c r="A337" t="str">
        <x:v>SO00336-01</x:v>
      </x:c>
      <x:c r="B337" t="str">
        <x:v>SO00336</x:v>
      </x:c>
      <x:c r="C337" t="str">
        <x:v>Q00515</x:v>
      </x:c>
      <x:c r="D337" t="str">
        <x:v>SEM-007</x:v>
      </x:c>
      <x:c r="E337" t="str">
        <x:v>S03</x:v>
      </x:c>
      <x:c r="F337" t="str">
        <x:v>SEMI-WH-B</x:v>
      </x:c>
      <x:c r="G337" t="str">
        <x:v>半導體設備零組件</x:v>
      </x:c>
      <x:c r="H337" s="20" t="n">
        <x:v>45718</x:v>
      </x:c>
      <x:c r="I337" t="n">
        <x:v>120</x:v>
      </x:c>
      <x:c r="J337" t="n">
        <x:v>166582.73</x:v>
      </x:c>
      <x:c r="K337" t="str">
        <x:v>TWD</x:v>
      </x:c>
      <x:c r="L337" s="20" t="n">
        <x:v>45767</x:v>
      </x:c>
      <x:c r="M337" s="20" t="n">
        <x:v>45778</x:v>
      </x:c>
      <x:c r="N337" t="str">
        <x:v>是</x:v>
      </x:c>
      <x:c r="O337" t="str">
        <x:v>重要</x:v>
      </x:c>
      <x:c r="P337" t="str">
        <x:v>部分出貨</x:v>
      </x:c>
    </x:row>
    <x:row r="338" ht="20" customHeight="1">
      <x:c r="A338" t="str">
        <x:v>SO00337-01</x:v>
      </x:c>
      <x:c r="B338" t="str">
        <x:v>SO00337</x:v>
      </x:c>
      <x:c r="C338" t="str">
        <x:v>Q00516</x:v>
      </x:c>
      <x:c r="D338" t="str">
        <x:v>SEM-005</x:v>
      </x:c>
      <x:c r="E338" t="str">
        <x:v>S06</x:v>
      </x:c>
      <x:c r="F338" t="str">
        <x:v>MECH-CON-B</x:v>
      </x:c>
      <x:c r="G338" t="str">
        <x:v>機電／自動化模組</x:v>
      </x:c>
      <x:c r="H338" s="20" t="n">
        <x:v>45722</x:v>
      </x:c>
      <x:c r="I338" t="n">
        <x:v>20</x:v>
      </x:c>
      <x:c r="J338" t="n">
        <x:v>155707.6</x:v>
      </x:c>
      <x:c r="K338" t="str">
        <x:v>TWD</x:v>
      </x:c>
      <x:c r="L338" s="20" t="n">
        <x:v>45756</x:v>
      </x:c>
      <x:c r="M338" s="20" t="n">
        <x:v>45766</x:v>
      </x:c>
      <x:c r="N338" t="str">
        <x:v>是</x:v>
      </x:c>
      <x:c r="O338" t="str">
        <x:v>重要</x:v>
      </x:c>
      <x:c r="P338" t="str">
        <x:v>已出貨</x:v>
      </x:c>
    </x:row>
    <x:row r="339" ht="20" customHeight="1">
      <x:c r="A339" t="str">
        <x:v>SO00338-01</x:v>
      </x:c>
      <x:c r="B339" t="str">
        <x:v>SO00338</x:v>
      </x:c>
      <x:c r="C339" t="str">
        <x:v>Q00517</x:v>
      </x:c>
      <x:c r="D339" t="str">
        <x:v>EMS-007</x:v>
      </x:c>
      <x:c r="E339" t="str">
        <x:v>S04</x:v>
      </x:c>
      <x:c r="F339" t="str">
        <x:v>AUTO-BS-A</x:v>
      </x:c>
      <x:c r="G339" t="str">
        <x:v>汽車精密零組件</x:v>
      </x:c>
      <x:c r="H339" s="20" t="n">
        <x:v>45703</x:v>
      </x:c>
      <x:c r="I339" t="n">
        <x:v>7000</x:v>
      </x:c>
      <x:c r="J339" t="n">
        <x:v>779.48</x:v>
      </x:c>
      <x:c r="K339" t="str">
        <x:v>TWD</x:v>
      </x:c>
      <x:c r="L339" s="20" t="n">
        <x:v>45714</x:v>
      </x:c>
      <x:c r="M339" s="20" t="n">
        <x:v>45716</x:v>
      </x:c>
      <x:c r="N339" t="str">
        <x:v>是</x:v>
      </x:c>
      <x:c r="O339" t="str">
        <x:v>一般</x:v>
      </x:c>
      <x:c r="P339" t="str">
        <x:v>部分出貨</x:v>
      </x:c>
    </x:row>
    <x:row r="340" ht="20" customHeight="1">
      <x:c r="A340" t="str">
        <x:v>SO00339-01</x:v>
      </x:c>
      <x:c r="B340" t="str">
        <x:v>SO00339</x:v>
      </x:c>
      <x:c r="C340" t="str">
        <x:v>Q00518</x:v>
      </x:c>
      <x:c r="D340" t="str">
        <x:v>IAT-004</x:v>
      </x:c>
      <x:c r="E340" t="str">
        <x:v>S05</x:v>
      </x:c>
      <x:c r="F340" t="str">
        <x:v>AUTO-FL-B</x:v>
      </x:c>
      <x:c r="G340" t="str">
        <x:v>汽車精密零組件</x:v>
      </x:c>
      <x:c r="H340" s="20" t="n">
        <x:v>45699</x:v>
      </x:c>
      <x:c r="I340" t="n">
        <x:v>3000</x:v>
      </x:c>
      <x:c r="J340" t="n">
        <x:v>1433.31</x:v>
      </x:c>
      <x:c r="K340" t="str">
        <x:v>TWD</x:v>
      </x:c>
      <x:c r="L340" s="20" t="n">
        <x:v>45712</x:v>
      </x:c>
      <x:c r="M340" s="20" t="n">
        <x:v>45716</x:v>
      </x:c>
      <x:c r="N340" t="str">
        <x:v>是</x:v>
      </x:c>
      <x:c r="O340" t="str">
        <x:v>重要</x:v>
      </x:c>
      <x:c r="P340" t="str">
        <x:v>部分出貨</x:v>
      </x:c>
    </x:row>
    <x:row r="341" ht="20" customHeight="1">
      <x:c r="A341" t="str">
        <x:v>SO00340-01</x:v>
      </x:c>
      <x:c r="B341" t="str">
        <x:v>SO00340</x:v>
      </x:c>
      <x:c r="C341" t="str">
        <x:v>Q00520</x:v>
      </x:c>
      <x:c r="D341" t="str">
        <x:v>AUT-004</x:v>
      </x:c>
      <x:c r="E341" t="str">
        <x:v>S03</x:v>
      </x:c>
      <x:c r="F341" t="str">
        <x:v>AUTO-BRK-B</x:v>
      </x:c>
      <x:c r="G341" t="str">
        <x:v>汽車精密零組件</x:v>
      </x:c>
      <x:c r="H341" s="20" t="n">
        <x:v>45711</x:v>
      </x:c>
      <x:c r="I341" t="n">
        <x:v>5000</x:v>
      </x:c>
      <x:c r="J341" t="n">
        <x:v>2067.76</x:v>
      </x:c>
      <x:c r="K341" t="str">
        <x:v>TWD</x:v>
      </x:c>
      <x:c r="L341" s="20" t="n">
        <x:v>45727</x:v>
      </x:c>
      <x:c r="M341" s="20" t="n">
        <x:v>45732</x:v>
      </x:c>
      <x:c r="N341" t="str">
        <x:v>是</x:v>
      </x:c>
      <x:c r="O341" t="str">
        <x:v>VIP</x:v>
      </x:c>
      <x:c r="P341" t="str">
        <x:v>部分出貨</x:v>
      </x:c>
    </x:row>
    <x:row r="342" ht="20" customHeight="1">
      <x:c r="A342" t="str">
        <x:v>SO00341-01</x:v>
      </x:c>
      <x:c r="B342" t="str">
        <x:v>SO00341</x:v>
      </x:c>
      <x:c r="C342" t="str">
        <x:v>Q00522</x:v>
      </x:c>
      <x:c r="D342" t="str">
        <x:v>AFT-002</x:v>
      </x:c>
      <x:c r="E342" t="str">
        <x:v>S04</x:v>
      </x:c>
      <x:c r="F342" t="str">
        <x:v>AUTO-LG-A</x:v>
      </x:c>
      <x:c r="G342" t="str">
        <x:v>汽車精密零組件</x:v>
      </x:c>
      <x:c r="H342" s="20" t="n">
        <x:v>45707</x:v>
      </x:c>
      <x:c r="I342" t="n">
        <x:v>13000</x:v>
      </x:c>
      <x:c r="J342" t="n">
        <x:v>1074.11</x:v>
      </x:c>
      <x:c r="K342" t="str">
        <x:v>TWD</x:v>
      </x:c>
      <x:c r="L342" s="20" t="n">
        <x:v>45721</x:v>
      </x:c>
      <x:c r="M342" s="20" t="n">
        <x:v>45725</x:v>
      </x:c>
      <x:c r="N342" t="str">
        <x:v>是</x:v>
      </x:c>
      <x:c r="O342" t="str">
        <x:v>一般</x:v>
      </x:c>
      <x:c r="P342" t="str">
        <x:v>部分出貨</x:v>
      </x:c>
    </x:row>
    <x:row r="343" ht="20" customHeight="1">
      <x:c r="A343" t="str">
        <x:v>SO00342-01</x:v>
      </x:c>
      <x:c r="B343" t="str">
        <x:v>SO00342</x:v>
      </x:c>
      <x:c r="C343" t="str">
        <x:v>Q00523</x:v>
      </x:c>
      <x:c r="D343" t="str">
        <x:v>AUT-014</x:v>
      </x:c>
      <x:c r="E343" t="str">
        <x:v>S06</x:v>
      </x:c>
      <x:c r="F343" t="str">
        <x:v>AUTO-LG-B</x:v>
      </x:c>
      <x:c r="G343" t="str">
        <x:v>汽車精密零組件</x:v>
      </x:c>
      <x:c r="H343" s="20" t="n">
        <x:v>45727</x:v>
      </x:c>
      <x:c r="I343" t="n">
        <x:v>7000</x:v>
      </x:c>
      <x:c r="J343" t="n">
        <x:v>1083.76</x:v>
      </x:c>
      <x:c r="K343" t="str">
        <x:v>TWD</x:v>
      </x:c>
      <x:c r="L343" s="20" t="n">
        <x:v>45746</x:v>
      </x:c>
      <x:c r="M343" s="20" t="n">
        <x:v>45746</x:v>
      </x:c>
      <x:c r="N343" t="str">
        <x:v>否</x:v>
      </x:c>
      <x:c r="O343" t="str">
        <x:v>重要</x:v>
      </x:c>
      <x:c r="P343" t="str">
        <x:v>部分出貨</x:v>
      </x:c>
    </x:row>
    <x:row r="344" ht="20" customHeight="1">
      <x:c r="A344" t="str">
        <x:v>SO00343-01</x:v>
      </x:c>
      <x:c r="B344" t="str">
        <x:v>SO00343</x:v>
      </x:c>
      <x:c r="C344" t="str">
        <x:v>Q00525</x:v>
      </x:c>
      <x:c r="D344" t="str">
        <x:v>AUT-013</x:v>
      </x:c>
      <x:c r="E344" t="str">
        <x:v>S01</x:v>
      </x:c>
      <x:c r="F344" t="str">
        <x:v>PM-SUS-B</x:v>
      </x:c>
      <x:c r="G344" t="str">
        <x:v>精密金屬加工件</x:v>
      </x:c>
      <x:c r="H344" s="20" t="n">
        <x:v>45723</x:v>
      </x:c>
      <x:c r="I344" t="n">
        <x:v>800</x:v>
      </x:c>
      <x:c r="J344" t="n">
        <x:v>14633.14</x:v>
      </x:c>
      <x:c r="K344" t="str">
        <x:v>TWD</x:v>
      </x:c>
      <x:c r="L344" s="20" t="n">
        <x:v>45752</x:v>
      </x:c>
      <x:c r="M344" s="20" t="n">
        <x:v>45752</x:v>
      </x:c>
      <x:c r="N344" t="str">
        <x:v>否</x:v>
      </x:c>
      <x:c r="O344" t="str">
        <x:v>重要</x:v>
      </x:c>
      <x:c r="P344" t="str">
        <x:v>部分出貨</x:v>
      </x:c>
    </x:row>
    <x:row r="345" ht="20" customHeight="1">
      <x:c r="A345" t="str">
        <x:v>SO00344-01</x:v>
      </x:c>
      <x:c r="B345" t="str">
        <x:v>SO00344</x:v>
      </x:c>
      <x:c r="C345" t="str">
        <x:v>Q00526</x:v>
      </x:c>
      <x:c r="D345" t="str">
        <x:v>EMS-003</x:v>
      </x:c>
      <x:c r="E345" t="str">
        <x:v>S05</x:v>
      </x:c>
      <x:c r="F345" t="str">
        <x:v>AUTO-KN-B</x:v>
      </x:c>
      <x:c r="G345" t="str">
        <x:v>汽車精密零組件</x:v>
      </x:c>
      <x:c r="H345" s="20" t="n">
        <x:v>45710</x:v>
      </x:c>
      <x:c r="I345" t="n">
        <x:v>3000</x:v>
      </x:c>
      <x:c r="J345" t="n">
        <x:v>3830.54</x:v>
      </x:c>
      <x:c r="K345" t="str">
        <x:v>TWD</x:v>
      </x:c>
      <x:c r="L345" s="20" t="n">
        <x:v>45733</x:v>
      </x:c>
      <x:c r="M345" s="20" t="n">
        <x:v>45735</x:v>
      </x:c>
      <x:c r="N345" t="str">
        <x:v>是</x:v>
      </x:c>
      <x:c r="O345" t="str">
        <x:v>一般</x:v>
      </x:c>
      <x:c r="P345" t="str">
        <x:v>部分出貨</x:v>
      </x:c>
    </x:row>
    <x:row r="346" ht="20" customHeight="1">
      <x:c r="A346" t="str">
        <x:v>SO00345-01</x:v>
      </x:c>
      <x:c r="B346" t="str">
        <x:v>SO00345</x:v>
      </x:c>
      <x:c r="C346" t="str">
        <x:v>Q00527</x:v>
      </x:c>
      <x:c r="D346" t="str">
        <x:v>AFT-005</x:v>
      </x:c>
      <x:c r="E346" t="str">
        <x:v>S05</x:v>
      </x:c>
      <x:c r="F346" t="str">
        <x:v>PM-BRG-B</x:v>
      </x:c>
      <x:c r="G346" t="str">
        <x:v>精密金屬加工件</x:v>
      </x:c>
      <x:c r="H346" s="20" t="n">
        <x:v>45700</x:v>
      </x:c>
      <x:c r="I346" t="n">
        <x:v>800</x:v>
      </x:c>
      <x:c r="J346" t="n">
        <x:v>7894.55</x:v>
      </x:c>
      <x:c r="K346" t="str">
        <x:v>TWD</x:v>
      </x:c>
      <x:c r="L346" s="20" t="n">
        <x:v>45721</x:v>
      </x:c>
      <x:c r="M346" s="20" t="n">
        <x:v>45721</x:v>
      </x:c>
      <x:c r="N346" t="str">
        <x:v>否</x:v>
      </x:c>
      <x:c r="O346" t="str">
        <x:v>VIP</x:v>
      </x:c>
      <x:c r="P346" t="str">
        <x:v>部分出貨</x:v>
      </x:c>
    </x:row>
    <x:row r="347" ht="20" customHeight="1">
      <x:c r="A347" t="str">
        <x:v>SO00346-01</x:v>
      </x:c>
      <x:c r="B347" t="str">
        <x:v>SO00346</x:v>
      </x:c>
      <x:c r="C347" t="str">
        <x:v>Q00529</x:v>
      </x:c>
      <x:c r="D347" t="str">
        <x:v>SEM-001</x:v>
      </x:c>
      <x:c r="E347" t="str">
        <x:v>S01</x:v>
      </x:c>
      <x:c r="F347" t="str">
        <x:v>PM-VAC-A</x:v>
      </x:c>
      <x:c r="G347" t="str">
        <x:v>精密金屬加工件</x:v>
      </x:c>
      <x:c r="H347" s="20" t="n">
        <x:v>45709</x:v>
      </x:c>
      <x:c r="I347" t="n">
        <x:v>300</x:v>
      </x:c>
      <x:c r="J347" t="n">
        <x:v>15870.65</x:v>
      </x:c>
      <x:c r="K347" t="str">
        <x:v>TWD</x:v>
      </x:c>
      <x:c r="L347" s="20" t="n">
        <x:v>45742</x:v>
      </x:c>
      <x:c r="M347" s="20" t="n">
        <x:v>45742</x:v>
      </x:c>
      <x:c r="N347" t="str">
        <x:v>否</x:v>
      </x:c>
      <x:c r="O347" t="str">
        <x:v>重要</x:v>
      </x:c>
      <x:c r="P347" t="str">
        <x:v>部分出貨</x:v>
      </x:c>
    </x:row>
    <x:row r="348" ht="20" customHeight="1">
      <x:c r="A348" t="str">
        <x:v>SO00347-01</x:v>
      </x:c>
      <x:c r="B348" t="str">
        <x:v>SO00347</x:v>
      </x:c>
      <x:c r="C348" t="str">
        <x:v>Q00531</x:v>
      </x:c>
      <x:c r="D348" t="str">
        <x:v>EMS-002</x:v>
      </x:c>
      <x:c r="E348" t="str">
        <x:v>S05</x:v>
      </x:c>
      <x:c r="F348" t="str">
        <x:v>PM-SUS-A</x:v>
      </x:c>
      <x:c r="G348" t="str">
        <x:v>精密金屬加工件</x:v>
      </x:c>
      <x:c r="H348" s="20" t="n">
        <x:v>45701</x:v>
      </x:c>
      <x:c r="I348" t="n">
        <x:v>1200</x:v>
      </x:c>
      <x:c r="J348" t="n">
        <x:v>10068.24</x:v>
      </x:c>
      <x:c r="K348" t="str">
        <x:v>TWD</x:v>
      </x:c>
      <x:c r="L348" s="20" t="n">
        <x:v>45720</x:v>
      </x:c>
      <x:c r="M348" s="20" t="n">
        <x:v>45724</x:v>
      </x:c>
      <x:c r="N348" t="str">
        <x:v>是</x:v>
      </x:c>
      <x:c r="O348" t="str">
        <x:v>重要</x:v>
      </x:c>
      <x:c r="P348" t="str">
        <x:v>部分出貨</x:v>
      </x:c>
    </x:row>
    <x:row r="349" ht="20" customHeight="1">
      <x:c r="A349" t="str">
        <x:v>SO00348-01</x:v>
      </x:c>
      <x:c r="B349" t="str">
        <x:v>SO00348</x:v>
      </x:c>
      <x:c r="C349" t="str">
        <x:v>Q00534</x:v>
      </x:c>
      <x:c r="D349" t="str">
        <x:v>SEM-009</x:v>
      </x:c>
      <x:c r="E349" t="str">
        <x:v>S02</x:v>
      </x:c>
      <x:c r="F349" t="str">
        <x:v>SEMI-CHB-A</x:v>
      </x:c>
      <x:c r="G349" t="str">
        <x:v>半導體設備零組件</x:v>
      </x:c>
      <x:c r="H349" s="20" t="n">
        <x:v>45714</x:v>
      </x:c>
      <x:c r="I349" t="n">
        <x:v>60</x:v>
      </x:c>
      <x:c r="J349" t="n">
        <x:v>96179.92</x:v>
      </x:c>
      <x:c r="K349" t="str">
        <x:v>TWD</x:v>
      </x:c>
      <x:c r="L349" s="20" t="n">
        <x:v>45749</x:v>
      </x:c>
      <x:c r="M349" s="20" t="n">
        <x:v>45759</x:v>
      </x:c>
      <x:c r="N349" t="str">
        <x:v>是</x:v>
      </x:c>
      <x:c r="O349" t="str">
        <x:v>重要</x:v>
      </x:c>
      <x:c r="P349" t="str">
        <x:v>部分出貨</x:v>
      </x:c>
    </x:row>
    <x:row r="350" ht="20" customHeight="1">
      <x:c r="A350" t="str">
        <x:v>SO00349-01</x:v>
      </x:c>
      <x:c r="B350" t="str">
        <x:v>SO00349</x:v>
      </x:c>
      <x:c r="C350" t="str">
        <x:v>Q00535</x:v>
      </x:c>
      <x:c r="D350" t="str">
        <x:v>SEM-010</x:v>
      </x:c>
      <x:c r="E350" t="str">
        <x:v>S01</x:v>
      </x:c>
      <x:c r="F350" t="str">
        <x:v>MECH-STG-B</x:v>
      </x:c>
      <x:c r="G350" t="str">
        <x:v>機電／自動化模組</x:v>
      </x:c>
      <x:c r="H350" s="20" t="n">
        <x:v>45721</x:v>
      </x:c>
      <x:c r="I350" t="n">
        <x:v>20</x:v>
      </x:c>
      <x:c r="J350" t="n">
        <x:v>189427.05</x:v>
      </x:c>
      <x:c r="K350" t="str">
        <x:v>TWD</x:v>
      </x:c>
      <x:c r="L350" s="20" t="n">
        <x:v>45778</x:v>
      </x:c>
      <x:c r="M350" s="20" t="n">
        <x:v>45778</x:v>
      </x:c>
      <x:c r="N350" t="str">
        <x:v>否</x:v>
      </x:c>
      <x:c r="O350" t="str">
        <x:v>一般</x:v>
      </x:c>
      <x:c r="P350" t="str">
        <x:v>已出貨</x:v>
      </x:c>
    </x:row>
    <x:row r="351" ht="20" customHeight="1">
      <x:c r="A351" t="str">
        <x:v>SO00350-01</x:v>
      </x:c>
      <x:c r="B351" t="str">
        <x:v>SO00350</x:v>
      </x:c>
      <x:c r="C351" t="str">
        <x:v>Q00536</x:v>
      </x:c>
      <x:c r="D351" t="str">
        <x:v>SEM-009</x:v>
      </x:c>
      <x:c r="E351" t="str">
        <x:v>S02</x:v>
      </x:c>
      <x:c r="F351" t="str">
        <x:v>PM-ALB-B</x:v>
      </x:c>
      <x:c r="G351" t="str">
        <x:v>精密金屬加工件</x:v>
      </x:c>
      <x:c r="H351" s="20" t="n">
        <x:v>45727</x:v>
      </x:c>
      <x:c r="I351" t="n">
        <x:v>300</x:v>
      </x:c>
      <x:c r="J351" t="n">
        <x:v>16021.49</x:v>
      </x:c>
      <x:c r="K351" t="str">
        <x:v>TWD</x:v>
      </x:c>
      <x:c r="L351" s="20" t="n">
        <x:v>45755</x:v>
      </x:c>
      <x:c r="M351" s="20" t="n">
        <x:v>45756</x:v>
      </x:c>
      <x:c r="N351" t="str">
        <x:v>否</x:v>
      </x:c>
      <x:c r="O351" t="str">
        <x:v>重要</x:v>
      </x:c>
      <x:c r="P351" t="str">
        <x:v>部分出貨</x:v>
      </x:c>
    </x:row>
    <x:row r="352" ht="20" customHeight="1">
      <x:c r="A352" t="str">
        <x:v>SO00351-01</x:v>
      </x:c>
      <x:c r="B352" t="str">
        <x:v>SO00351</x:v>
      </x:c>
      <x:c r="C352" t="str">
        <x:v>Q00537</x:v>
      </x:c>
      <x:c r="D352" t="str">
        <x:v>IAT-005</x:v>
      </x:c>
      <x:c r="E352" t="str">
        <x:v>S02</x:v>
      </x:c>
      <x:c r="F352" t="str">
        <x:v>AUTO-FL-B</x:v>
      </x:c>
      <x:c r="G352" t="str">
        <x:v>汽車精密零組件</x:v>
      </x:c>
      <x:c r="H352" s="20" t="n">
        <x:v>45753</x:v>
      </x:c>
      <x:c r="I352" t="n">
        <x:v>13000</x:v>
      </x:c>
      <x:c r="J352" t="n">
        <x:v>1519.28</x:v>
      </x:c>
      <x:c r="K352" t="str">
        <x:v>TWD</x:v>
      </x:c>
      <x:c r="L352" s="20" t="n">
        <x:v>45768</x:v>
      </x:c>
      <x:c r="M352" s="20" t="n">
        <x:v>45772</x:v>
      </x:c>
      <x:c r="N352" t="str">
        <x:v>否</x:v>
      </x:c>
      <x:c r="O352" t="str">
        <x:v>一般</x:v>
      </x:c>
      <x:c r="P352" t="str">
        <x:v>部分出貨</x:v>
      </x:c>
    </x:row>
    <x:row r="353" ht="20" customHeight="1">
      <x:c r="A353" t="str">
        <x:v>SO00352-01</x:v>
      </x:c>
      <x:c r="B353" t="str">
        <x:v>SO00352</x:v>
      </x:c>
      <x:c r="C353" t="str">
        <x:v>Q00538</x:v>
      </x:c>
      <x:c r="D353" t="str">
        <x:v>AUT-004</x:v>
      </x:c>
      <x:c r="E353" t="str">
        <x:v>S03</x:v>
      </x:c>
      <x:c r="F353" t="str">
        <x:v>PM-BRG-A</x:v>
      </x:c>
      <x:c r="G353" t="str">
        <x:v>精密金屬加工件</x:v>
      </x:c>
      <x:c r="H353" s="20" t="n">
        <x:v>45755</x:v>
      </x:c>
      <x:c r="I353" t="n">
        <x:v>500</x:v>
      </x:c>
      <x:c r="J353" t="n">
        <x:v>6698.42</x:v>
      </x:c>
      <x:c r="K353" t="str">
        <x:v>TWD</x:v>
      </x:c>
      <x:c r="L353" s="20" t="n">
        <x:v>45773</x:v>
      </x:c>
      <x:c r="M353" s="20" t="n">
        <x:v>45773</x:v>
      </x:c>
      <x:c r="N353" t="str">
        <x:v>否</x:v>
      </x:c>
      <x:c r="O353" t="str">
        <x:v>VIP</x:v>
      </x:c>
      <x:c r="P353" t="str">
        <x:v>部分出貨</x:v>
      </x:c>
    </x:row>
    <x:row r="354" ht="20" customHeight="1">
      <x:c r="A354" t="str">
        <x:v>SO00353-01</x:v>
      </x:c>
      <x:c r="B354" t="str">
        <x:v>SO00353</x:v>
      </x:c>
      <x:c r="C354" t="str">
        <x:v>Q00541</x:v>
      </x:c>
      <x:c r="D354" t="str">
        <x:v>AFT-005</x:v>
      </x:c>
      <x:c r="E354" t="str">
        <x:v>S05</x:v>
      </x:c>
      <x:c r="F354" t="str">
        <x:v>AUTO-LG-A</x:v>
      </x:c>
      <x:c r="G354" t="str">
        <x:v>汽車精密零組件</x:v>
      </x:c>
      <x:c r="H354" s="20" t="n">
        <x:v>45740</x:v>
      </x:c>
      <x:c r="I354" t="n">
        <x:v>13000</x:v>
      </x:c>
      <x:c r="J354" t="n">
        <x:v>1137.48</x:v>
      </x:c>
      <x:c r="K354" t="str">
        <x:v>TWD</x:v>
      </x:c>
      <x:c r="L354" s="20" t="n">
        <x:v>45753</x:v>
      </x:c>
      <x:c r="M354" s="20" t="n">
        <x:v>45757</x:v>
      </x:c>
      <x:c r="N354" t="str">
        <x:v>是</x:v>
      </x:c>
      <x:c r="O354" t="str">
        <x:v>VIP</x:v>
      </x:c>
      <x:c r="P354" t="str">
        <x:v>部分出貨</x:v>
      </x:c>
    </x:row>
    <x:row r="355" ht="20" customHeight="1">
      <x:c r="A355" t="str">
        <x:v>SO00354-01</x:v>
      </x:c>
      <x:c r="B355" t="str">
        <x:v>SO00354</x:v>
      </x:c>
      <x:c r="C355" t="str">
        <x:v>Q00542</x:v>
      </x:c>
      <x:c r="D355" t="str">
        <x:v>EMS-007</x:v>
      </x:c>
      <x:c r="E355" t="str">
        <x:v>S04</x:v>
      </x:c>
      <x:c r="F355" t="str">
        <x:v>AUTO-KN-B</x:v>
      </x:c>
      <x:c r="G355" t="str">
        <x:v>汽車精密零組件</x:v>
      </x:c>
      <x:c r="H355" s="20" t="n">
        <x:v>45752</x:v>
      </x:c>
      <x:c r="I355" t="n">
        <x:v>5000</x:v>
      </x:c>
      <x:c r="J355" t="n">
        <x:v>3833.04</x:v>
      </x:c>
      <x:c r="K355" t="str">
        <x:v>TWD</x:v>
      </x:c>
      <x:c r="L355" s="20" t="n">
        <x:v>45771</x:v>
      </x:c>
      <x:c r="M355" s="20" t="n">
        <x:v>45776</x:v>
      </x:c>
      <x:c r="N355" t="str">
        <x:v>是</x:v>
      </x:c>
      <x:c r="O355" t="str">
        <x:v>一般</x:v>
      </x:c>
      <x:c r="P355" t="str">
        <x:v>部分出貨</x:v>
      </x:c>
    </x:row>
    <x:row r="356" ht="20" customHeight="1">
      <x:c r="A356" t="str">
        <x:v>SO00355-01</x:v>
      </x:c>
      <x:c r="B356" t="str">
        <x:v>SO00355</x:v>
      </x:c>
      <x:c r="C356" t="str">
        <x:v>Q00545</x:v>
      </x:c>
      <x:c r="D356" t="str">
        <x:v>AUT-010</x:v>
      </x:c>
      <x:c r="E356" t="str">
        <x:v>S05</x:v>
      </x:c>
      <x:c r="F356" t="str">
        <x:v>AUTO-FL-B</x:v>
      </x:c>
      <x:c r="G356" t="str">
        <x:v>汽車精密零組件</x:v>
      </x:c>
      <x:c r="H356" s="20" t="n">
        <x:v>45731</x:v>
      </x:c>
      <x:c r="I356" t="n">
        <x:v>7000</x:v>
      </x:c>
      <x:c r="J356" t="n">
        <x:v>1582.82</x:v>
      </x:c>
      <x:c r="K356" t="str">
        <x:v>TWD</x:v>
      </x:c>
      <x:c r="L356" s="20" t="n">
        <x:v>45745</x:v>
      </x:c>
      <x:c r="M356" s="20" t="n">
        <x:v>45749</x:v>
      </x:c>
      <x:c r="N356" t="str">
        <x:v>是</x:v>
      </x:c>
      <x:c r="O356" t="str">
        <x:v>VIP</x:v>
      </x:c>
      <x:c r="P356" t="str">
        <x:v>部分出貨</x:v>
      </x:c>
    </x:row>
    <x:row r="357" ht="20" customHeight="1">
      <x:c r="A357" t="str">
        <x:v>SO00356-01</x:v>
      </x:c>
      <x:c r="B357" t="str">
        <x:v>SO00356</x:v>
      </x:c>
      <x:c r="C357" t="str">
        <x:v>Q00546</x:v>
      </x:c>
      <x:c r="D357" t="str">
        <x:v>IAT-003</x:v>
      </x:c>
      <x:c r="E357" t="str">
        <x:v>S04</x:v>
      </x:c>
      <x:c r="F357" t="str">
        <x:v>MECH-CON-A</x:v>
      </x:c>
      <x:c r="G357" t="str">
        <x:v>機電／自動化模組</x:v>
      </x:c>
      <x:c r="H357" s="20" t="n">
        <x:v>45731</x:v>
      </x:c>
      <x:c r="I357" t="n">
        <x:v>50</x:v>
      </x:c>
      <x:c r="J357" t="n">
        <x:v>117194.5</x:v>
      </x:c>
      <x:c r="K357" t="str">
        <x:v>TWD</x:v>
      </x:c>
      <x:c r="L357" s="20" t="n">
        <x:v>45763</x:v>
      </x:c>
      <x:c r="M357" s="20" t="n">
        <x:v>45768</x:v>
      </x:c>
      <x:c r="N357" t="str">
        <x:v>否</x:v>
      </x:c>
      <x:c r="O357" t="str">
        <x:v>重要</x:v>
      </x:c>
      <x:c r="P357" t="str">
        <x:v>已出貨</x:v>
      </x:c>
    </x:row>
    <x:row r="358" ht="20" customHeight="1">
      <x:c r="A358" t="str">
        <x:v>SO00357-01</x:v>
      </x:c>
      <x:c r="B358" t="str">
        <x:v>SO00357</x:v>
      </x:c>
      <x:c r="C358" t="str">
        <x:v>Q00547</x:v>
      </x:c>
      <x:c r="D358" t="str">
        <x:v>AUT-005</x:v>
      </x:c>
      <x:c r="E358" t="str">
        <x:v>S04</x:v>
      </x:c>
      <x:c r="F358" t="str">
        <x:v>AUTO-BS-A</x:v>
      </x:c>
      <x:c r="G358" t="str">
        <x:v>汽車精密零組件</x:v>
      </x:c>
      <x:c r="H358" s="20" t="n">
        <x:v>45737</x:v>
      </x:c>
      <x:c r="I358" t="n">
        <x:v>10000</x:v>
      </x:c>
      <x:c r="J358" t="n">
        <x:v>764.1</x:v>
      </x:c>
      <x:c r="K358" t="str">
        <x:v>TWD</x:v>
      </x:c>
      <x:c r="L358" s="20" t="n">
        <x:v>45749</x:v>
      </x:c>
      <x:c r="M358" s="20" t="n">
        <x:v>45750</x:v>
      </x:c>
      <x:c r="N358" t="str">
        <x:v>否</x:v>
      </x:c>
      <x:c r="O358" t="str">
        <x:v>VIP</x:v>
      </x:c>
      <x:c r="P358" t="str">
        <x:v>部分出貨</x:v>
      </x:c>
    </x:row>
    <x:row r="359" ht="20" customHeight="1">
      <x:c r="A359" t="str">
        <x:v>SO00358-01</x:v>
      </x:c>
      <x:c r="B359" t="str">
        <x:v>SO00358</x:v>
      </x:c>
      <x:c r="C359" t="str">
        <x:v>Q00548</x:v>
      </x:c>
      <x:c r="D359" t="str">
        <x:v>IAT-003</x:v>
      </x:c>
      <x:c r="E359" t="str">
        <x:v>S04</x:v>
      </x:c>
      <x:c r="F359" t="str">
        <x:v>PM-SUS-B</x:v>
      </x:c>
      <x:c r="G359" t="str">
        <x:v>精密金屬加工件</x:v>
      </x:c>
      <x:c r="H359" s="20" t="n">
        <x:v>45746</x:v>
      </x:c>
      <x:c r="I359" t="n">
        <x:v>1600</x:v>
      </x:c>
      <x:c r="J359" t="n">
        <x:v>13955.69</x:v>
      </x:c>
      <x:c r="K359" t="str">
        <x:v>TWD</x:v>
      </x:c>
      <x:c r="L359" s="20" t="n">
        <x:v>45776</x:v>
      </x:c>
      <x:c r="M359" s="20" t="n">
        <x:v>45776</x:v>
      </x:c>
      <x:c r="N359" t="str">
        <x:v>否</x:v>
      </x:c>
      <x:c r="O359" t="str">
        <x:v>重要</x:v>
      </x:c>
      <x:c r="P359" t="str">
        <x:v>部分出貨</x:v>
      </x:c>
    </x:row>
    <x:row r="360" ht="20" customHeight="1">
      <x:c r="A360" t="str">
        <x:v>SO00359-01</x:v>
      </x:c>
      <x:c r="B360" t="str">
        <x:v>SO00359</x:v>
      </x:c>
      <x:c r="C360" t="str">
        <x:v>Q00549</x:v>
      </x:c>
      <x:c r="D360" t="str">
        <x:v>AUT-006</x:v>
      </x:c>
      <x:c r="E360" t="str">
        <x:v>S03</x:v>
      </x:c>
      <x:c r="F360" t="str">
        <x:v>AUTO-KN-B</x:v>
      </x:c>
      <x:c r="G360" t="str">
        <x:v>汽車精密零組件</x:v>
      </x:c>
      <x:c r="H360" s="20" t="n">
        <x:v>45749</x:v>
      </x:c>
      <x:c r="I360" t="n">
        <x:v>13000</x:v>
      </x:c>
      <x:c r="J360" t="n">
        <x:v>3741.24</x:v>
      </x:c>
      <x:c r="K360" t="str">
        <x:v>TWD</x:v>
      </x:c>
      <x:c r="L360" s="20" t="n">
        <x:v>45769</x:v>
      </x:c>
      <x:c r="M360" s="20" t="n">
        <x:v>45775</x:v>
      </x:c>
      <x:c r="N360" t="str">
        <x:v>是</x:v>
      </x:c>
      <x:c r="O360" t="str">
        <x:v>一般</x:v>
      </x:c>
      <x:c r="P360" t="str">
        <x:v>部分出貨</x:v>
      </x:c>
    </x:row>
    <x:row r="361" ht="20" customHeight="1">
      <x:c r="A361" t="str">
        <x:v>SO00360-01</x:v>
      </x:c>
      <x:c r="B361" t="str">
        <x:v>SO00360</x:v>
      </x:c>
      <x:c r="C361" t="str">
        <x:v>Q00550</x:v>
      </x:c>
      <x:c r="D361" t="str">
        <x:v>IAT-007</x:v>
      </x:c>
      <x:c r="E361" t="str">
        <x:v>S04</x:v>
      </x:c>
      <x:c r="F361" t="str">
        <x:v>SEMI-WH-A</x:v>
      </x:c>
      <x:c r="G361" t="str">
        <x:v>半導體設備零組件</x:v>
      </x:c>
      <x:c r="H361" s="20" t="n">
        <x:v>45743</x:v>
      </x:c>
      <x:c r="I361" t="n">
        <x:v>160</x:v>
      </x:c>
      <x:c r="J361" t="n">
        <x:v>115964.42</x:v>
      </x:c>
      <x:c r="K361" t="str">
        <x:v>TWD</x:v>
      </x:c>
      <x:c r="L361" s="20" t="n">
        <x:v>45797</x:v>
      </x:c>
      <x:c r="M361" s="20" t="n">
        <x:v>45797</x:v>
      </x:c>
      <x:c r="N361" t="str">
        <x:v>否</x:v>
      </x:c>
      <x:c r="O361" t="str">
        <x:v>重要</x:v>
      </x:c>
      <x:c r="P361" t="str">
        <x:v>部分出貨</x:v>
      </x:c>
    </x:row>
    <x:row r="362" ht="20" customHeight="1">
      <x:c r="A362" t="str">
        <x:v>SO00361-01</x:v>
      </x:c>
      <x:c r="B362" t="str">
        <x:v>SO00361</x:v>
      </x:c>
      <x:c r="C362" t="str">
        <x:v>Q00551</x:v>
      </x:c>
      <x:c r="D362" t="str">
        <x:v>AFT-002</x:v>
      </x:c>
      <x:c r="E362" t="str">
        <x:v>S04</x:v>
      </x:c>
      <x:c r="F362" t="str">
        <x:v>AUTO-FL-A</x:v>
      </x:c>
      <x:c r="G362" t="str">
        <x:v>汽車精密零組件</x:v>
      </x:c>
      <x:c r="H362" s="20" t="n">
        <x:v>45741</x:v>
      </x:c>
      <x:c r="I362" t="n">
        <x:v>7000</x:v>
      </x:c>
      <x:c r="J362" t="n">
        <x:v>1311.01</x:v>
      </x:c>
      <x:c r="K362" t="str">
        <x:v>TWD</x:v>
      </x:c>
      <x:c r="L362" s="20" t="n">
        <x:v>45759</x:v>
      </x:c>
      <x:c r="M362" s="20" t="n">
        <x:v>45759</x:v>
      </x:c>
      <x:c r="N362" t="str">
        <x:v>否</x:v>
      </x:c>
      <x:c r="O362" t="str">
        <x:v>一般</x:v>
      </x:c>
      <x:c r="P362" t="str">
        <x:v>部分出貨</x:v>
      </x:c>
    </x:row>
    <x:row r="363" ht="20" customHeight="1">
      <x:c r="A363" t="str">
        <x:v>SO00362-01</x:v>
      </x:c>
      <x:c r="B363" t="str">
        <x:v>SO00362</x:v>
      </x:c>
      <x:c r="C363" t="str">
        <x:v>Q00552</x:v>
      </x:c>
      <x:c r="D363" t="str">
        <x:v>AUT-003</x:v>
      </x:c>
      <x:c r="E363" t="str">
        <x:v>S03</x:v>
      </x:c>
      <x:c r="F363" t="str">
        <x:v>MECH-STG-A</x:v>
      </x:c>
      <x:c r="G363" t="str">
        <x:v>機電／自動化模組</x:v>
      </x:c>
      <x:c r="H363" s="20" t="n">
        <x:v>45731</x:v>
      </x:c>
      <x:c r="I363" t="n">
        <x:v>50</x:v>
      </x:c>
      <x:c r="J363" t="n">
        <x:v>137404.45</x:v>
      </x:c>
      <x:c r="K363" t="str">
        <x:v>TWD</x:v>
      </x:c>
      <x:c r="L363" s="20" t="n">
        <x:v>45775</x:v>
      </x:c>
      <x:c r="M363" s="20" t="n">
        <x:v>45775</x:v>
      </x:c>
      <x:c r="N363" t="str">
        <x:v>否</x:v>
      </x:c>
      <x:c r="O363" t="str">
        <x:v>VIP</x:v>
      </x:c>
      <x:c r="P363" t="str">
        <x:v>已出貨</x:v>
      </x:c>
    </x:row>
    <x:row r="364" ht="20" customHeight="1">
      <x:c r="A364" t="str">
        <x:v>SO00363-01</x:v>
      </x:c>
      <x:c r="B364" t="str">
        <x:v>SO00363</x:v>
      </x:c>
      <x:c r="C364" t="str">
        <x:v>Q00553</x:v>
      </x:c>
      <x:c r="D364" t="str">
        <x:v>IAT-007</x:v>
      </x:c>
      <x:c r="E364" t="str">
        <x:v>S04</x:v>
      </x:c>
      <x:c r="F364" t="str">
        <x:v>AUTO-BS-B</x:v>
      </x:c>
      <x:c r="G364" t="str">
        <x:v>汽車精密零組件</x:v>
      </x:c>
      <x:c r="H364" s="20" t="n">
        <x:v>45752</x:v>
      </x:c>
      <x:c r="I364" t="n">
        <x:v>13000</x:v>
      </x:c>
      <x:c r="J364" t="n">
        <x:v>930.83</x:v>
      </x:c>
      <x:c r="K364" t="str">
        <x:v>TWD</x:v>
      </x:c>
      <x:c r="L364" s="20" t="n">
        <x:v>45766</x:v>
      </x:c>
      <x:c r="M364" s="20" t="n">
        <x:v>45767</x:v>
      </x:c>
      <x:c r="N364" t="str">
        <x:v>否</x:v>
      </x:c>
      <x:c r="O364" t="str">
        <x:v>重要</x:v>
      </x:c>
      <x:c r="P364" t="str">
        <x:v>部分出貨</x:v>
      </x:c>
    </x:row>
    <x:row r="365" ht="20" customHeight="1">
      <x:c r="A365" t="str">
        <x:v>SO00364-01</x:v>
      </x:c>
      <x:c r="B365" t="str">
        <x:v>SO00364</x:v>
      </x:c>
      <x:c r="C365" t="str">
        <x:v>Q00554</x:v>
      </x:c>
      <x:c r="D365" t="str">
        <x:v>AUT-013</x:v>
      </x:c>
      <x:c r="E365" t="str">
        <x:v>S01</x:v>
      </x:c>
      <x:c r="F365" t="str">
        <x:v>AUTO-FL-B</x:v>
      </x:c>
      <x:c r="G365" t="str">
        <x:v>汽車精密零組件</x:v>
      </x:c>
      <x:c r="H365" s="20" t="n">
        <x:v>45748</x:v>
      </x:c>
      <x:c r="I365" t="n">
        <x:v>3000</x:v>
      </x:c>
      <x:c r="J365" t="n">
        <x:v>1491.31</x:v>
      </x:c>
      <x:c r="K365" t="str">
        <x:v>TWD</x:v>
      </x:c>
      <x:c r="L365" s="20" t="n">
        <x:v>45762</x:v>
      </x:c>
      <x:c r="M365" s="20" t="n">
        <x:v>45766</x:v>
      </x:c>
      <x:c r="N365" t="str">
        <x:v>是</x:v>
      </x:c>
      <x:c r="O365" t="str">
        <x:v>重要</x:v>
      </x:c>
      <x:c r="P365" t="str">
        <x:v>部分出貨</x:v>
      </x:c>
    </x:row>
    <x:row r="366" ht="20" customHeight="1">
      <x:c r="A366" t="str">
        <x:v>SO00365-01</x:v>
      </x:c>
      <x:c r="B366" t="str">
        <x:v>SO00365</x:v>
      </x:c>
      <x:c r="C366" t="str">
        <x:v>Q00555</x:v>
      </x:c>
      <x:c r="D366" t="str">
        <x:v>IAT-005</x:v>
      </x:c>
      <x:c r="E366" t="str">
        <x:v>S02</x:v>
      </x:c>
      <x:c r="F366" t="str">
        <x:v>PM-SUS-B</x:v>
      </x:c>
      <x:c r="G366" t="str">
        <x:v>精密金屬加工件</x:v>
      </x:c>
      <x:c r="H366" s="20" t="n">
        <x:v>45752</x:v>
      </x:c>
      <x:c r="I366" t="n">
        <x:v>1600</x:v>
      </x:c>
      <x:c r="J366" t="n">
        <x:v>15301.39</x:v>
      </x:c>
      <x:c r="K366" t="str">
        <x:v>TWD</x:v>
      </x:c>
      <x:c r="L366" s="20" t="n">
        <x:v>45775</x:v>
      </x:c>
      <x:c r="M366" s="20" t="n">
        <x:v>45779</x:v>
      </x:c>
      <x:c r="N366" t="str">
        <x:v>否</x:v>
      </x:c>
      <x:c r="O366" t="str">
        <x:v>一般</x:v>
      </x:c>
      <x:c r="P366" t="str">
        <x:v>部分出貨</x:v>
      </x:c>
    </x:row>
    <x:row r="367" ht="20" customHeight="1">
      <x:c r="A367" t="str">
        <x:v>SO00366-01</x:v>
      </x:c>
      <x:c r="B367" t="str">
        <x:v>SO00366</x:v>
      </x:c>
      <x:c r="C367" t="str">
        <x:v>Q00556</x:v>
      </x:c>
      <x:c r="D367" t="str">
        <x:v>SEM-005</x:v>
      </x:c>
      <x:c r="E367" t="str">
        <x:v>S06</x:v>
      </x:c>
      <x:c r="F367" t="str">
        <x:v>PM-SUS-A</x:v>
      </x:c>
      <x:c r="G367" t="str">
        <x:v>精密金屬加工件</x:v>
      </x:c>
      <x:c r="H367" s="20" t="n">
        <x:v>45733</x:v>
      </x:c>
      <x:c r="I367" t="n">
        <x:v>500</x:v>
      </x:c>
      <x:c r="J367" t="n">
        <x:v>10704.12</x:v>
      </x:c>
      <x:c r="K367" t="str">
        <x:v>TWD</x:v>
      </x:c>
      <x:c r="L367" s="20" t="n">
        <x:v>45750</x:v>
      </x:c>
      <x:c r="M367" s="20" t="n">
        <x:v>45755</x:v>
      </x:c>
      <x:c r="N367" t="str">
        <x:v>是</x:v>
      </x:c>
      <x:c r="O367" t="str">
        <x:v>重要</x:v>
      </x:c>
      <x:c r="P367" t="str">
        <x:v>部分出貨</x:v>
      </x:c>
    </x:row>
    <x:row r="368" ht="20" customHeight="1">
      <x:c r="A368" t="str">
        <x:v>SO00367-01</x:v>
      </x:c>
      <x:c r="B368" t="str">
        <x:v>SO00367</x:v>
      </x:c>
      <x:c r="C368" t="str">
        <x:v>Q00557</x:v>
      </x:c>
      <x:c r="D368" t="str">
        <x:v>AUT-007</x:v>
      </x:c>
      <x:c r="E368" t="str">
        <x:v>S04</x:v>
      </x:c>
      <x:c r="F368" t="str">
        <x:v>AUTO-KN-A</x:v>
      </x:c>
      <x:c r="G368" t="str">
        <x:v>汽車精密零組件</x:v>
      </x:c>
      <x:c r="H368" s="20" t="n">
        <x:v>45748</x:v>
      </x:c>
      <x:c r="I368" t="n">
        <x:v>13000</x:v>
      </x:c>
      <x:c r="J368" t="n">
        <x:v>3056.3</x:v>
      </x:c>
      <x:c r="K368" t="str">
        <x:v>TWD</x:v>
      </x:c>
      <x:c r="L368" s="20" t="n">
        <x:v>45766</x:v>
      </x:c>
      <x:c r="M368" s="20" t="n">
        <x:v>45773</x:v>
      </x:c>
      <x:c r="N368" t="str">
        <x:v>是</x:v>
      </x:c>
      <x:c r="O368" t="str">
        <x:v>一般</x:v>
      </x:c>
      <x:c r="P368" t="str">
        <x:v>部分出貨</x:v>
      </x:c>
    </x:row>
    <x:row r="369" ht="20" customHeight="1">
      <x:c r="A369" t="str">
        <x:v>SO00368-01</x:v>
      </x:c>
      <x:c r="B369" t="str">
        <x:v>SO00368</x:v>
      </x:c>
      <x:c r="C369" t="str">
        <x:v>Q00558</x:v>
      </x:c>
      <x:c r="D369" t="str">
        <x:v>AUT-005</x:v>
      </x:c>
      <x:c r="E369" t="str">
        <x:v>S04</x:v>
      </x:c>
      <x:c r="F369" t="str">
        <x:v>PM-BRG-B</x:v>
      </x:c>
      <x:c r="G369" t="str">
        <x:v>精密金屬加工件</x:v>
      </x:c>
      <x:c r="H369" s="20" t="n">
        <x:v>45726</x:v>
      </x:c>
      <x:c r="I369" t="n">
        <x:v>1600</x:v>
      </x:c>
      <x:c r="J369" t="n">
        <x:v>8165.66</x:v>
      </x:c>
      <x:c r="K369" t="str">
        <x:v>TWD</x:v>
      </x:c>
      <x:c r="L369" s="20" t="n">
        <x:v>45747</x:v>
      </x:c>
      <x:c r="M369" s="20" t="n">
        <x:v>45747</x:v>
      </x:c>
      <x:c r="N369" t="str">
        <x:v>否</x:v>
      </x:c>
      <x:c r="O369" t="str">
        <x:v>VIP</x:v>
      </x:c>
      <x:c r="P369" t="str">
        <x:v>部分出貨</x:v>
      </x:c>
    </x:row>
    <x:row r="370" ht="20" customHeight="1">
      <x:c r="A370" t="str">
        <x:v>SO00369-01</x:v>
      </x:c>
      <x:c r="B370" t="str">
        <x:v>SO00369</x:v>
      </x:c>
      <x:c r="C370" t="str">
        <x:v>Q00561</x:v>
      </x:c>
      <x:c r="D370" t="str">
        <x:v>EMS-008</x:v>
      </x:c>
      <x:c r="E370" t="str">
        <x:v>S02</x:v>
      </x:c>
      <x:c r="F370" t="str">
        <x:v>MECH-CON-B</x:v>
      </x:c>
      <x:c r="G370" t="str">
        <x:v>機電／自動化模組</x:v>
      </x:c>
      <x:c r="H370" s="20" t="n">
        <x:v>45746</x:v>
      </x:c>
      <x:c r="I370" t="n">
        <x:v>30</x:v>
      </x:c>
      <x:c r="J370" t="n">
        <x:v>146619.38</x:v>
      </x:c>
      <x:c r="K370" t="str">
        <x:v>TWD</x:v>
      </x:c>
      <x:c r="L370" s="20" t="n">
        <x:v>45795</x:v>
      </x:c>
      <x:c r="M370" s="20" t="n">
        <x:v>45795</x:v>
      </x:c>
      <x:c r="N370" t="str">
        <x:v>否</x:v>
      </x:c>
      <x:c r="O370" t="str">
        <x:v>重要</x:v>
      </x:c>
      <x:c r="P370" t="str">
        <x:v>已出貨</x:v>
      </x:c>
    </x:row>
    <x:row r="371" ht="20" customHeight="1">
      <x:c r="A371" t="str">
        <x:v>SO00370-01</x:v>
      </x:c>
      <x:c r="B371" t="str">
        <x:v>SO00370</x:v>
      </x:c>
      <x:c r="C371" t="str">
        <x:v>Q00562</x:v>
      </x:c>
      <x:c r="D371" t="str">
        <x:v>AUT-009</x:v>
      </x:c>
      <x:c r="E371" t="str">
        <x:v>S04</x:v>
      </x:c>
      <x:c r="F371" t="str">
        <x:v>AUTO-MH-A</x:v>
      </x:c>
      <x:c r="G371" t="str">
        <x:v>汽車精密零組件</x:v>
      </x:c>
      <x:c r="H371" s="20" t="n">
        <x:v>45730</x:v>
      </x:c>
      <x:c r="I371" t="n">
        <x:v>10000</x:v>
      </x:c>
      <x:c r="J371" t="n">
        <x:v>2543.33</x:v>
      </x:c>
      <x:c r="K371" t="str">
        <x:v>TWD</x:v>
      </x:c>
      <x:c r="L371" s="20" t="n">
        <x:v>45746</x:v>
      </x:c>
      <x:c r="M371" s="20" t="n">
        <x:v>45750</x:v>
      </x:c>
      <x:c r="N371" t="str">
        <x:v>是</x:v>
      </x:c>
      <x:c r="O371" t="str">
        <x:v>重要</x:v>
      </x:c>
      <x:c r="P371" t="str">
        <x:v>部分出貨</x:v>
      </x:c>
    </x:row>
    <x:row r="372" ht="20" customHeight="1">
      <x:c r="A372" t="str">
        <x:v>SO00371-01</x:v>
      </x:c>
      <x:c r="B372" t="str">
        <x:v>SO00371</x:v>
      </x:c>
      <x:c r="C372" t="str">
        <x:v>Q00564</x:v>
      </x:c>
      <x:c r="D372" t="str">
        <x:v>AUT-006</x:v>
      </x:c>
      <x:c r="E372" t="str">
        <x:v>S03</x:v>
      </x:c>
      <x:c r="F372" t="str">
        <x:v>AUTO-BRK-A</x:v>
      </x:c>
      <x:c r="G372" t="str">
        <x:v>汽車精密零組件</x:v>
      </x:c>
      <x:c r="H372" s="20" t="n">
        <x:v>45733</x:v>
      </x:c>
      <x:c r="I372" t="n">
        <x:v>5000</x:v>
      </x:c>
      <x:c r="J372" t="n">
        <x:v>1575.44</x:v>
      </x:c>
      <x:c r="K372" t="str">
        <x:v>TWD</x:v>
      </x:c>
      <x:c r="L372" s="20" t="n">
        <x:v>45749</x:v>
      </x:c>
      <x:c r="M372" s="20" t="n">
        <x:v>45751</x:v>
      </x:c>
      <x:c r="N372" t="str">
        <x:v>否</x:v>
      </x:c>
      <x:c r="O372" t="str">
        <x:v>一般</x:v>
      </x:c>
      <x:c r="P372" t="str">
        <x:v>部分出貨</x:v>
      </x:c>
    </x:row>
    <x:row r="373" ht="20" customHeight="1">
      <x:c r="A373" t="str">
        <x:v>SO00372-01</x:v>
      </x:c>
      <x:c r="B373" t="str">
        <x:v>SO00372</x:v>
      </x:c>
      <x:c r="C373" t="str">
        <x:v>Q00567</x:v>
      </x:c>
      <x:c r="D373" t="str">
        <x:v>AFT-002</x:v>
      </x:c>
      <x:c r="E373" t="str">
        <x:v>S04</x:v>
      </x:c>
      <x:c r="F373" t="str">
        <x:v>AUTO-BS-A</x:v>
      </x:c>
      <x:c r="G373" t="str">
        <x:v>汽車精密零組件</x:v>
      </x:c>
      <x:c r="H373" s="20" t="n">
        <x:v>45731</x:v>
      </x:c>
      <x:c r="I373" t="n">
        <x:v>7000</x:v>
      </x:c>
      <x:c r="J373" t="n">
        <x:v>734.66</x:v>
      </x:c>
      <x:c r="K373" t="str">
        <x:v>TWD</x:v>
      </x:c>
      <x:c r="L373" s="20" t="n">
        <x:v>45742</x:v>
      </x:c>
      <x:c r="M373" s="20" t="n">
        <x:v>45745</x:v>
      </x:c>
      <x:c r="N373" t="str">
        <x:v>是</x:v>
      </x:c>
      <x:c r="O373" t="str">
        <x:v>一般</x:v>
      </x:c>
      <x:c r="P373" t="str">
        <x:v>部分出貨</x:v>
      </x:c>
    </x:row>
    <x:row r="374" ht="20" customHeight="1">
      <x:c r="A374" t="str">
        <x:v>SO00373-01</x:v>
      </x:c>
      <x:c r="B374" t="str">
        <x:v>SO00373</x:v>
      </x:c>
      <x:c r="C374" t="str">
        <x:v>Q00569</x:v>
      </x:c>
      <x:c r="D374" t="str">
        <x:v>AFT-006</x:v>
      </x:c>
      <x:c r="E374" t="str">
        <x:v>S01</x:v>
      </x:c>
      <x:c r="F374" t="str">
        <x:v>AUTO-LG-A</x:v>
      </x:c>
      <x:c r="G374" t="str">
        <x:v>汽車精密零組件</x:v>
      </x:c>
      <x:c r="H374" s="20" t="n">
        <x:v>45757</x:v>
      </x:c>
      <x:c r="I374" t="n">
        <x:v>13000</x:v>
      </x:c>
      <x:c r="J374" t="n">
        <x:v>1159.49</x:v>
      </x:c>
      <x:c r="K374" t="str">
        <x:v>TWD</x:v>
      </x:c>
      <x:c r="L374" s="20" t="n">
        <x:v>45772</x:v>
      </x:c>
      <x:c r="M374" s="20" t="n">
        <x:v>45775</x:v>
      </x:c>
      <x:c r="N374" t="str">
        <x:v>否</x:v>
      </x:c>
      <x:c r="O374" t="str">
        <x:v>一般</x:v>
      </x:c>
      <x:c r="P374" t="str">
        <x:v>部分出貨</x:v>
      </x:c>
    </x:row>
    <x:row r="375" ht="20" customHeight="1">
      <x:c r="A375" t="str">
        <x:v>SO00374-01</x:v>
      </x:c>
      <x:c r="B375" t="str">
        <x:v>SO00374</x:v>
      </x:c>
      <x:c r="C375" t="str">
        <x:v>Q00570</x:v>
      </x:c>
      <x:c r="D375" t="str">
        <x:v>EMS-004</x:v>
      </x:c>
      <x:c r="E375" t="str">
        <x:v>S03</x:v>
      </x:c>
      <x:c r="F375" t="str">
        <x:v>AUTO-LG-A</x:v>
      </x:c>
      <x:c r="G375" t="str">
        <x:v>汽車精密零組件</x:v>
      </x:c>
      <x:c r="H375" s="20" t="n">
        <x:v>45773</x:v>
      </x:c>
      <x:c r="I375" t="n">
        <x:v>13000</x:v>
      </x:c>
      <x:c r="J375" t="n">
        <x:v>1157.85</x:v>
      </x:c>
      <x:c r="K375" t="str">
        <x:v>TWD</x:v>
      </x:c>
      <x:c r="L375" s="20" t="n">
        <x:v>45790</x:v>
      </x:c>
      <x:c r="M375" s="20" t="n">
        <x:v>45790</x:v>
      </x:c>
      <x:c r="N375" t="str">
        <x:v>否</x:v>
      </x:c>
      <x:c r="O375" t="str">
        <x:v>VIP</x:v>
      </x:c>
      <x:c r="P375" t="str">
        <x:v>部分出貨</x:v>
      </x:c>
    </x:row>
    <x:row r="376" ht="20" customHeight="1">
      <x:c r="A376" t="str">
        <x:v>SO00375-01</x:v>
      </x:c>
      <x:c r="B376" t="str">
        <x:v>SO00375</x:v>
      </x:c>
      <x:c r="C376" t="str">
        <x:v>Q00573</x:v>
      </x:c>
      <x:c r="D376" t="str">
        <x:v>IAT-008</x:v>
      </x:c>
      <x:c r="E376" t="str">
        <x:v>S01</x:v>
      </x:c>
      <x:c r="F376" t="str">
        <x:v>AUTO-KN-A</x:v>
      </x:c>
      <x:c r="G376" t="str">
        <x:v>汽車精密零組件</x:v>
      </x:c>
      <x:c r="H376" s="20" t="n">
        <x:v>45780</x:v>
      </x:c>
      <x:c r="I376" t="n">
        <x:v>5000</x:v>
      </x:c>
      <x:c r="J376" t="n">
        <x:v>3051.8</x:v>
      </x:c>
      <x:c r="K376" t="str">
        <x:v>TWD</x:v>
      </x:c>
      <x:c r="L376" s="20" t="n">
        <x:v>45798</x:v>
      </x:c>
      <x:c r="M376" s="20" t="n">
        <x:v>45805</x:v>
      </x:c>
      <x:c r="N376" t="str">
        <x:v>是</x:v>
      </x:c>
      <x:c r="O376" t="str">
        <x:v>重要</x:v>
      </x:c>
      <x:c r="P376" t="str">
        <x:v>部分出貨</x:v>
      </x:c>
    </x:row>
    <x:row r="377" ht="20" customHeight="1">
      <x:c r="A377" t="str">
        <x:v>SO00376-01</x:v>
      </x:c>
      <x:c r="B377" t="str">
        <x:v>SO00376</x:v>
      </x:c>
      <x:c r="C377" t="str">
        <x:v>Q00576</x:v>
      </x:c>
      <x:c r="D377" t="str">
        <x:v>AUT-003</x:v>
      </x:c>
      <x:c r="E377" t="str">
        <x:v>S03</x:v>
      </x:c>
      <x:c r="F377" t="str">
        <x:v>AUTO-BS-B</x:v>
      </x:c>
      <x:c r="G377" t="str">
        <x:v>汽車精密零組件</x:v>
      </x:c>
      <x:c r="H377" s="20" t="n">
        <x:v>45781</x:v>
      </x:c>
      <x:c r="I377" t="n">
        <x:v>7000</x:v>
      </x:c>
      <x:c r="J377" t="n">
        <x:v>943.04</x:v>
      </x:c>
      <x:c r="K377" t="str">
        <x:v>TWD</x:v>
      </x:c>
      <x:c r="L377" s="20" t="n">
        <x:v>45794</x:v>
      </x:c>
      <x:c r="M377" s="20" t="n">
        <x:v>45795</x:v>
      </x:c>
      <x:c r="N377" t="str">
        <x:v>是</x:v>
      </x:c>
      <x:c r="O377" t="str">
        <x:v>VIP</x:v>
      </x:c>
      <x:c r="P377" t="str">
        <x:v>部分出貨</x:v>
      </x:c>
    </x:row>
    <x:row r="378" ht="20" customHeight="1">
      <x:c r="A378" t="str">
        <x:v>SO00377-01</x:v>
      </x:c>
      <x:c r="B378" t="str">
        <x:v>SO00377</x:v>
      </x:c>
      <x:c r="C378" t="str">
        <x:v>Q00580</x:v>
      </x:c>
      <x:c r="D378" t="str">
        <x:v>EMS-005</x:v>
      </x:c>
      <x:c r="E378" t="str">
        <x:v>S01</x:v>
      </x:c>
      <x:c r="F378" t="str">
        <x:v>AUTO-LG-B</x:v>
      </x:c>
      <x:c r="G378" t="str">
        <x:v>汽車精密零組件</x:v>
      </x:c>
      <x:c r="H378" s="20" t="n">
        <x:v>45781</x:v>
      </x:c>
      <x:c r="I378" t="n">
        <x:v>7000</x:v>
      </x:c>
      <x:c r="J378" t="n">
        <x:v>1218.05</x:v>
      </x:c>
      <x:c r="K378" t="str">
        <x:v>TWD</x:v>
      </x:c>
      <x:c r="L378" s="20" t="n">
        <x:v>45795</x:v>
      </x:c>
      <x:c r="M378" s="20" t="n">
        <x:v>45800</x:v>
      </x:c>
      <x:c r="N378" t="str">
        <x:v>是</x:v>
      </x:c>
      <x:c r="O378" t="str">
        <x:v>VIP</x:v>
      </x:c>
      <x:c r="P378" t="str">
        <x:v>部分出貨</x:v>
      </x:c>
    </x:row>
    <x:row r="379" ht="20" customHeight="1">
      <x:c r="A379" t="str">
        <x:v>SO00378-01</x:v>
      </x:c>
      <x:c r="B379" t="str">
        <x:v>SO00378</x:v>
      </x:c>
      <x:c r="C379" t="str">
        <x:v>Q00581</x:v>
      </x:c>
      <x:c r="D379" t="str">
        <x:v>EMS-008</x:v>
      </x:c>
      <x:c r="E379" t="str">
        <x:v>S02</x:v>
      </x:c>
      <x:c r="F379" t="str">
        <x:v>PM-BRG-B</x:v>
      </x:c>
      <x:c r="G379" t="str">
        <x:v>精密金屬加工件</x:v>
      </x:c>
      <x:c r="H379" s="20" t="n">
        <x:v>45777</x:v>
      </x:c>
      <x:c r="I379" t="n">
        <x:v>1600</x:v>
      </x:c>
      <x:c r="J379" t="n">
        <x:v>8155.31</x:v>
      </x:c>
      <x:c r="K379" t="str">
        <x:v>TWD</x:v>
      </x:c>
      <x:c r="L379" s="20" t="n">
        <x:v>45801</x:v>
      </x:c>
      <x:c r="M379" s="20" t="n">
        <x:v>45801</x:v>
      </x:c>
      <x:c r="N379" t="str">
        <x:v>否</x:v>
      </x:c>
      <x:c r="O379" t="str">
        <x:v>重要</x:v>
      </x:c>
      <x:c r="P379" t="str">
        <x:v>部分出貨</x:v>
      </x:c>
    </x:row>
    <x:row r="380" ht="20" customHeight="1">
      <x:c r="A380" t="str">
        <x:v>SO00379-01</x:v>
      </x:c>
      <x:c r="B380" t="str">
        <x:v>SO00379</x:v>
      </x:c>
      <x:c r="C380" t="str">
        <x:v>Q00584</x:v>
      </x:c>
      <x:c r="D380" t="str">
        <x:v>EMS-004</x:v>
      </x:c>
      <x:c r="E380" t="str">
        <x:v>S03</x:v>
      </x:c>
      <x:c r="F380" t="str">
        <x:v>AUTO-LG-B</x:v>
      </x:c>
      <x:c r="G380" t="str">
        <x:v>汽車精密零組件</x:v>
      </x:c>
      <x:c r="H380" s="20" t="n">
        <x:v>45766</x:v>
      </x:c>
      <x:c r="I380" t="n">
        <x:v>10000</x:v>
      </x:c>
      <x:c r="J380" t="n">
        <x:v>1221.82</x:v>
      </x:c>
      <x:c r="K380" t="str">
        <x:v>TWD</x:v>
      </x:c>
      <x:c r="L380" s="20" t="n">
        <x:v>45782</x:v>
      </x:c>
      <x:c r="M380" s="20" t="n">
        <x:v>45784</x:v>
      </x:c>
      <x:c r="N380" t="str">
        <x:v>否</x:v>
      </x:c>
      <x:c r="O380" t="str">
        <x:v>VIP</x:v>
      </x:c>
      <x:c r="P380" t="str">
        <x:v>部分出貨</x:v>
      </x:c>
    </x:row>
    <x:row r="381" ht="20" customHeight="1">
      <x:c r="A381" t="str">
        <x:v>SO00380-01</x:v>
      </x:c>
      <x:c r="B381" t="str">
        <x:v>SO00380</x:v>
      </x:c>
      <x:c r="C381" t="str">
        <x:v>Q00585</x:v>
      </x:c>
      <x:c r="D381" t="str">
        <x:v>EMS-005</x:v>
      </x:c>
      <x:c r="E381" t="str">
        <x:v>S01</x:v>
      </x:c>
      <x:c r="F381" t="str">
        <x:v>SEMI-WH-A</x:v>
      </x:c>
      <x:c r="G381" t="str">
        <x:v>半導體設備零組件</x:v>
      </x:c>
      <x:c r="H381" s="20" t="n">
        <x:v>45781</x:v>
      </x:c>
      <x:c r="I381" t="n">
        <x:v>160</x:v>
      </x:c>
      <x:c r="J381" t="n">
        <x:v>118882.12</x:v>
      </x:c>
      <x:c r="K381" t="str">
        <x:v>TWD</x:v>
      </x:c>
      <x:c r="L381" s="20" t="n">
        <x:v>45826</x:v>
      </x:c>
      <x:c r="M381" s="20" t="n">
        <x:v>45834</x:v>
      </x:c>
      <x:c r="N381" t="str">
        <x:v>否</x:v>
      </x:c>
      <x:c r="O381" t="str">
        <x:v>VIP</x:v>
      </x:c>
      <x:c r="P381" t="str">
        <x:v>部分出貨</x:v>
      </x:c>
    </x:row>
    <x:row r="382" ht="20" customHeight="1">
      <x:c r="A382" t="str">
        <x:v>SO00381-01</x:v>
      </x:c>
      <x:c r="B382" t="str">
        <x:v>SO00381</x:v>
      </x:c>
      <x:c r="C382" t="str">
        <x:v>Q00586</x:v>
      </x:c>
      <x:c r="D382" t="str">
        <x:v>AFT-003</x:v>
      </x:c>
      <x:c r="E382" t="str">
        <x:v>S01</x:v>
      </x:c>
      <x:c r="F382" t="str">
        <x:v>AUTO-BS-A</x:v>
      </x:c>
      <x:c r="G382" t="str">
        <x:v>汽車精密零組件</x:v>
      </x:c>
      <x:c r="H382" s="20" t="n">
        <x:v>45775</x:v>
      </x:c>
      <x:c r="I382" t="n">
        <x:v>10000</x:v>
      </x:c>
      <x:c r="J382" t="n">
        <x:v>779.76</x:v>
      </x:c>
      <x:c r="K382" t="str">
        <x:v>TWD</x:v>
      </x:c>
      <x:c r="L382" s="20" t="n">
        <x:v>45789</x:v>
      </x:c>
      <x:c r="M382" s="20" t="n">
        <x:v>45790</x:v>
      </x:c>
      <x:c r="N382" t="str">
        <x:v>否</x:v>
      </x:c>
      <x:c r="O382" t="str">
        <x:v>重要</x:v>
      </x:c>
      <x:c r="P382" t="str">
        <x:v>部分出貨</x:v>
      </x:c>
    </x:row>
    <x:row r="383" ht="20" customHeight="1">
      <x:c r="A383" t="str">
        <x:v>SO00382-01</x:v>
      </x:c>
      <x:c r="B383" t="str">
        <x:v>SO00382</x:v>
      </x:c>
      <x:c r="C383" t="str">
        <x:v>Q00587</x:v>
      </x:c>
      <x:c r="D383" t="str">
        <x:v>IAT-006</x:v>
      </x:c>
      <x:c r="E383" t="str">
        <x:v>S01</x:v>
      </x:c>
      <x:c r="F383" t="str">
        <x:v>AUTO-KN-B</x:v>
      </x:c>
      <x:c r="G383" t="str">
        <x:v>汽車精密零組件</x:v>
      </x:c>
      <x:c r="H383" s="20" t="n">
        <x:v>45761</x:v>
      </x:c>
      <x:c r="I383" t="n">
        <x:v>3000</x:v>
      </x:c>
      <x:c r="J383" t="n">
        <x:v>3721.86</x:v>
      </x:c>
      <x:c r="K383" t="str">
        <x:v>TWD</x:v>
      </x:c>
      <x:c r="L383" s="20" t="n">
        <x:v>45781</x:v>
      </x:c>
      <x:c r="M383" s="20" t="n">
        <x:v>45786</x:v>
      </x:c>
      <x:c r="N383" t="str">
        <x:v>是</x:v>
      </x:c>
      <x:c r="O383" t="str">
        <x:v>重要</x:v>
      </x:c>
      <x:c r="P383" t="str">
        <x:v>部分出貨</x:v>
      </x:c>
    </x:row>
    <x:row r="384" ht="20" customHeight="1">
      <x:c r="A384" t="str">
        <x:v>SO00383-01</x:v>
      </x:c>
      <x:c r="B384" t="str">
        <x:v>SO00383</x:v>
      </x:c>
      <x:c r="C384" t="str">
        <x:v>Q00588</x:v>
      </x:c>
      <x:c r="D384" t="str">
        <x:v>EMS-006</x:v>
      </x:c>
      <x:c r="E384" t="str">
        <x:v>S03</x:v>
      </x:c>
      <x:c r="F384" t="str">
        <x:v>AUTO-BS-B</x:v>
      </x:c>
      <x:c r="G384" t="str">
        <x:v>汽車精密零組件</x:v>
      </x:c>
      <x:c r="H384" s="20" t="n">
        <x:v>45787</x:v>
      </x:c>
      <x:c r="I384" t="n">
        <x:v>7000</x:v>
      </x:c>
      <x:c r="J384" t="n">
        <x:v>914.08</x:v>
      </x:c>
      <x:c r="K384" t="str">
        <x:v>TWD</x:v>
      </x:c>
      <x:c r="L384" s="20" t="n">
        <x:v>45805</x:v>
      </x:c>
      <x:c r="M384" s="20" t="n">
        <x:v>45805</x:v>
      </x:c>
      <x:c r="N384" t="str">
        <x:v>否</x:v>
      </x:c>
      <x:c r="O384" t="str">
        <x:v>重要</x:v>
      </x:c>
      <x:c r="P384" t="str">
        <x:v>部分出貨</x:v>
      </x:c>
    </x:row>
    <x:row r="385" ht="20" customHeight="1">
      <x:c r="A385" t="str">
        <x:v>SO00384-01</x:v>
      </x:c>
      <x:c r="B385" t="str">
        <x:v>SO00384</x:v>
      </x:c>
      <x:c r="C385" t="str">
        <x:v>Q00589</x:v>
      </x:c>
      <x:c r="D385" t="str">
        <x:v>EMS-001</x:v>
      </x:c>
      <x:c r="E385" t="str">
        <x:v>S02</x:v>
      </x:c>
      <x:c r="F385" t="str">
        <x:v>AUTO-BS-B</x:v>
      </x:c>
      <x:c r="G385" t="str">
        <x:v>汽車精密零組件</x:v>
      </x:c>
      <x:c r="H385" s="20" t="n">
        <x:v>45760</x:v>
      </x:c>
      <x:c r="I385" t="n">
        <x:v>5000</x:v>
      </x:c>
      <x:c r="J385" t="n">
        <x:v>906.59</x:v>
      </x:c>
      <x:c r="K385" t="str">
        <x:v>TWD</x:v>
      </x:c>
      <x:c r="L385" s="20" t="n">
        <x:v>45773</x:v>
      </x:c>
      <x:c r="M385" s="20" t="n">
        <x:v>45776</x:v>
      </x:c>
      <x:c r="N385" t="str">
        <x:v>是</x:v>
      </x:c>
      <x:c r="O385" t="str">
        <x:v>一般</x:v>
      </x:c>
      <x:c r="P385" t="str">
        <x:v>部分出貨</x:v>
      </x:c>
    </x:row>
    <x:row r="386" ht="20" customHeight="1">
      <x:c r="A386" t="str">
        <x:v>SO00385-01</x:v>
      </x:c>
      <x:c r="B386" t="str">
        <x:v>SO00385</x:v>
      </x:c>
      <x:c r="C386" t="str">
        <x:v>Q00591</x:v>
      </x:c>
      <x:c r="D386" t="str">
        <x:v>IAT-005</x:v>
      </x:c>
      <x:c r="E386" t="str">
        <x:v>S02</x:v>
      </x:c>
      <x:c r="F386" t="str">
        <x:v>AUTO-LG-A</x:v>
      </x:c>
      <x:c r="G386" t="str">
        <x:v>汽車精密零組件</x:v>
      </x:c>
      <x:c r="H386" s="20" t="n">
        <x:v>45757</x:v>
      </x:c>
      <x:c r="I386" t="n">
        <x:v>5000</x:v>
      </x:c>
      <x:c r="J386" t="n">
        <x:v>1104.91</x:v>
      </x:c>
      <x:c r="K386" t="str">
        <x:v>TWD</x:v>
      </x:c>
      <x:c r="L386" s="20" t="n">
        <x:v>45775</x:v>
      </x:c>
      <x:c r="M386" s="20" t="n">
        <x:v>45775</x:v>
      </x:c>
      <x:c r="N386" t="str">
        <x:v>否</x:v>
      </x:c>
      <x:c r="O386" t="str">
        <x:v>一般</x:v>
      </x:c>
      <x:c r="P386" t="str">
        <x:v>部分出貨</x:v>
      </x:c>
    </x:row>
    <x:row r="387" ht="20" customHeight="1">
      <x:c r="A387" t="str">
        <x:v>SO00386-01</x:v>
      </x:c>
      <x:c r="B387" t="str">
        <x:v>SO00386</x:v>
      </x:c>
      <x:c r="C387" t="str">
        <x:v>Q00592</x:v>
      </x:c>
      <x:c r="D387" t="str">
        <x:v>AUT-001</x:v>
      </x:c>
      <x:c r="E387" t="str">
        <x:v>S01</x:v>
      </x:c>
      <x:c r="F387" t="str">
        <x:v>PM-SUS-A</x:v>
      </x:c>
      <x:c r="G387" t="str">
        <x:v>精密金屬加工件</x:v>
      </x:c>
      <x:c r="H387" s="20" t="n">
        <x:v>45767</x:v>
      </x:c>
      <x:c r="I387" t="n">
        <x:v>800</x:v>
      </x:c>
      <x:c r="J387" t="n">
        <x:v>10503.26</x:v>
      </x:c>
      <x:c r="K387" t="str">
        <x:v>TWD</x:v>
      </x:c>
      <x:c r="L387" s="20" t="n">
        <x:v>45786</x:v>
      </x:c>
      <x:c r="M387" s="20" t="n">
        <x:v>45790</x:v>
      </x:c>
      <x:c r="N387" t="str">
        <x:v>是</x:v>
      </x:c>
      <x:c r="O387" t="str">
        <x:v>VIP</x:v>
      </x:c>
      <x:c r="P387" t="str">
        <x:v>部分出貨</x:v>
      </x:c>
    </x:row>
    <x:row r="388" ht="20" customHeight="1">
      <x:c r="A388" t="str">
        <x:v>SO00387-01</x:v>
      </x:c>
      <x:c r="B388" t="str">
        <x:v>SO00387</x:v>
      </x:c>
      <x:c r="C388" t="str">
        <x:v>Q00594</x:v>
      </x:c>
      <x:c r="D388" t="str">
        <x:v>EMS-008</x:v>
      </x:c>
      <x:c r="E388" t="str">
        <x:v>S02</x:v>
      </x:c>
      <x:c r="F388" t="str">
        <x:v>SEMI-CHB-B</x:v>
      </x:c>
      <x:c r="G388" t="str">
        <x:v>半導體設備零組件</x:v>
      </x:c>
      <x:c r="H388" s="20" t="n">
        <x:v>45760</x:v>
      </x:c>
      <x:c r="I388" t="n">
        <x:v>40</x:v>
      </x:c>
      <x:c r="J388" t="n">
        <x:v>133945.44</x:v>
      </x:c>
      <x:c r="K388" t="str">
        <x:v>TWD</x:v>
      </x:c>
      <x:c r="L388" s="20" t="n">
        <x:v>45821</x:v>
      </x:c>
      <x:c r="M388" s="20" t="n">
        <x:v>45821</x:v>
      </x:c>
      <x:c r="N388" t="str">
        <x:v>否</x:v>
      </x:c>
      <x:c r="O388" t="str">
        <x:v>重要</x:v>
      </x:c>
      <x:c r="P388" t="str">
        <x:v>部分出貨</x:v>
      </x:c>
    </x:row>
    <x:row r="389" ht="20" customHeight="1">
      <x:c r="A389" t="str">
        <x:v>SO00388-01</x:v>
      </x:c>
      <x:c r="B389" t="str">
        <x:v>SO00388</x:v>
      </x:c>
      <x:c r="C389" t="str">
        <x:v>Q00595</x:v>
      </x:c>
      <x:c r="D389" t="str">
        <x:v>IAT-001</x:v>
      </x:c>
      <x:c r="E389" t="str">
        <x:v>S05</x:v>
      </x:c>
      <x:c r="F389" t="str">
        <x:v>MECH-CON-A</x:v>
      </x:c>
      <x:c r="G389" t="str">
        <x:v>機電／自動化模組</x:v>
      </x:c>
      <x:c r="H389" s="20" t="n">
        <x:v>45797</x:v>
      </x:c>
      <x:c r="I389" t="n">
        <x:v>20</x:v>
      </x:c>
      <x:c r="J389" t="n">
        <x:v>109873.27</x:v>
      </x:c>
      <x:c r="K389" t="str">
        <x:v>TWD</x:v>
      </x:c>
      <x:c r="L389" s="20" t="n">
        <x:v>45822</x:v>
      </x:c>
      <x:c r="M389" s="20" t="n">
        <x:v>45830</x:v>
      </x:c>
      <x:c r="N389" t="str">
        <x:v>是</x:v>
      </x:c>
      <x:c r="O389" t="str">
        <x:v>一般</x:v>
      </x:c>
      <x:c r="P389" t="str">
        <x:v>部分出貨</x:v>
      </x:c>
    </x:row>
    <x:row r="390" ht="20" customHeight="1">
      <x:c r="A390" t="str">
        <x:v>SO00389-01</x:v>
      </x:c>
      <x:c r="B390" t="str">
        <x:v>SO00389</x:v>
      </x:c>
      <x:c r="C390" t="str">
        <x:v>Q00598</x:v>
      </x:c>
      <x:c r="D390" t="str">
        <x:v>IAT-004</x:v>
      </x:c>
      <x:c r="E390" t="str">
        <x:v>S05</x:v>
      </x:c>
      <x:c r="F390" t="str">
        <x:v>SEMI-WH-B</x:v>
      </x:c>
      <x:c r="G390" t="str">
        <x:v>半導體設備零組件</x:v>
      </x:c>
      <x:c r="H390" s="20" t="n">
        <x:v>45792</x:v>
      </x:c>
      <x:c r="I390" t="n">
        <x:v>120</x:v>
      </x:c>
      <x:c r="J390" t="n">
        <x:v>166817.81</x:v>
      </x:c>
      <x:c r="K390" t="str">
        <x:v>TWD</x:v>
      </x:c>
      <x:c r="L390" s="20" t="n">
        <x:v>45846</x:v>
      </x:c>
      <x:c r="M390" s="20" t="n">
        <x:v>45853</x:v>
      </x:c>
      <x:c r="N390" t="str">
        <x:v>否</x:v>
      </x:c>
      <x:c r="O390" t="str">
        <x:v>重要</x:v>
      </x:c>
      <x:c r="P390" t="str">
        <x:v>部分出貨</x:v>
      </x:c>
    </x:row>
    <x:row r="391" ht="20" customHeight="1">
      <x:c r="A391" t="str">
        <x:v>SO00390-01</x:v>
      </x:c>
      <x:c r="B391" t="str">
        <x:v>SO00390</x:v>
      </x:c>
      <x:c r="C391" t="str">
        <x:v>Q00599</x:v>
      </x:c>
      <x:c r="D391" t="str">
        <x:v>EMS-006</x:v>
      </x:c>
      <x:c r="E391" t="str">
        <x:v>S03</x:v>
      </x:c>
      <x:c r="F391" t="str">
        <x:v>AUTO-FL-A</x:v>
      </x:c>
      <x:c r="G391" t="str">
        <x:v>汽車精密零組件</x:v>
      </x:c>
      <x:c r="H391" s="20" t="n">
        <x:v>45804</x:v>
      </x:c>
      <x:c r="I391" t="n">
        <x:v>13000</x:v>
      </x:c>
      <x:c r="J391" t="n">
        <x:v>1255.76</x:v>
      </x:c>
      <x:c r="K391" t="str">
        <x:v>TWD</x:v>
      </x:c>
      <x:c r="L391" s="20" t="n">
        <x:v>45818</x:v>
      </x:c>
      <x:c r="M391" s="20" t="n">
        <x:v>45820</x:v>
      </x:c>
      <x:c r="N391" t="str">
        <x:v>否</x:v>
      </x:c>
      <x:c r="O391" t="str">
        <x:v>重要</x:v>
      </x:c>
      <x:c r="P391" t="str">
        <x:v>部分出貨</x:v>
      </x:c>
    </x:row>
    <x:row r="392" ht="20" customHeight="1">
      <x:c r="A392" t="str">
        <x:v>SO00391-01</x:v>
      </x:c>
      <x:c r="B392" t="str">
        <x:v>SO00391</x:v>
      </x:c>
      <x:c r="C392" t="str">
        <x:v>Q00600</x:v>
      </x:c>
      <x:c r="D392" t="str">
        <x:v>AUT-013</x:v>
      </x:c>
      <x:c r="E392" t="str">
        <x:v>S01</x:v>
      </x:c>
      <x:c r="F392" t="str">
        <x:v>PM-BRG-B</x:v>
      </x:c>
      <x:c r="G392" t="str">
        <x:v>精密金屬加工件</x:v>
      </x:c>
      <x:c r="H392" s="20" t="n">
        <x:v>45785</x:v>
      </x:c>
      <x:c r="I392" t="n">
        <x:v>1600</x:v>
      </x:c>
      <x:c r="J392" t="n">
        <x:v>7793.95</x:v>
      </x:c>
      <x:c r="K392" t="str">
        <x:v>TWD</x:v>
      </x:c>
      <x:c r="L392" s="20" t="n">
        <x:v>45802</x:v>
      </x:c>
      <x:c r="M392" s="20" t="n">
        <x:v>45808</x:v>
      </x:c>
      <x:c r="N392" t="str">
        <x:v>是</x:v>
      </x:c>
      <x:c r="O392" t="str">
        <x:v>重要</x:v>
      </x:c>
      <x:c r="P392" t="str">
        <x:v>部分出貨</x:v>
      </x:c>
    </x:row>
    <x:row r="393" ht="20" customHeight="1">
      <x:c r="A393" t="str">
        <x:v>SO00392-01</x:v>
      </x:c>
      <x:c r="B393" t="str">
        <x:v>SO00392</x:v>
      </x:c>
      <x:c r="C393" t="str">
        <x:v>Q00601</x:v>
      </x:c>
      <x:c r="D393" t="str">
        <x:v>AFT-005</x:v>
      </x:c>
      <x:c r="E393" t="str">
        <x:v>S05</x:v>
      </x:c>
      <x:c r="F393" t="str">
        <x:v>AUTO-FL-A</x:v>
      </x:c>
      <x:c r="G393" t="str">
        <x:v>汽車精密零組件</x:v>
      </x:c>
      <x:c r="H393" s="20" t="n">
        <x:v>45788</x:v>
      </x:c>
      <x:c r="I393" t="n">
        <x:v>5000</x:v>
      </x:c>
      <x:c r="J393" t="n">
        <x:v>1302.84</x:v>
      </x:c>
      <x:c r="K393" t="str">
        <x:v>TWD</x:v>
      </x:c>
      <x:c r="L393" s="20" t="n">
        <x:v>45799</x:v>
      </x:c>
      <x:c r="M393" s="20" t="n">
        <x:v>45803</x:v>
      </x:c>
      <x:c r="N393" t="str">
        <x:v>是</x:v>
      </x:c>
      <x:c r="O393" t="str">
        <x:v>VIP</x:v>
      </x:c>
      <x:c r="P393" t="str">
        <x:v>部分出貨</x:v>
      </x:c>
    </x:row>
    <x:row r="394" ht="20" customHeight="1">
      <x:c r="A394" t="str">
        <x:v>SO00393-01</x:v>
      </x:c>
      <x:c r="B394" t="str">
        <x:v>SO00393</x:v>
      </x:c>
      <x:c r="C394" t="str">
        <x:v>Q00602</x:v>
      </x:c>
      <x:c r="D394" t="str">
        <x:v>AFT-007</x:v>
      </x:c>
      <x:c r="E394" t="str">
        <x:v>S04</x:v>
      </x:c>
      <x:c r="F394" t="str">
        <x:v>AUTO-MH-A</x:v>
      </x:c>
      <x:c r="G394" t="str">
        <x:v>汽車精密零組件</x:v>
      </x:c>
      <x:c r="H394" s="20" t="n">
        <x:v>45805</x:v>
      </x:c>
      <x:c r="I394" t="n">
        <x:v>7000</x:v>
      </x:c>
      <x:c r="J394" t="n">
        <x:v>2598.25</x:v>
      </x:c>
      <x:c r="K394" t="str">
        <x:v>TWD</x:v>
      </x:c>
      <x:c r="L394" s="20" t="n">
        <x:v>45824</x:v>
      </x:c>
      <x:c r="M394" s="20" t="n">
        <x:v>45827</x:v>
      </x:c>
      <x:c r="N394" t="str">
        <x:v>否</x:v>
      </x:c>
      <x:c r="O394" t="str">
        <x:v>一般</x:v>
      </x:c>
      <x:c r="P394" t="str">
        <x:v>部分出貨</x:v>
      </x:c>
    </x:row>
    <x:row r="395" ht="20" customHeight="1">
      <x:c r="A395" t="str">
        <x:v>SO00394-01</x:v>
      </x:c>
      <x:c r="B395" t="str">
        <x:v>SO00394</x:v>
      </x:c>
      <x:c r="C395" t="str">
        <x:v>Q00604</x:v>
      </x:c>
      <x:c r="D395" t="str">
        <x:v>IAT-006</x:v>
      </x:c>
      <x:c r="E395" t="str">
        <x:v>S01</x:v>
      </x:c>
      <x:c r="F395" t="str">
        <x:v>AUTO-MH-A</x:v>
      </x:c>
      <x:c r="G395" t="str">
        <x:v>汽車精密零組件</x:v>
      </x:c>
      <x:c r="H395" s="20" t="n">
        <x:v>45790</x:v>
      </x:c>
      <x:c r="I395" t="n">
        <x:v>10000</x:v>
      </x:c>
      <x:c r="J395" t="n">
        <x:v>2536.68</x:v>
      </x:c>
      <x:c r="K395" t="str">
        <x:v>TWD</x:v>
      </x:c>
      <x:c r="L395" s="20" t="n">
        <x:v>45812</x:v>
      </x:c>
      <x:c r="M395" s="20" t="n">
        <x:v>45813</x:v>
      </x:c>
      <x:c r="N395" t="str">
        <x:v>否</x:v>
      </x:c>
      <x:c r="O395" t="str">
        <x:v>重要</x:v>
      </x:c>
      <x:c r="P395" t="str">
        <x:v>部分出貨</x:v>
      </x:c>
    </x:row>
    <x:row r="396" ht="20" customHeight="1">
      <x:c r="A396" t="str">
        <x:v>SO00395-01</x:v>
      </x:c>
      <x:c r="B396" t="str">
        <x:v>SO00395</x:v>
      </x:c>
      <x:c r="C396" t="str">
        <x:v>Q00605</x:v>
      </x:c>
      <x:c r="D396" t="str">
        <x:v>AFT-002</x:v>
      </x:c>
      <x:c r="E396" t="str">
        <x:v>S04</x:v>
      </x:c>
      <x:c r="F396" t="str">
        <x:v>AUTO-KN-A</x:v>
      </x:c>
      <x:c r="G396" t="str">
        <x:v>汽車精密零組件</x:v>
      </x:c>
      <x:c r="H396" s="20" t="n">
        <x:v>45788</x:v>
      </x:c>
      <x:c r="I396" t="n">
        <x:v>7000</x:v>
      </x:c>
      <x:c r="J396" t="n">
        <x:v>2935.46</x:v>
      </x:c>
      <x:c r="K396" t="str">
        <x:v>TWD</x:v>
      </x:c>
      <x:c r="L396" s="20" t="n">
        <x:v>45805</x:v>
      </x:c>
      <x:c r="M396" s="20" t="n">
        <x:v>45812</x:v>
      </x:c>
      <x:c r="N396" t="str">
        <x:v>是</x:v>
      </x:c>
      <x:c r="O396" t="str">
        <x:v>一般</x:v>
      </x:c>
      <x:c r="P396" t="str">
        <x:v>部分出貨</x:v>
      </x:c>
    </x:row>
    <x:row r="397" ht="20" customHeight="1">
      <x:c r="A397" t="str">
        <x:v>SO00396-01</x:v>
      </x:c>
      <x:c r="B397" t="str">
        <x:v>SO00396</x:v>
      </x:c>
      <x:c r="C397" t="str">
        <x:v>Q00607</x:v>
      </x:c>
      <x:c r="D397" t="str">
        <x:v>AUT-011</x:v>
      </x:c>
      <x:c r="E397" t="str">
        <x:v>S02</x:v>
      </x:c>
      <x:c r="F397" t="str">
        <x:v>AUTO-FL-A</x:v>
      </x:c>
      <x:c r="G397" t="str">
        <x:v>汽車精密零組件</x:v>
      </x:c>
      <x:c r="H397" s="20" t="n">
        <x:v>45807</x:v>
      </x:c>
      <x:c r="I397" t="n">
        <x:v>5000</x:v>
      </x:c>
      <x:c r="J397" t="n">
        <x:v>1289.17</x:v>
      </x:c>
      <x:c r="K397" t="str">
        <x:v>TWD</x:v>
      </x:c>
      <x:c r="L397" s="20" t="n">
        <x:v>45822</x:v>
      </x:c>
      <x:c r="M397" s="20" t="n">
        <x:v>45822</x:v>
      </x:c>
      <x:c r="N397" t="str">
        <x:v>否</x:v>
      </x:c>
      <x:c r="O397" t="str">
        <x:v>重要</x:v>
      </x:c>
      <x:c r="P397" t="str">
        <x:v>部分出貨</x:v>
      </x:c>
    </x:row>
    <x:row r="398" ht="20" customHeight="1">
      <x:c r="A398" t="str">
        <x:v>SO00397-01</x:v>
      </x:c>
      <x:c r="B398" t="str">
        <x:v>SO00397</x:v>
      </x:c>
      <x:c r="C398" t="str">
        <x:v>Q00609</x:v>
      </x:c>
      <x:c r="D398" t="str">
        <x:v>SEM-001</x:v>
      </x:c>
      <x:c r="E398" t="str">
        <x:v>S01</x:v>
      </x:c>
      <x:c r="F398" t="str">
        <x:v>PM-BRG-A</x:v>
      </x:c>
      <x:c r="G398" t="str">
        <x:v>精密金屬加工件</x:v>
      </x:c>
      <x:c r="H398" s="20" t="n">
        <x:v>45810</x:v>
      </x:c>
      <x:c r="I398" t="n">
        <x:v>1600</x:v>
      </x:c>
      <x:c r="J398" t="n">
        <x:v>6853.8</x:v>
      </x:c>
      <x:c r="K398" t="str">
        <x:v>TWD</x:v>
      </x:c>
      <x:c r="L398" s="20" t="n">
        <x:v>45825</x:v>
      </x:c>
      <x:c r="M398" s="20" t="n">
        <x:v>45830</x:v>
      </x:c>
      <x:c r="N398" t="str">
        <x:v>是</x:v>
      </x:c>
      <x:c r="O398" t="str">
        <x:v>重要</x:v>
      </x:c>
      <x:c r="P398" t="str">
        <x:v>部分出貨</x:v>
      </x:c>
    </x:row>
    <x:row r="399" ht="20" customHeight="1">
      <x:c r="A399" t="str">
        <x:v>SO00398-01</x:v>
      </x:c>
      <x:c r="B399" t="str">
        <x:v>SO00398</x:v>
      </x:c>
      <x:c r="C399" t="str">
        <x:v>Q00611</x:v>
      </x:c>
      <x:c r="D399" t="str">
        <x:v>AUT-005</x:v>
      </x:c>
      <x:c r="E399" t="str">
        <x:v>S04</x:v>
      </x:c>
      <x:c r="F399" t="str">
        <x:v>PM-VAC-A</x:v>
      </x:c>
      <x:c r="G399" t="str">
        <x:v>精密金屬加工件</x:v>
      </x:c>
      <x:c r="H399" s="20" t="n">
        <x:v>45798</x:v>
      </x:c>
      <x:c r="I399" t="n">
        <x:v>500</x:v>
      </x:c>
      <x:c r="J399" t="n">
        <x:v>16410.58</x:v>
      </x:c>
      <x:c r="K399" t="str">
        <x:v>TWD</x:v>
      </x:c>
      <x:c r="L399" s="20" t="n">
        <x:v>45826</x:v>
      </x:c>
      <x:c r="M399" s="20" t="n">
        <x:v>45830</x:v>
      </x:c>
      <x:c r="N399" t="str">
        <x:v>否</x:v>
      </x:c>
      <x:c r="O399" t="str">
        <x:v>VIP</x:v>
      </x:c>
      <x:c r="P399" t="str">
        <x:v>部分出貨</x:v>
      </x:c>
    </x:row>
    <x:row r="400" ht="20" customHeight="1">
      <x:c r="A400" t="str">
        <x:v>SO00399-01</x:v>
      </x:c>
      <x:c r="B400" t="str">
        <x:v>SO00399</x:v>
      </x:c>
      <x:c r="C400" t="str">
        <x:v>Q00612</x:v>
      </x:c>
      <x:c r="D400" t="str">
        <x:v>EMS-003</x:v>
      </x:c>
      <x:c r="E400" t="str">
        <x:v>S05</x:v>
      </x:c>
      <x:c r="F400" t="str">
        <x:v>PM-SUS-B</x:v>
      </x:c>
      <x:c r="G400" t="str">
        <x:v>精密金屬加工件</x:v>
      </x:c>
      <x:c r="H400" s="20" t="n">
        <x:v>45790</x:v>
      </x:c>
      <x:c r="I400" t="n">
        <x:v>1200</x:v>
      </x:c>
      <x:c r="J400" t="n">
        <x:v>13402.55</x:v>
      </x:c>
      <x:c r="K400" t="str">
        <x:v>TWD</x:v>
      </x:c>
      <x:c r="L400" s="20" t="n">
        <x:v>45813</x:v>
      </x:c>
      <x:c r="M400" s="20" t="n">
        <x:v>45819</x:v>
      </x:c>
      <x:c r="N400" t="str">
        <x:v>否</x:v>
      </x:c>
      <x:c r="O400" t="str">
        <x:v>一般</x:v>
      </x:c>
      <x:c r="P400" t="str">
        <x:v>部分出貨</x:v>
      </x:c>
    </x:row>
    <x:row r="401" ht="20" customHeight="1">
      <x:c r="A401" t="str">
        <x:v>SO00400-01</x:v>
      </x:c>
      <x:c r="B401" t="str">
        <x:v>SO00400</x:v>
      </x:c>
      <x:c r="C401" t="str">
        <x:v>Q00613</x:v>
      </x:c>
      <x:c r="D401" t="str">
        <x:v>SEM-002</x:v>
      </x:c>
      <x:c r="E401" t="str">
        <x:v>S02</x:v>
      </x:c>
      <x:c r="F401" t="str">
        <x:v>PM-ALB-A</x:v>
      </x:c>
      <x:c r="G401" t="str">
        <x:v>精密金屬加工件</x:v>
      </x:c>
      <x:c r="H401" s="20" t="n">
        <x:v>45812</x:v>
      </x:c>
      <x:c r="I401" t="n">
        <x:v>1600</x:v>
      </x:c>
      <x:c r="J401" t="n">
        <x:v>10318.66</x:v>
      </x:c>
      <x:c r="K401" t="str">
        <x:v>TWD</x:v>
      </x:c>
      <x:c r="L401" s="20" t="n">
        <x:v>45830</x:v>
      </x:c>
      <x:c r="M401" s="20" t="n">
        <x:v>45838</x:v>
      </x:c>
      <x:c r="N401" t="str">
        <x:v>是</x:v>
      </x:c>
      <x:c r="O401" t="str">
        <x:v>重要</x:v>
      </x:c>
      <x:c r="P401" t="str">
        <x:v>部分出貨</x:v>
      </x:c>
    </x:row>
    <x:row r="402" ht="20" customHeight="1">
      <x:c r="A402" t="str">
        <x:v>SO00401-01</x:v>
      </x:c>
      <x:c r="B402" t="str">
        <x:v>SO00401</x:v>
      </x:c>
      <x:c r="C402" t="str">
        <x:v>Q00614</x:v>
      </x:c>
      <x:c r="D402" t="str">
        <x:v>EMS-005</x:v>
      </x:c>
      <x:c r="E402" t="str">
        <x:v>S01</x:v>
      </x:c>
      <x:c r="F402" t="str">
        <x:v>AUTO-MH-B</x:v>
      </x:c>
      <x:c r="G402" t="str">
        <x:v>汽車精密零組件</x:v>
      </x:c>
      <x:c r="H402" s="20" t="n">
        <x:v>45800</x:v>
      </x:c>
      <x:c r="I402" t="n">
        <x:v>7000</x:v>
      </x:c>
      <x:c r="J402" t="n">
        <x:v>2965.61</x:v>
      </x:c>
      <x:c r="K402" t="str">
        <x:v>TWD</x:v>
      </x:c>
      <x:c r="L402" s="20" t="n">
        <x:v>45824</x:v>
      </x:c>
      <x:c r="M402" s="20" t="n">
        <x:v>45824</x:v>
      </x:c>
      <x:c r="N402" t="str">
        <x:v>是</x:v>
      </x:c>
      <x:c r="O402" t="str">
        <x:v>VIP</x:v>
      </x:c>
      <x:c r="P402" t="str">
        <x:v>部分出貨</x:v>
      </x:c>
    </x:row>
    <x:row r="403" ht="20" customHeight="1">
      <x:c r="A403" t="str">
        <x:v>SO00402-01</x:v>
      </x:c>
      <x:c r="B403" t="str">
        <x:v>SO00402</x:v>
      </x:c>
      <x:c r="C403" t="str">
        <x:v>Q00618</x:v>
      </x:c>
      <x:c r="D403" t="str">
        <x:v>EMS-008</x:v>
      </x:c>
      <x:c r="E403" t="str">
        <x:v>S02</x:v>
      </x:c>
      <x:c r="F403" t="str">
        <x:v>PM-VAC-B</x:v>
      </x:c>
      <x:c r="G403" t="str">
        <x:v>精密金屬加工件</x:v>
      </x:c>
      <x:c r="H403" s="20" t="n">
        <x:v>45788</x:v>
      </x:c>
      <x:c r="I403" t="n">
        <x:v>1600</x:v>
      </x:c>
      <x:c r="J403" t="n">
        <x:v>22966.39</x:v>
      </x:c>
      <x:c r="K403" t="str">
        <x:v>TWD</x:v>
      </x:c>
      <x:c r="L403" s="20" t="n">
        <x:v>45817</x:v>
      </x:c>
      <x:c r="M403" s="20" t="n">
        <x:v>45821</x:v>
      </x:c>
      <x:c r="N403" t="str">
        <x:v>否</x:v>
      </x:c>
      <x:c r="O403" t="str">
        <x:v>重要</x:v>
      </x:c>
      <x:c r="P403" t="str">
        <x:v>部分出貨</x:v>
      </x:c>
    </x:row>
    <x:row r="404" ht="20" customHeight="1">
      <x:c r="A404" t="str">
        <x:v>SO00403-01</x:v>
      </x:c>
      <x:c r="B404" t="str">
        <x:v>SO00403</x:v>
      </x:c>
      <x:c r="C404" t="str">
        <x:v>Q00619</x:v>
      </x:c>
      <x:c r="D404" t="str">
        <x:v>AUT-009</x:v>
      </x:c>
      <x:c r="E404" t="str">
        <x:v>S04</x:v>
      </x:c>
      <x:c r="F404" t="str">
        <x:v>AUTO-KN-A</x:v>
      </x:c>
      <x:c r="G404" t="str">
        <x:v>汽車精密零組件</x:v>
      </x:c>
      <x:c r="H404" s="20" t="n">
        <x:v>45788</x:v>
      </x:c>
      <x:c r="I404" t="n">
        <x:v>10000</x:v>
      </x:c>
      <x:c r="J404" t="n">
        <x:v>3131.09</x:v>
      </x:c>
      <x:c r="K404" t="str">
        <x:v>TWD</x:v>
      </x:c>
      <x:c r="L404" s="20" t="n">
        <x:v>45810</x:v>
      </x:c>
      <x:c r="M404" s="20" t="n">
        <x:v>45812</x:v>
      </x:c>
      <x:c r="N404" t="str">
        <x:v>否</x:v>
      </x:c>
      <x:c r="O404" t="str">
        <x:v>重要</x:v>
      </x:c>
      <x:c r="P404" t="str">
        <x:v>部分出貨</x:v>
      </x:c>
    </x:row>
    <x:row r="405" ht="20" customHeight="1">
      <x:c r="A405" t="str">
        <x:v>SO00404-01</x:v>
      </x:c>
      <x:c r="B405" t="str">
        <x:v>SO00404</x:v>
      </x:c>
      <x:c r="C405" t="str">
        <x:v>Q00620</x:v>
      </x:c>
      <x:c r="D405" t="str">
        <x:v>SEM-005</x:v>
      </x:c>
      <x:c r="E405" t="str">
        <x:v>S06</x:v>
      </x:c>
      <x:c r="F405" t="str">
        <x:v>MECH-CON-A</x:v>
      </x:c>
      <x:c r="G405" t="str">
        <x:v>機電／自動化模組</x:v>
      </x:c>
      <x:c r="H405" s="20" t="n">
        <x:v>45803</x:v>
      </x:c>
      <x:c r="I405" t="n">
        <x:v>30</x:v>
      </x:c>
      <x:c r="J405" t="n">
        <x:v>110557</x:v>
      </x:c>
      <x:c r="K405" t="str">
        <x:v>TWD</x:v>
      </x:c>
      <x:c r="L405" s="20" t="n">
        <x:v>45832</x:v>
      </x:c>
      <x:c r="M405" s="20" t="n">
        <x:v>45837</x:v>
      </x:c>
      <x:c r="N405" t="str">
        <x:v>是</x:v>
      </x:c>
      <x:c r="O405" t="str">
        <x:v>重要</x:v>
      </x:c>
      <x:c r="P405" t="str">
        <x:v>已出貨</x:v>
      </x:c>
    </x:row>
    <x:row r="406" ht="20" customHeight="1">
      <x:c r="A406" t="str">
        <x:v>SO00405-01</x:v>
      </x:c>
      <x:c r="B406" t="str">
        <x:v>SO00405</x:v>
      </x:c>
      <x:c r="C406" t="str">
        <x:v>Q00622</x:v>
      </x:c>
      <x:c r="D406" t="str">
        <x:v>EMS-002</x:v>
      </x:c>
      <x:c r="E406" t="str">
        <x:v>S05</x:v>
      </x:c>
      <x:c r="F406" t="str">
        <x:v>AUTO-KN-A</x:v>
      </x:c>
      <x:c r="G406" t="str">
        <x:v>汽車精密零組件</x:v>
      </x:c>
      <x:c r="H406" s="20" t="n">
        <x:v>45793</x:v>
      </x:c>
      <x:c r="I406" t="n">
        <x:v>3000</x:v>
      </x:c>
      <x:c r="J406" t="n">
        <x:v>3113.99</x:v>
      </x:c>
      <x:c r="K406" t="str">
        <x:v>TWD</x:v>
      </x:c>
      <x:c r="L406" s="20" t="n">
        <x:v>45819</x:v>
      </x:c>
      <x:c r="M406" s="20" t="n">
        <x:v>45819</x:v>
      </x:c>
      <x:c r="N406" t="str">
        <x:v>否</x:v>
      </x:c>
      <x:c r="O406" t="str">
        <x:v>重要</x:v>
      </x:c>
      <x:c r="P406" t="str">
        <x:v>部分出貨</x:v>
      </x:c>
    </x:row>
    <x:row r="407" ht="20" customHeight="1">
      <x:c r="A407" t="str">
        <x:v>SO00406-01</x:v>
      </x:c>
      <x:c r="B407" t="str">
        <x:v>SO00406</x:v>
      </x:c>
      <x:c r="C407" t="str">
        <x:v>Q00625</x:v>
      </x:c>
      <x:c r="D407" t="str">
        <x:v>AUT-002</x:v>
      </x:c>
      <x:c r="E407" t="str">
        <x:v>S04</x:v>
      </x:c>
      <x:c r="F407" t="str">
        <x:v>PM-SUS-B</x:v>
      </x:c>
      <x:c r="G407" t="str">
        <x:v>精密金屬加工件</x:v>
      </x:c>
      <x:c r="H407" s="20" t="n">
        <x:v>45798</x:v>
      </x:c>
      <x:c r="I407" t="n">
        <x:v>800</x:v>
      </x:c>
      <x:c r="J407" t="n">
        <x:v>15473.07</x:v>
      </x:c>
      <x:c r="K407" t="str">
        <x:v>TWD</x:v>
      </x:c>
      <x:c r="L407" s="20" t="n">
        <x:v>45820</x:v>
      </x:c>
      <x:c r="M407" s="20" t="n">
        <x:v>45827</x:v>
      </x:c>
      <x:c r="N407" t="str">
        <x:v>是</x:v>
      </x:c>
      <x:c r="O407" t="str">
        <x:v>重要</x:v>
      </x:c>
      <x:c r="P407" t="str">
        <x:v>部分出貨</x:v>
      </x:c>
    </x:row>
    <x:row r="408" ht="20" customHeight="1">
      <x:c r="A408" t="str">
        <x:v>SO00407-01</x:v>
      </x:c>
      <x:c r="B408" t="str">
        <x:v>SO00407</x:v>
      </x:c>
      <x:c r="C408" t="str">
        <x:v>Q00626</x:v>
      </x:c>
      <x:c r="D408" t="str">
        <x:v>EMS-001</x:v>
      </x:c>
      <x:c r="E408" t="str">
        <x:v>S02</x:v>
      </x:c>
      <x:c r="F408" t="str">
        <x:v>MECH-CON-A</x:v>
      </x:c>
      <x:c r="G408" t="str">
        <x:v>機電／自動化模組</x:v>
      </x:c>
      <x:c r="H408" s="20" t="n">
        <x:v>45798</x:v>
      </x:c>
      <x:c r="I408" t="n">
        <x:v>50</x:v>
      </x:c>
      <x:c r="J408" t="n">
        <x:v>115662.19</x:v>
      </x:c>
      <x:c r="K408" t="str">
        <x:v>TWD</x:v>
      </x:c>
      <x:c r="L408" s="20" t="n">
        <x:v>45828</x:v>
      </x:c>
      <x:c r="M408" s="20" t="n">
        <x:v>45833</x:v>
      </x:c>
      <x:c r="N408" t="str">
        <x:v>否</x:v>
      </x:c>
      <x:c r="O408" t="str">
        <x:v>一般</x:v>
      </x:c>
      <x:c r="P408" t="str">
        <x:v>已出貨</x:v>
      </x:c>
    </x:row>
    <x:row r="409" ht="20" customHeight="1">
      <x:c r="A409" t="str">
        <x:v>SO00408-01</x:v>
      </x:c>
      <x:c r="B409" t="str">
        <x:v>SO00408</x:v>
      </x:c>
      <x:c r="C409" t="str">
        <x:v>Q00627</x:v>
      </x:c>
      <x:c r="D409" t="str">
        <x:v>AUT-012</x:v>
      </x:c>
      <x:c r="E409" t="str">
        <x:v>S06</x:v>
      </x:c>
      <x:c r="F409" t="str">
        <x:v>PM-SUS-B</x:v>
      </x:c>
      <x:c r="G409" t="str">
        <x:v>精密金屬加工件</x:v>
      </x:c>
      <x:c r="H409" s="20" t="n">
        <x:v>45793</x:v>
      </x:c>
      <x:c r="I409" t="n">
        <x:v>800</x:v>
      </x:c>
      <x:c r="J409" t="n">
        <x:v>15147.52</x:v>
      </x:c>
      <x:c r="K409" t="str">
        <x:v>TWD</x:v>
      </x:c>
      <x:c r="L409" s="20" t="n">
        <x:v>45824</x:v>
      </x:c>
      <x:c r="M409" s="20" t="n">
        <x:v>45824</x:v>
      </x:c>
      <x:c r="N409" t="str">
        <x:v>否</x:v>
      </x:c>
      <x:c r="O409" t="str">
        <x:v>VIP</x:v>
      </x:c>
      <x:c r="P409" t="str">
        <x:v>部分出貨</x:v>
      </x:c>
    </x:row>
    <x:row r="410" ht="20" customHeight="1">
      <x:c r="A410" t="str">
        <x:v>SO00409-01</x:v>
      </x:c>
      <x:c r="B410" t="str">
        <x:v>SO00409</x:v>
      </x:c>
      <x:c r="C410" t="str">
        <x:v>Q00629</x:v>
      </x:c>
      <x:c r="D410" t="str">
        <x:v>AUT-013</x:v>
      </x:c>
      <x:c r="E410" t="str">
        <x:v>S01</x:v>
      </x:c>
      <x:c r="F410" t="str">
        <x:v>MECH-STG-B</x:v>
      </x:c>
      <x:c r="G410" t="str">
        <x:v>機電／自動化模組</x:v>
      </x:c>
      <x:c r="H410" s="20" t="n">
        <x:v>45822</x:v>
      </x:c>
      <x:c r="I410" t="n">
        <x:v>30</x:v>
      </x:c>
      <x:c r="J410" t="n">
        <x:v>193016.76</x:v>
      </x:c>
      <x:c r="K410" t="str">
        <x:v>TWD</x:v>
      </x:c>
      <x:c r="L410" s="20" t="n">
        <x:v>45875</x:v>
      </x:c>
      <x:c r="M410" s="20" t="n">
        <x:v>45875</x:v>
      </x:c>
      <x:c r="N410" t="str">
        <x:v>否</x:v>
      </x:c>
      <x:c r="O410" t="str">
        <x:v>重要</x:v>
      </x:c>
      <x:c r="P410" t="str">
        <x:v>已出貨</x:v>
      </x:c>
    </x:row>
    <x:row r="411" ht="20" customHeight="1">
      <x:c r="A411" t="str">
        <x:v>SO00410-01</x:v>
      </x:c>
      <x:c r="B411" t="str">
        <x:v>SO00410</x:v>
      </x:c>
      <x:c r="C411" t="str">
        <x:v>Q00630</x:v>
      </x:c>
      <x:c r="D411" t="str">
        <x:v>AFT-005</x:v>
      </x:c>
      <x:c r="E411" t="str">
        <x:v>S05</x:v>
      </x:c>
      <x:c r="F411" t="str">
        <x:v>AUTO-BRK-A</x:v>
      </x:c>
      <x:c r="G411" t="str">
        <x:v>汽車精密零組件</x:v>
      </x:c>
      <x:c r="H411" s="20" t="n">
        <x:v>45827</x:v>
      </x:c>
      <x:c r="I411" t="n">
        <x:v>7000</x:v>
      </x:c>
      <x:c r="J411" t="n">
        <x:v>1723.96</x:v>
      </x:c>
      <x:c r="K411" t="str">
        <x:v>TWD</x:v>
      </x:c>
      <x:c r="L411" s="20" t="n">
        <x:v>45840</x:v>
      </x:c>
      <x:c r="M411" s="20" t="n">
        <x:v>45845</x:v>
      </x:c>
      <x:c r="N411" t="str">
        <x:v>是</x:v>
      </x:c>
      <x:c r="O411" t="str">
        <x:v>VIP</x:v>
      </x:c>
      <x:c r="P411" t="str">
        <x:v>部分出貨</x:v>
      </x:c>
    </x:row>
    <x:row r="412" ht="20" customHeight="1">
      <x:c r="A412" t="str">
        <x:v>SO00411-01</x:v>
      </x:c>
      <x:c r="B412" t="str">
        <x:v>SO00411</x:v>
      </x:c>
      <x:c r="C412" t="str">
        <x:v>Q00632</x:v>
      </x:c>
      <x:c r="D412" t="str">
        <x:v>SEM-001</x:v>
      </x:c>
      <x:c r="E412" t="str">
        <x:v>S01</x:v>
      </x:c>
      <x:c r="F412" t="str">
        <x:v>PM-ALB-A</x:v>
      </x:c>
      <x:c r="G412" t="str">
        <x:v>精密金屬加工件</x:v>
      </x:c>
      <x:c r="H412" s="20" t="n">
        <x:v>45820</x:v>
      </x:c>
      <x:c r="I412" t="n">
        <x:v>500</x:v>
      </x:c>
      <x:c r="J412" t="n">
        <x:v>10891.89</x:v>
      </x:c>
      <x:c r="K412" t="str">
        <x:v>TWD</x:v>
      </x:c>
      <x:c r="L412" s="20" t="n">
        <x:v>45847</x:v>
      </x:c>
      <x:c r="M412" s="20" t="n">
        <x:v>45847</x:v>
      </x:c>
      <x:c r="N412" t="str">
        <x:v>否</x:v>
      </x:c>
      <x:c r="O412" t="str">
        <x:v>重要</x:v>
      </x:c>
      <x:c r="P412" t="str">
        <x:v>部分出貨</x:v>
      </x:c>
    </x:row>
    <x:row r="413" ht="20" customHeight="1">
      <x:c r="A413" t="str">
        <x:v>SO00412-01</x:v>
      </x:c>
      <x:c r="B413" t="str">
        <x:v>SO00412</x:v>
      </x:c>
      <x:c r="C413" t="str">
        <x:v>Q00633</x:v>
      </x:c>
      <x:c r="D413" t="str">
        <x:v>AFT-006</x:v>
      </x:c>
      <x:c r="E413" t="str">
        <x:v>S01</x:v>
      </x:c>
      <x:c r="F413" t="str">
        <x:v>AUTO-BRK-A</x:v>
      </x:c>
      <x:c r="G413" t="str">
        <x:v>汽車精密零組件</x:v>
      </x:c>
      <x:c r="H413" s="20" t="n">
        <x:v>45816</x:v>
      </x:c>
      <x:c r="I413" t="n">
        <x:v>5000</x:v>
      </x:c>
      <x:c r="J413" t="n">
        <x:v>1651.6</x:v>
      </x:c>
      <x:c r="K413" t="str">
        <x:v>TWD</x:v>
      </x:c>
      <x:c r="L413" s="20" t="n">
        <x:v>45833</x:v>
      </x:c>
      <x:c r="M413" s="20" t="n">
        <x:v>45833</x:v>
      </x:c>
      <x:c r="N413" t="str">
        <x:v>否</x:v>
      </x:c>
      <x:c r="O413" t="str">
        <x:v>一般</x:v>
      </x:c>
      <x:c r="P413" t="str">
        <x:v>部分出貨</x:v>
      </x:c>
    </x:row>
    <x:row r="414" ht="20" customHeight="1">
      <x:c r="A414" t="str">
        <x:v>SO00413-01</x:v>
      </x:c>
      <x:c r="B414" t="str">
        <x:v>SO00413</x:v>
      </x:c>
      <x:c r="C414" t="str">
        <x:v>Q00634</x:v>
      </x:c>
      <x:c r="D414" t="str">
        <x:v>AUT-014</x:v>
      </x:c>
      <x:c r="E414" t="str">
        <x:v>S06</x:v>
      </x:c>
      <x:c r="F414" t="str">
        <x:v>MECH-CON-B</x:v>
      </x:c>
      <x:c r="G414" t="str">
        <x:v>機電／自動化模組</x:v>
      </x:c>
      <x:c r="H414" s="20" t="n">
        <x:v>45835</x:v>
      </x:c>
      <x:c r="I414" t="n">
        <x:v>40</x:v>
      </x:c>
      <x:c r="J414" t="n">
        <x:v>163113.81</x:v>
      </x:c>
      <x:c r="K414" t="str">
        <x:v>TWD</x:v>
      </x:c>
      <x:c r="L414" s="20" t="n">
        <x:v>45885</x:v>
      </x:c>
      <x:c r="M414" s="20" t="n">
        <x:v>45885</x:v>
      </x:c>
      <x:c r="N414" t="str">
        <x:v>否</x:v>
      </x:c>
      <x:c r="O414" t="str">
        <x:v>重要</x:v>
      </x:c>
      <x:c r="P414" t="str">
        <x:v>已出貨</x:v>
      </x:c>
    </x:row>
    <x:row r="415" ht="20" customHeight="1">
      <x:c r="A415" t="str">
        <x:v>SO00414-01</x:v>
      </x:c>
      <x:c r="B415" t="str">
        <x:v>SO00414</x:v>
      </x:c>
      <x:c r="C415" t="str">
        <x:v>Q00636</x:v>
      </x:c>
      <x:c r="D415" t="str">
        <x:v>IAT-009</x:v>
      </x:c>
      <x:c r="E415" t="str">
        <x:v>S04</x:v>
      </x:c>
      <x:c r="F415" t="str">
        <x:v>AUTO-FL-A</x:v>
      </x:c>
      <x:c r="G415" t="str">
        <x:v>汽車精密零組件</x:v>
      </x:c>
      <x:c r="H415" s="20" t="n">
        <x:v>45845</x:v>
      </x:c>
      <x:c r="I415" t="n">
        <x:v>10000</x:v>
      </x:c>
      <x:c r="J415" t="n">
        <x:v>1284.43</x:v>
      </x:c>
      <x:c r="K415" t="str">
        <x:v>TWD</x:v>
      </x:c>
      <x:c r="L415" s="20" t="n">
        <x:v>45863</x:v>
      </x:c>
      <x:c r="M415" s="20" t="n">
        <x:v>45863</x:v>
      </x:c>
      <x:c r="N415" t="str">
        <x:v>否</x:v>
      </x:c>
      <x:c r="O415" t="str">
        <x:v>重要</x:v>
      </x:c>
      <x:c r="P415" t="str">
        <x:v>部分出貨</x:v>
      </x:c>
    </x:row>
    <x:row r="416" ht="20" customHeight="1">
      <x:c r="A416" t="str">
        <x:v>SO00415-01</x:v>
      </x:c>
      <x:c r="B416" t="str">
        <x:v>SO00415</x:v>
      </x:c>
      <x:c r="C416" t="str">
        <x:v>Q00637</x:v>
      </x:c>
      <x:c r="D416" t="str">
        <x:v>EMS-004</x:v>
      </x:c>
      <x:c r="E416" t="str">
        <x:v>S03</x:v>
      </x:c>
      <x:c r="F416" t="str">
        <x:v>MECH-STG-B</x:v>
      </x:c>
      <x:c r="G416" t="str">
        <x:v>機電／自動化模組</x:v>
      </x:c>
      <x:c r="H416" s="20" t="n">
        <x:v>45840</x:v>
      </x:c>
      <x:c r="I416" t="n">
        <x:v>30</x:v>
      </x:c>
      <x:c r="J416" t="n">
        <x:v>185374.06</x:v>
      </x:c>
      <x:c r="K416" t="str">
        <x:v>TWD</x:v>
      </x:c>
      <x:c r="L416" s="20" t="n">
        <x:v>45897</x:v>
      </x:c>
      <x:c r="M416" s="20" t="n">
        <x:v>45897</x:v>
      </x:c>
      <x:c r="N416" t="str">
        <x:v>否</x:v>
      </x:c>
      <x:c r="O416" t="str">
        <x:v>VIP</x:v>
      </x:c>
      <x:c r="P416" t="str">
        <x:v>已出貨</x:v>
      </x:c>
    </x:row>
    <x:row r="417" ht="20" customHeight="1">
      <x:c r="A417" t="str">
        <x:v>SO00416-01</x:v>
      </x:c>
      <x:c r="B417" t="str">
        <x:v>SO00416</x:v>
      </x:c>
      <x:c r="C417" t="str">
        <x:v>Q00638</x:v>
      </x:c>
      <x:c r="D417" t="str">
        <x:v>IAT-007</x:v>
      </x:c>
      <x:c r="E417" t="str">
        <x:v>S04</x:v>
      </x:c>
      <x:c r="F417" t="str">
        <x:v>PM-BRG-A</x:v>
      </x:c>
      <x:c r="G417" t="str">
        <x:v>精密金屬加工件</x:v>
      </x:c>
      <x:c r="H417" s="20" t="n">
        <x:v>45850</x:v>
      </x:c>
      <x:c r="I417" t="n">
        <x:v>1200</x:v>
      </x:c>
      <x:c r="J417" t="n">
        <x:v>6927.95</x:v>
      </x:c>
      <x:c r="K417" t="str">
        <x:v>TWD</x:v>
      </x:c>
      <x:c r="L417" s="20" t="n">
        <x:v>45870</x:v>
      </x:c>
      <x:c r="M417" s="20" t="n">
        <x:v>45870</x:v>
      </x:c>
      <x:c r="N417" t="str">
        <x:v>否</x:v>
      </x:c>
      <x:c r="O417" t="str">
        <x:v>重要</x:v>
      </x:c>
      <x:c r="P417" t="str">
        <x:v>部分出貨</x:v>
      </x:c>
    </x:row>
    <x:row r="418" ht="20" customHeight="1">
      <x:c r="A418" t="str">
        <x:v>SO00417-01</x:v>
      </x:c>
      <x:c r="B418" t="str">
        <x:v>SO00417</x:v>
      </x:c>
      <x:c r="C418" t="str">
        <x:v>Q00640</x:v>
      </x:c>
      <x:c r="D418" t="str">
        <x:v>IAT-004</x:v>
      </x:c>
      <x:c r="E418" t="str">
        <x:v>S05</x:v>
      </x:c>
      <x:c r="F418" t="str">
        <x:v>PM-SUS-A</x:v>
      </x:c>
      <x:c r="G418" t="str">
        <x:v>精密金屬加工件</x:v>
      </x:c>
      <x:c r="H418" s="20" t="n">
        <x:v>45836</x:v>
      </x:c>
      <x:c r="I418" t="n">
        <x:v>800</x:v>
      </x:c>
      <x:c r="J418" t="n">
        <x:v>10459.99</x:v>
      </x:c>
      <x:c r="K418" t="str">
        <x:v>TWD</x:v>
      </x:c>
      <x:c r="L418" s="20" t="n">
        <x:v>45854</x:v>
      </x:c>
      <x:c r="M418" s="20" t="n">
        <x:v>45860</x:v>
      </x:c>
      <x:c r="N418" t="str">
        <x:v>是</x:v>
      </x:c>
      <x:c r="O418" t="str">
        <x:v>重要</x:v>
      </x:c>
      <x:c r="P418" t="str">
        <x:v>部分出貨</x:v>
      </x:c>
    </x:row>
    <x:row r="419" ht="20" customHeight="1">
      <x:c r="A419" t="str">
        <x:v>SO00418-01</x:v>
      </x:c>
      <x:c r="B419" t="str">
        <x:v>SO00418</x:v>
      </x:c>
      <x:c r="C419" t="str">
        <x:v>Q00641</x:v>
      </x:c>
      <x:c r="D419" t="str">
        <x:v>IAT-008</x:v>
      </x:c>
      <x:c r="E419" t="str">
        <x:v>S01</x:v>
      </x:c>
      <x:c r="F419" t="str">
        <x:v>SEMI-WH-A</x:v>
      </x:c>
      <x:c r="G419" t="str">
        <x:v>半導體設備零組件</x:v>
      </x:c>
      <x:c r="H419" s="20" t="n">
        <x:v>45830</x:v>
      </x:c>
      <x:c r="I419" t="n">
        <x:v>160</x:v>
      </x:c>
      <x:c r="J419" t="n">
        <x:v>115339.63</x:v>
      </x:c>
      <x:c r="K419" t="str">
        <x:v>TWD</x:v>
      </x:c>
      <x:c r="L419" s="20" t="n">
        <x:v>45867</x:v>
      </x:c>
      <x:c r="M419" s="20" t="n">
        <x:v>45880</x:v>
      </x:c>
      <x:c r="N419" t="str">
        <x:v>是</x:v>
      </x:c>
      <x:c r="O419" t="str">
        <x:v>重要</x:v>
      </x:c>
      <x:c r="P419" t="str">
        <x:v>部分出貨</x:v>
      </x:c>
    </x:row>
    <x:row r="420" ht="20" customHeight="1">
      <x:c r="A420" t="str">
        <x:v>SO00419-01</x:v>
      </x:c>
      <x:c r="B420" t="str">
        <x:v>SO00419</x:v>
      </x:c>
      <x:c r="C420" t="str">
        <x:v>Q00642</x:v>
      </x:c>
      <x:c r="D420" t="str">
        <x:v>IAT-006</x:v>
      </x:c>
      <x:c r="E420" t="str">
        <x:v>S01</x:v>
      </x:c>
      <x:c r="F420" t="str">
        <x:v>PM-ALB-B</x:v>
      </x:c>
      <x:c r="G420" t="str">
        <x:v>精密金屬加工件</x:v>
      </x:c>
      <x:c r="H420" s="20" t="n">
        <x:v>45825</x:v>
      </x:c>
      <x:c r="I420" t="n">
        <x:v>500</x:v>
      </x:c>
      <x:c r="J420" t="n">
        <x:v>16166.43</x:v>
      </x:c>
      <x:c r="K420" t="str">
        <x:v>TWD</x:v>
      </x:c>
      <x:c r="L420" s="20" t="n">
        <x:v>45856</x:v>
      </x:c>
      <x:c r="M420" s="20" t="n">
        <x:v>45857</x:v>
      </x:c>
      <x:c r="N420" t="str">
        <x:v>否</x:v>
      </x:c>
      <x:c r="O420" t="str">
        <x:v>重要</x:v>
      </x:c>
      <x:c r="P420" t="str">
        <x:v>部分出貨</x:v>
      </x:c>
    </x:row>
    <x:row r="421" ht="20" customHeight="1">
      <x:c r="A421" t="str">
        <x:v>SO00420-01</x:v>
      </x:c>
      <x:c r="B421" t="str">
        <x:v>SO00420</x:v>
      </x:c>
      <x:c r="C421" t="str">
        <x:v>Q00643</x:v>
      </x:c>
      <x:c r="D421" t="str">
        <x:v>EMS-007</x:v>
      </x:c>
      <x:c r="E421" t="str">
        <x:v>S04</x:v>
      </x:c>
      <x:c r="F421" t="str">
        <x:v>AUTO-KN-A</x:v>
      </x:c>
      <x:c r="G421" t="str">
        <x:v>汽車精密零組件</x:v>
      </x:c>
      <x:c r="H421" s="20" t="n">
        <x:v>45819</x:v>
      </x:c>
      <x:c r="I421" t="n">
        <x:v>10000</x:v>
      </x:c>
      <x:c r="J421" t="n">
        <x:v>3096.06</x:v>
      </x:c>
      <x:c r="K421" t="str">
        <x:v>TWD</x:v>
      </x:c>
      <x:c r="L421" s="20" t="n">
        <x:v>45839</x:v>
      </x:c>
      <x:c r="M421" s="20" t="n">
        <x:v>45841</x:v>
      </x:c>
      <x:c r="N421" t="str">
        <x:v>否</x:v>
      </x:c>
      <x:c r="O421" t="str">
        <x:v>一般</x:v>
      </x:c>
      <x:c r="P421" t="str">
        <x:v>部分出貨</x:v>
      </x:c>
    </x:row>
    <x:row r="422" ht="20" customHeight="1">
      <x:c r="A422" t="str">
        <x:v>SO00421-01</x:v>
      </x:c>
      <x:c r="B422" t="str">
        <x:v>SO00421</x:v>
      </x:c>
      <x:c r="C422" t="str">
        <x:v>Q00644</x:v>
      </x:c>
      <x:c r="D422" t="str">
        <x:v>EMS-008</x:v>
      </x:c>
      <x:c r="E422" t="str">
        <x:v>S02</x:v>
      </x:c>
      <x:c r="F422" t="str">
        <x:v>MECH-CON-A</x:v>
      </x:c>
      <x:c r="G422" t="str">
        <x:v>機電／自動化模組</x:v>
      </x:c>
      <x:c r="H422" s="20" t="n">
        <x:v>45820</x:v>
      </x:c>
      <x:c r="I422" t="n">
        <x:v>50</x:v>
      </x:c>
      <x:c r="J422" t="n">
        <x:v>111803.25</x:v>
      </x:c>
      <x:c r="K422" t="str">
        <x:v>TWD</x:v>
      </x:c>
      <x:c r="L422" s="20" t="n">
        <x:v>45846</x:v>
      </x:c>
      <x:c r="M422" s="20" t="n">
        <x:v>45857</x:v>
      </x:c>
      <x:c r="N422" t="str">
        <x:v>是</x:v>
      </x:c>
      <x:c r="O422" t="str">
        <x:v>重要</x:v>
      </x:c>
      <x:c r="P422" t="str">
        <x:v>已出貨</x:v>
      </x:c>
    </x:row>
    <x:row r="423" ht="20" customHeight="1">
      <x:c r="A423" t="str">
        <x:v>SO00422-01</x:v>
      </x:c>
      <x:c r="B423" t="str">
        <x:v>SO00422</x:v>
      </x:c>
      <x:c r="C423" t="str">
        <x:v>Q00647</x:v>
      </x:c>
      <x:c r="D423" t="str">
        <x:v>EMS-005</x:v>
      </x:c>
      <x:c r="E423" t="str">
        <x:v>S01</x:v>
      </x:c>
      <x:c r="F423" t="str">
        <x:v>SEMI-CHB-B</x:v>
      </x:c>
      <x:c r="G423" t="str">
        <x:v>半導體設備零組件</x:v>
      </x:c>
      <x:c r="H423" s="20" t="n">
        <x:v>45822</x:v>
      </x:c>
      <x:c r="I423" t="n">
        <x:v>80</x:v>
      </x:c>
      <x:c r="J423" t="n">
        <x:v>128571.78</x:v>
      </x:c>
      <x:c r="K423" t="str">
        <x:v>TWD</x:v>
      </x:c>
      <x:c r="L423" s="20" t="n">
        <x:v>45862</x:v>
      </x:c>
      <x:c r="M423" s="20" t="n">
        <x:v>45873</x:v>
      </x:c>
      <x:c r="N423" t="str">
        <x:v>是</x:v>
      </x:c>
      <x:c r="O423" t="str">
        <x:v>VIP</x:v>
      </x:c>
      <x:c r="P423" t="str">
        <x:v>部分出貨</x:v>
      </x:c>
    </x:row>
    <x:row r="424" ht="20" customHeight="1">
      <x:c r="A424" t="str">
        <x:v>SO00423-01</x:v>
      </x:c>
      <x:c r="B424" t="str">
        <x:v>SO00423</x:v>
      </x:c>
      <x:c r="C424" t="str">
        <x:v>Q00648</x:v>
      </x:c>
      <x:c r="D424" t="str">
        <x:v>EMS-007</x:v>
      </x:c>
      <x:c r="E424" t="str">
        <x:v>S04</x:v>
      </x:c>
      <x:c r="F424" t="str">
        <x:v>PM-BRG-A</x:v>
      </x:c>
      <x:c r="G424" t="str">
        <x:v>精密金屬加工件</x:v>
      </x:c>
      <x:c r="H424" s="20" t="n">
        <x:v>45828</x:v>
      </x:c>
      <x:c r="I424" t="n">
        <x:v>1200</x:v>
      </x:c>
      <x:c r="J424" t="n">
        <x:v>6894.66</x:v>
      </x:c>
      <x:c r="K424" t="str">
        <x:v>TWD</x:v>
      </x:c>
      <x:c r="L424" s="20" t="n">
        <x:v>45849</x:v>
      </x:c>
      <x:c r="M424" s="20" t="n">
        <x:v>45849</x:v>
      </x:c>
      <x:c r="N424" t="str">
        <x:v>否</x:v>
      </x:c>
      <x:c r="O424" t="str">
        <x:v>一般</x:v>
      </x:c>
      <x:c r="P424" t="str">
        <x:v>部分出貨</x:v>
      </x:c>
    </x:row>
    <x:row r="425" ht="20" customHeight="1">
      <x:c r="A425" t="str">
        <x:v>SO00424-01</x:v>
      </x:c>
      <x:c r="B425" t="str">
        <x:v>SO00424</x:v>
      </x:c>
      <x:c r="C425" t="str">
        <x:v>Q00649</x:v>
      </x:c>
      <x:c r="D425" t="str">
        <x:v>AFT-008</x:v>
      </x:c>
      <x:c r="E425" t="str">
        <x:v>S04</x:v>
      </x:c>
      <x:c r="F425" t="str">
        <x:v>PM-BRG-A</x:v>
      </x:c>
      <x:c r="G425" t="str">
        <x:v>精密金屬加工件</x:v>
      </x:c>
      <x:c r="H425" s="20" t="n">
        <x:v>45833</x:v>
      </x:c>
      <x:c r="I425" t="n">
        <x:v>800</x:v>
      </x:c>
      <x:c r="J425" t="n">
        <x:v>6362.99</x:v>
      </x:c>
      <x:c r="K425" t="str">
        <x:v>TWD</x:v>
      </x:c>
      <x:c r="L425" s="20" t="n">
        <x:v>45850</x:v>
      </x:c>
      <x:c r="M425" s="20" t="n">
        <x:v>45853</x:v>
      </x:c>
      <x:c r="N425" t="str">
        <x:v>否</x:v>
      </x:c>
      <x:c r="O425" t="str">
        <x:v>重要</x:v>
      </x:c>
      <x:c r="P425" t="str">
        <x:v>部分出貨</x:v>
      </x:c>
    </x:row>
    <x:row r="426" ht="20" customHeight="1">
      <x:c r="A426" t="str">
        <x:v>SO00425-01</x:v>
      </x:c>
      <x:c r="B426" t="str">
        <x:v>SO00425</x:v>
      </x:c>
      <x:c r="C426" t="str">
        <x:v>Q00652</x:v>
      </x:c>
      <x:c r="D426" t="str">
        <x:v>SEM-001</x:v>
      </x:c>
      <x:c r="E426" t="str">
        <x:v>S01</x:v>
      </x:c>
      <x:c r="F426" t="str">
        <x:v>SEMI-WH-B</x:v>
      </x:c>
      <x:c r="G426" t="str">
        <x:v>半導體設備零組件</x:v>
      </x:c>
      <x:c r="H426" s="20" t="n">
        <x:v>45837</x:v>
      </x:c>
      <x:c r="I426" t="n">
        <x:v>60</x:v>
      </x:c>
      <x:c r="J426" t="n">
        <x:v>168374.29</x:v>
      </x:c>
      <x:c r="K426" t="str">
        <x:v>TWD</x:v>
      </x:c>
      <x:c r="L426" s="20" t="n">
        <x:v>45899</x:v>
      </x:c>
      <x:c r="M426" s="20" t="n">
        <x:v>45899</x:v>
      </x:c>
      <x:c r="N426" t="str">
        <x:v>否</x:v>
      </x:c>
      <x:c r="O426" t="str">
        <x:v>重要</x:v>
      </x:c>
      <x:c r="P426" t="str">
        <x:v>部分出貨</x:v>
      </x:c>
    </x:row>
    <x:row r="427" ht="20" customHeight="1">
      <x:c r="A427" t="str">
        <x:v>SO00426-01</x:v>
      </x:c>
      <x:c r="B427" t="str">
        <x:v>SO00426</x:v>
      </x:c>
      <x:c r="C427" t="str">
        <x:v>Q00653</x:v>
      </x:c>
      <x:c r="D427" t="str">
        <x:v>SEM-003</x:v>
      </x:c>
      <x:c r="E427" t="str">
        <x:v>S02</x:v>
      </x:c>
      <x:c r="F427" t="str">
        <x:v>MECH-CON-B</x:v>
      </x:c>
      <x:c r="G427" t="str">
        <x:v>機電／自動化模組</x:v>
      </x:c>
      <x:c r="H427" s="20" t="n">
        <x:v>45829</x:v>
      </x:c>
      <x:c r="I427" t="n">
        <x:v>30</x:v>
      </x:c>
      <x:c r="J427" t="n">
        <x:v>158418.6</x:v>
      </x:c>
      <x:c r="K427" t="str">
        <x:v>TWD</x:v>
      </x:c>
      <x:c r="L427" s="20" t="n">
        <x:v>45879</x:v>
      </x:c>
      <x:c r="M427" s="20" t="n">
        <x:v>45879</x:v>
      </x:c>
      <x:c r="N427" t="str">
        <x:v>否</x:v>
      </x:c>
      <x:c r="O427" t="str">
        <x:v>重要</x:v>
      </x:c>
      <x:c r="P427" t="str">
        <x:v>已出貨</x:v>
      </x:c>
    </x:row>
    <x:row r="428" ht="20" customHeight="1">
      <x:c r="A428" t="str">
        <x:v>SO00427-01</x:v>
      </x:c>
      <x:c r="B428" t="str">
        <x:v>SO00427</x:v>
      </x:c>
      <x:c r="C428" t="str">
        <x:v>Q00654</x:v>
      </x:c>
      <x:c r="D428" t="str">
        <x:v>AUT-001</x:v>
      </x:c>
      <x:c r="E428" t="str">
        <x:v>S01</x:v>
      </x:c>
      <x:c r="F428" t="str">
        <x:v>MECH-CON-A</x:v>
      </x:c>
      <x:c r="G428" t="str">
        <x:v>機電／自動化模組</x:v>
      </x:c>
      <x:c r="H428" s="20" t="n">
        <x:v>45870</x:v>
      </x:c>
      <x:c r="I428" t="n">
        <x:v>40</x:v>
      </x:c>
      <x:c r="J428" t="n">
        <x:v>117065.89</x:v>
      </x:c>
      <x:c r="K428" t="str">
        <x:v>TWD</x:v>
      </x:c>
      <x:c r="L428" s="20" t="n">
        <x:v>45897</x:v>
      </x:c>
      <x:c r="M428" s="20" t="n">
        <x:v>45904</x:v>
      </x:c>
      <x:c r="N428" t="str">
        <x:v>是</x:v>
      </x:c>
      <x:c r="O428" t="str">
        <x:v>VIP</x:v>
      </x:c>
      <x:c r="P428" t="str">
        <x:v>已出貨</x:v>
      </x:c>
    </x:row>
    <x:row r="429" ht="20" customHeight="1">
      <x:c r="A429" t="str">
        <x:v>SO00428-01</x:v>
      </x:c>
      <x:c r="B429" t="str">
        <x:v>SO00428</x:v>
      </x:c>
      <x:c r="C429" t="str">
        <x:v>Q00656</x:v>
      </x:c>
      <x:c r="D429" t="str">
        <x:v>AUT-011</x:v>
      </x:c>
      <x:c r="E429" t="str">
        <x:v>S02</x:v>
      </x:c>
      <x:c r="F429" t="str">
        <x:v>PM-BRG-A</x:v>
      </x:c>
      <x:c r="G429" t="str">
        <x:v>精密金屬加工件</x:v>
      </x:c>
      <x:c r="H429" s="20" t="n">
        <x:v>45855</x:v>
      </x:c>
      <x:c r="I429" t="n">
        <x:v>300</x:v>
      </x:c>
      <x:c r="J429" t="n">
        <x:v>6786.81</x:v>
      </x:c>
      <x:c r="K429" t="str">
        <x:v>TWD</x:v>
      </x:c>
      <x:c r="L429" s="20" t="n">
        <x:v>45871</x:v>
      </x:c>
      <x:c r="M429" s="20" t="n">
        <x:v>45874</x:v>
      </x:c>
      <x:c r="N429" t="str">
        <x:v>是</x:v>
      </x:c>
      <x:c r="O429" t="str">
        <x:v>重要</x:v>
      </x:c>
      <x:c r="P429" t="str">
        <x:v>部分出貨</x:v>
      </x:c>
    </x:row>
    <x:row r="430" ht="20" customHeight="1">
      <x:c r="A430" t="str">
        <x:v>SO00429-01</x:v>
      </x:c>
      <x:c r="B430" t="str">
        <x:v>SO00429</x:v>
      </x:c>
      <x:c r="C430" t="str">
        <x:v>Q00657</x:v>
      </x:c>
      <x:c r="D430" t="str">
        <x:v>EMS-007</x:v>
      </x:c>
      <x:c r="E430" t="str">
        <x:v>S04</x:v>
      </x:c>
      <x:c r="F430" t="str">
        <x:v>AUTO-KN-B</x:v>
      </x:c>
      <x:c r="G430" t="str">
        <x:v>汽車精密零組件</x:v>
      </x:c>
      <x:c r="H430" s="20" t="n">
        <x:v>45854</x:v>
      </x:c>
      <x:c r="I430" t="n">
        <x:v>3000</x:v>
      </x:c>
      <x:c r="J430" t="n">
        <x:v>3659.54</x:v>
      </x:c>
      <x:c r="K430" t="str">
        <x:v>TWD</x:v>
      </x:c>
      <x:c r="L430" s="20" t="n">
        <x:v>45878</x:v>
      </x:c>
      <x:c r="M430" s="20" t="n">
        <x:v>45880</x:v>
      </x:c>
      <x:c r="N430" t="str">
        <x:v>否</x:v>
      </x:c>
      <x:c r="O430" t="str">
        <x:v>一般</x:v>
      </x:c>
      <x:c r="P430" t="str">
        <x:v>部分出貨</x:v>
      </x:c>
    </x:row>
    <x:row r="431" ht="20" customHeight="1">
      <x:c r="A431" t="str">
        <x:v>SO00430-01</x:v>
      </x:c>
      <x:c r="B431" t="str">
        <x:v>SO00430</x:v>
      </x:c>
      <x:c r="C431" t="str">
        <x:v>Q00658</x:v>
      </x:c>
      <x:c r="D431" t="str">
        <x:v>IAT-002</x:v>
      </x:c>
      <x:c r="E431" t="str">
        <x:v>S01</x:v>
      </x:c>
      <x:c r="F431" t="str">
        <x:v>PM-VAC-B</x:v>
      </x:c>
      <x:c r="G431" t="str">
        <x:v>精密金屬加工件</x:v>
      </x:c>
      <x:c r="H431" s="20" t="n">
        <x:v>45859</x:v>
      </x:c>
      <x:c r="I431" t="n">
        <x:v>500</x:v>
      </x:c>
      <x:c r="J431" t="n">
        <x:v>23059.2</x:v>
      </x:c>
      <x:c r="K431" t="str">
        <x:v>TWD</x:v>
      </x:c>
      <x:c r="L431" s="20" t="n">
        <x:v>45888</x:v>
      </x:c>
      <x:c r="M431" s="20" t="n">
        <x:v>45892</x:v>
      </x:c>
      <x:c r="N431" t="str">
        <x:v>否</x:v>
      </x:c>
      <x:c r="O431" t="str">
        <x:v>一般</x:v>
      </x:c>
      <x:c r="P431" t="str">
        <x:v>部分出貨</x:v>
      </x:c>
    </x:row>
    <x:row r="432" ht="20" customHeight="1">
      <x:c r="A432" t="str">
        <x:v>SO00431-01</x:v>
      </x:c>
      <x:c r="B432" t="str">
        <x:v>SO00431</x:v>
      </x:c>
      <x:c r="C432" t="str">
        <x:v>Q00659</x:v>
      </x:c>
      <x:c r="D432" t="str">
        <x:v>AFT-004</x:v>
      </x:c>
      <x:c r="E432" t="str">
        <x:v>S02</x:v>
      </x:c>
      <x:c r="F432" t="str">
        <x:v>PM-BRG-B</x:v>
      </x:c>
      <x:c r="G432" t="str">
        <x:v>精密金屬加工件</x:v>
      </x:c>
      <x:c r="H432" s="20" t="n">
        <x:v>45863</x:v>
      </x:c>
      <x:c r="I432" t="n">
        <x:v>1600</x:v>
      </x:c>
      <x:c r="J432" t="n">
        <x:v>7619.72</x:v>
      </x:c>
      <x:c r="K432" t="str">
        <x:v>TWD</x:v>
      </x:c>
      <x:c r="L432" s="20" t="n">
        <x:v>45888</x:v>
      </x:c>
      <x:c r="M432" s="20" t="n">
        <x:v>45888</x:v>
      </x:c>
      <x:c r="N432" t="str">
        <x:v>是</x:v>
      </x:c>
      <x:c r="O432" t="str">
        <x:v>重要</x:v>
      </x:c>
      <x:c r="P432" t="str">
        <x:v>部分出貨</x:v>
      </x:c>
    </x:row>
    <x:row r="433" ht="20" customHeight="1">
      <x:c r="A433" t="str">
        <x:v>SO00432-01</x:v>
      </x:c>
      <x:c r="B433" t="str">
        <x:v>SO00432</x:v>
      </x:c>
      <x:c r="C433" t="str">
        <x:v>Q00661</x:v>
      </x:c>
      <x:c r="D433" t="str">
        <x:v>IAT-009</x:v>
      </x:c>
      <x:c r="E433" t="str">
        <x:v>S04</x:v>
      </x:c>
      <x:c r="F433" t="str">
        <x:v>AUTO-BS-A</x:v>
      </x:c>
      <x:c r="G433" t="str">
        <x:v>汽車精密零組件</x:v>
      </x:c>
      <x:c r="H433" s="20" t="n">
        <x:v>45871</x:v>
      </x:c>
      <x:c r="I433" t="n">
        <x:v>13000</x:v>
      </x:c>
      <x:c r="J433" t="n">
        <x:v>752.52</x:v>
      </x:c>
      <x:c r="K433" t="str">
        <x:v>TWD</x:v>
      </x:c>
      <x:c r="L433" s="20" t="n">
        <x:v>45884</x:v>
      </x:c>
      <x:c r="M433" s="20" t="n">
        <x:v>45886</x:v>
      </x:c>
      <x:c r="N433" t="str">
        <x:v>否</x:v>
      </x:c>
      <x:c r="O433" t="str">
        <x:v>重要</x:v>
      </x:c>
      <x:c r="P433" t="str">
        <x:v>部分出貨</x:v>
      </x:c>
    </x:row>
    <x:row r="434" ht="20" customHeight="1">
      <x:c r="A434" t="str">
        <x:v>SO00433-01</x:v>
      </x:c>
      <x:c r="B434" t="str">
        <x:v>SO00433</x:v>
      </x:c>
      <x:c r="C434" t="str">
        <x:v>Q00663</x:v>
      </x:c>
      <x:c r="D434" t="str">
        <x:v>AFT-003</x:v>
      </x:c>
      <x:c r="E434" t="str">
        <x:v>S01</x:v>
      </x:c>
      <x:c r="F434" t="str">
        <x:v>AUTO-FL-A</x:v>
      </x:c>
      <x:c r="G434" t="str">
        <x:v>汽車精密零組件</x:v>
      </x:c>
      <x:c r="H434" s="20" t="n">
        <x:v>45855</x:v>
      </x:c>
      <x:c r="I434" t="n">
        <x:v>13000</x:v>
      </x:c>
      <x:c r="J434" t="n">
        <x:v>1320.85</x:v>
      </x:c>
      <x:c r="K434" t="str">
        <x:v>TWD</x:v>
      </x:c>
      <x:c r="L434" s="20" t="n">
        <x:v>45866</x:v>
      </x:c>
      <x:c r="M434" s="20" t="n">
        <x:v>45870</x:v>
      </x:c>
      <x:c r="N434" t="str">
        <x:v>是</x:v>
      </x:c>
      <x:c r="O434" t="str">
        <x:v>重要</x:v>
      </x:c>
      <x:c r="P434" t="str">
        <x:v>部分出貨</x:v>
      </x:c>
    </x:row>
    <x:row r="435" ht="20" customHeight="1">
      <x:c r="A435" t="str">
        <x:v>SO00434-01</x:v>
      </x:c>
      <x:c r="B435" t="str">
        <x:v>SO00434</x:v>
      </x:c>
      <x:c r="C435" t="str">
        <x:v>Q00664</x:v>
      </x:c>
      <x:c r="D435" t="str">
        <x:v>SEM-010</x:v>
      </x:c>
      <x:c r="E435" t="str">
        <x:v>S01</x:v>
      </x:c>
      <x:c r="F435" t="str">
        <x:v>PM-VAC-B</x:v>
      </x:c>
      <x:c r="G435" t="str">
        <x:v>精密金屬加工件</x:v>
      </x:c>
      <x:c r="H435" s="20" t="n">
        <x:v>45871</x:v>
      </x:c>
      <x:c r="I435" t="n">
        <x:v>1600</x:v>
      </x:c>
      <x:c r="J435" t="n">
        <x:v>22541.43</x:v>
      </x:c>
      <x:c r="K435" t="str">
        <x:v>TWD</x:v>
      </x:c>
      <x:c r="L435" s="20" t="n">
        <x:v>45909</x:v>
      </x:c>
      <x:c r="M435" s="20" t="n">
        <x:v>45909</x:v>
      </x:c>
      <x:c r="N435" t="str">
        <x:v>否</x:v>
      </x:c>
      <x:c r="O435" t="str">
        <x:v>一般</x:v>
      </x:c>
      <x:c r="P435" t="str">
        <x:v>部分出貨</x:v>
      </x:c>
    </x:row>
    <x:row r="436" ht="20" customHeight="1">
      <x:c r="A436" t="str">
        <x:v>SO00435-01</x:v>
      </x:c>
      <x:c r="B436" t="str">
        <x:v>SO00435</x:v>
      </x:c>
      <x:c r="C436" t="str">
        <x:v>Q00665</x:v>
      </x:c>
      <x:c r="D436" t="str">
        <x:v>IAT-009</x:v>
      </x:c>
      <x:c r="E436" t="str">
        <x:v>S04</x:v>
      </x:c>
      <x:c r="F436" t="str">
        <x:v>MECH-CON-A</x:v>
      </x:c>
      <x:c r="G436" t="str">
        <x:v>機電／自動化模組</x:v>
      </x:c>
      <x:c r="H436" s="20" t="n">
        <x:v>45869</x:v>
      </x:c>
      <x:c r="I436" t="n">
        <x:v>10</x:v>
      </x:c>
      <x:c r="J436" t="n">
        <x:v>103964.25</x:v>
      </x:c>
      <x:c r="K436" t="str">
        <x:v>TWD</x:v>
      </x:c>
      <x:c r="L436" s="20" t="n">
        <x:v>45898</x:v>
      </x:c>
      <x:c r="M436" s="20" t="n">
        <x:v>45902</x:v>
      </x:c>
      <x:c r="N436" t="str">
        <x:v>否</x:v>
      </x:c>
      <x:c r="O436" t="str">
        <x:v>重要</x:v>
      </x:c>
      <x:c r="P436" t="str">
        <x:v>已出貨</x:v>
      </x:c>
    </x:row>
    <x:row r="437" ht="20" customHeight="1">
      <x:c r="A437" t="str">
        <x:v>SO00436-01</x:v>
      </x:c>
      <x:c r="B437" t="str">
        <x:v>SO00436</x:v>
      </x:c>
      <x:c r="C437" t="str">
        <x:v>Q00667</x:v>
      </x:c>
      <x:c r="D437" t="str">
        <x:v>EMS-008</x:v>
      </x:c>
      <x:c r="E437" t="str">
        <x:v>S02</x:v>
      </x:c>
      <x:c r="F437" t="str">
        <x:v>SEMI-WH-A</x:v>
      </x:c>
      <x:c r="G437" t="str">
        <x:v>半導體設備零組件</x:v>
      </x:c>
      <x:c r="H437" s="20" t="n">
        <x:v>45843</x:v>
      </x:c>
      <x:c r="I437" t="n">
        <x:v>40</x:v>
      </x:c>
      <x:c r="J437" t="n">
        <x:v>113678.17</x:v>
      </x:c>
      <x:c r="K437" t="str">
        <x:v>TWD</x:v>
      </x:c>
      <x:c r="L437" s="20" t="n">
        <x:v>45892</x:v>
      </x:c>
      <x:c r="M437" s="20" t="n">
        <x:v>45894</x:v>
      </x:c>
      <x:c r="N437" t="str">
        <x:v>否</x:v>
      </x:c>
      <x:c r="O437" t="str">
        <x:v>重要</x:v>
      </x:c>
      <x:c r="P437" t="str">
        <x:v>已出貨</x:v>
      </x:c>
    </x:row>
    <x:row r="438" ht="20" customHeight="1">
      <x:c r="A438" t="str">
        <x:v>SO00437-01</x:v>
      </x:c>
      <x:c r="B438" t="str">
        <x:v>SO00437</x:v>
      </x:c>
      <x:c r="C438" t="str">
        <x:v>Q00668</x:v>
      </x:c>
      <x:c r="D438" t="str">
        <x:v>SEM-002</x:v>
      </x:c>
      <x:c r="E438" t="str">
        <x:v>S02</x:v>
      </x:c>
      <x:c r="F438" t="str">
        <x:v>MECH-CON-B</x:v>
      </x:c>
      <x:c r="G438" t="str">
        <x:v>機電／自動化模組</x:v>
      </x:c>
      <x:c r="H438" s="20" t="n">
        <x:v>45874</x:v>
      </x:c>
      <x:c r="I438" t="n">
        <x:v>20</x:v>
      </x:c>
      <x:c r="J438" t="n">
        <x:v>145618.33</x:v>
      </x:c>
      <x:c r="K438" t="str">
        <x:v>TWD</x:v>
      </x:c>
      <x:c r="L438" s="20" t="n">
        <x:v>45907</x:v>
      </x:c>
      <x:c r="M438" s="20" t="n">
        <x:v>45915</x:v>
      </x:c>
      <x:c r="N438" t="str">
        <x:v>是</x:v>
      </x:c>
      <x:c r="O438" t="str">
        <x:v>重要</x:v>
      </x:c>
      <x:c r="P438" t="str">
        <x:v>已出貨</x:v>
      </x:c>
    </x:row>
    <x:row r="439" ht="20" customHeight="1">
      <x:c r="A439" t="str">
        <x:v>SO00438-01</x:v>
      </x:c>
      <x:c r="B439" t="str">
        <x:v>SO00438</x:v>
      </x:c>
      <x:c r="C439" t="str">
        <x:v>Q00669</x:v>
      </x:c>
      <x:c r="D439" t="str">
        <x:v>AUT-009</x:v>
      </x:c>
      <x:c r="E439" t="str">
        <x:v>S04</x:v>
      </x:c>
      <x:c r="F439" t="str">
        <x:v>MECH-CON-A</x:v>
      </x:c>
      <x:c r="G439" t="str">
        <x:v>機電／自動化模組</x:v>
      </x:c>
      <x:c r="H439" s="20" t="n">
        <x:v>45855</x:v>
      </x:c>
      <x:c r="I439" t="n">
        <x:v>10</x:v>
      </x:c>
      <x:c r="J439" t="n">
        <x:v>113647.8</x:v>
      </x:c>
      <x:c r="K439" t="str">
        <x:v>TWD</x:v>
      </x:c>
      <x:c r="L439" s="20" t="n">
        <x:v>45882</x:v>
      </x:c>
      <x:c r="M439" s="20" t="n">
        <x:v>45889</x:v>
      </x:c>
      <x:c r="N439" t="str">
        <x:v>是</x:v>
      </x:c>
      <x:c r="O439" t="str">
        <x:v>重要</x:v>
      </x:c>
      <x:c r="P439" t="str">
        <x:v>已出貨</x:v>
      </x:c>
    </x:row>
    <x:row r="440" ht="20" customHeight="1">
      <x:c r="A440" t="str">
        <x:v>SO00439-01</x:v>
      </x:c>
      <x:c r="B440" t="str">
        <x:v>SO00439</x:v>
      </x:c>
      <x:c r="C440" t="str">
        <x:v>Q00670</x:v>
      </x:c>
      <x:c r="D440" t="str">
        <x:v>EMS-007</x:v>
      </x:c>
      <x:c r="E440" t="str">
        <x:v>S04</x:v>
      </x:c>
      <x:c r="F440" t="str">
        <x:v>MECH-STG-A</x:v>
      </x:c>
      <x:c r="G440" t="str">
        <x:v>機電／自動化模組</x:v>
      </x:c>
      <x:c r="H440" s="20" t="n">
        <x:v>45845</x:v>
      </x:c>
      <x:c r="I440" t="n">
        <x:v>10</x:v>
      </x:c>
      <x:c r="J440" t="n">
        <x:v>134380.82</x:v>
      </x:c>
      <x:c r="K440" t="str">
        <x:v>TWD</x:v>
      </x:c>
      <x:c r="L440" s="20" t="n">
        <x:v>45881</x:v>
      </x:c>
      <x:c r="M440" s="20" t="n">
        <x:v>45887</x:v>
      </x:c>
      <x:c r="N440" t="str">
        <x:v>否</x:v>
      </x:c>
      <x:c r="O440" t="str">
        <x:v>一般</x:v>
      </x:c>
      <x:c r="P440" t="str">
        <x:v>已出貨</x:v>
      </x:c>
    </x:row>
    <x:row r="441" ht="20" customHeight="1">
      <x:c r="A441" t="str">
        <x:v>SO00440-01</x:v>
      </x:c>
      <x:c r="B441" t="str">
        <x:v>SO00440</x:v>
      </x:c>
      <x:c r="C441" t="str">
        <x:v>Q00672</x:v>
      </x:c>
      <x:c r="D441" t="str">
        <x:v>AUT-004</x:v>
      </x:c>
      <x:c r="E441" t="str">
        <x:v>S03</x:v>
      </x:c>
      <x:c r="F441" t="str">
        <x:v>AUTO-LG-B</x:v>
      </x:c>
      <x:c r="G441" t="str">
        <x:v>汽車精密零組件</x:v>
      </x:c>
      <x:c r="H441" s="20" t="n">
        <x:v>45864</x:v>
      </x:c>
      <x:c r="I441" t="n">
        <x:v>10000</x:v>
      </x:c>
      <x:c r="J441" t="n">
        <x:v>1234.91</x:v>
      </x:c>
      <x:c r="K441" t="str">
        <x:v>TWD</x:v>
      </x:c>
      <x:c r="L441" s="20" t="n">
        <x:v>45878</x:v>
      </x:c>
      <x:c r="M441" s="20" t="n">
        <x:v>45883</x:v>
      </x:c>
      <x:c r="N441" t="str">
        <x:v>是</x:v>
      </x:c>
      <x:c r="O441" t="str">
        <x:v>VIP</x:v>
      </x:c>
      <x:c r="P441" t="str">
        <x:v>部分出貨</x:v>
      </x:c>
    </x:row>
    <x:row r="442" ht="20" customHeight="1">
      <x:c r="A442" t="str">
        <x:v>SO00441-01</x:v>
      </x:c>
      <x:c r="B442" t="str">
        <x:v>SO00441</x:v>
      </x:c>
      <x:c r="C442" t="str">
        <x:v>Q00673</x:v>
      </x:c>
      <x:c r="D442" t="str">
        <x:v>EMS-003</x:v>
      </x:c>
      <x:c r="E442" t="str">
        <x:v>S05</x:v>
      </x:c>
      <x:c r="F442" t="str">
        <x:v>AUTO-LG-A</x:v>
      </x:c>
      <x:c r="G442" t="str">
        <x:v>汽車精密零組件</x:v>
      </x:c>
      <x:c r="H442" s="20" t="n">
        <x:v>45860</x:v>
      </x:c>
      <x:c r="I442" t="n">
        <x:v>10000</x:v>
      </x:c>
      <x:c r="J442" t="n">
        <x:v>1121.13</x:v>
      </x:c>
      <x:c r="K442" t="str">
        <x:v>TWD</x:v>
      </x:c>
      <x:c r="L442" s="20" t="n">
        <x:v>45879</x:v>
      </x:c>
      <x:c r="M442" s="20" t="n">
        <x:v>45879</x:v>
      </x:c>
      <x:c r="N442" t="str">
        <x:v>否</x:v>
      </x:c>
      <x:c r="O442" t="str">
        <x:v>一般</x:v>
      </x:c>
      <x:c r="P442" t="str">
        <x:v>部分出貨</x:v>
      </x:c>
    </x:row>
    <x:row r="443" ht="20" customHeight="1">
      <x:c r="A443" t="str">
        <x:v>SO00442-01</x:v>
      </x:c>
      <x:c r="B443" t="str">
        <x:v>SO00442</x:v>
      </x:c>
      <x:c r="C443" t="str">
        <x:v>Q00675</x:v>
      </x:c>
      <x:c r="D443" t="str">
        <x:v>AFT-008</x:v>
      </x:c>
      <x:c r="E443" t="str">
        <x:v>S04</x:v>
      </x:c>
      <x:c r="F443" t="str">
        <x:v>PM-BRG-B</x:v>
      </x:c>
      <x:c r="G443" t="str">
        <x:v>精密金屬加工件</x:v>
      </x:c>
      <x:c r="H443" s="20" t="n">
        <x:v>45854</x:v>
      </x:c>
      <x:c r="I443" t="n">
        <x:v>1200</x:v>
      </x:c>
      <x:c r="J443" t="n">
        <x:v>7726.65</x:v>
      </x:c>
      <x:c r="K443" t="str">
        <x:v>TWD</x:v>
      </x:c>
      <x:c r="L443" s="20" t="n">
        <x:v>45876</x:v>
      </x:c>
      <x:c r="M443" s="20" t="n">
        <x:v>45876</x:v>
      </x:c>
      <x:c r="N443" t="str">
        <x:v>否</x:v>
      </x:c>
      <x:c r="O443" t="str">
        <x:v>重要</x:v>
      </x:c>
      <x:c r="P443" t="str">
        <x:v>部分出貨</x:v>
      </x:c>
    </x:row>
    <x:row r="444" ht="20" customHeight="1">
      <x:c r="A444" t="str">
        <x:v>SO00443-01</x:v>
      </x:c>
      <x:c r="B444" t="str">
        <x:v>SO00443</x:v>
      </x:c>
      <x:c r="C444" t="str">
        <x:v>Q00676</x:v>
      </x:c>
      <x:c r="D444" t="str">
        <x:v>AFT-007</x:v>
      </x:c>
      <x:c r="E444" t="str">
        <x:v>S04</x:v>
      </x:c>
      <x:c r="F444" t="str">
        <x:v>PM-SUS-B</x:v>
      </x:c>
      <x:c r="G444" t="str">
        <x:v>精密金屬加工件</x:v>
      </x:c>
      <x:c r="H444" s="20" t="n">
        <x:v>45871</x:v>
      </x:c>
      <x:c r="I444" t="n">
        <x:v>800</x:v>
      </x:c>
      <x:c r="J444" t="n">
        <x:v>14135.98</x:v>
      </x:c>
      <x:c r="K444" t="str">
        <x:v>TWD</x:v>
      </x:c>
      <x:c r="L444" s="20" t="n">
        <x:v>45899</x:v>
      </x:c>
      <x:c r="M444" s="20" t="n">
        <x:v>45899</x:v>
      </x:c>
      <x:c r="N444" t="str">
        <x:v>否</x:v>
      </x:c>
      <x:c r="O444" t="str">
        <x:v>一般</x:v>
      </x:c>
      <x:c r="P444" t="str">
        <x:v>部分出貨</x:v>
      </x:c>
    </x:row>
    <x:row r="445" ht="20" customHeight="1">
      <x:c r="A445" t="str">
        <x:v>SO00444-01</x:v>
      </x:c>
      <x:c r="B445" t="str">
        <x:v>SO00444</x:v>
      </x:c>
      <x:c r="C445" t="str">
        <x:v>Q00677</x:v>
      </x:c>
      <x:c r="D445" t="str">
        <x:v>SEM-008</x:v>
      </x:c>
      <x:c r="E445" t="str">
        <x:v>S04</x:v>
      </x:c>
      <x:c r="F445" t="str">
        <x:v>SEMI-WH-A</x:v>
      </x:c>
      <x:c r="G445" t="str">
        <x:v>半導體設備零組件</x:v>
      </x:c>
      <x:c r="H445" s="20" t="n">
        <x:v>45866</x:v>
      </x:c>
      <x:c r="I445" t="n">
        <x:v>60</x:v>
      </x:c>
      <x:c r="J445" t="n">
        <x:v>110960.61</x:v>
      </x:c>
      <x:c r="K445" t="str">
        <x:v>TWD</x:v>
      </x:c>
      <x:c r="L445" s="20" t="n">
        <x:v>45919</x:v>
      </x:c>
      <x:c r="M445" s="20" t="n">
        <x:v>45919</x:v>
      </x:c>
      <x:c r="N445" t="str">
        <x:v>是</x:v>
      </x:c>
      <x:c r="O445" t="str">
        <x:v>VIP</x:v>
      </x:c>
      <x:c r="P445" t="str">
        <x:v>部分出貨</x:v>
      </x:c>
    </x:row>
    <x:row r="446" ht="20" customHeight="1">
      <x:c r="A446" t="str">
        <x:v>SO00445-01</x:v>
      </x:c>
      <x:c r="B446" t="str">
        <x:v>SO00445</x:v>
      </x:c>
      <x:c r="C446" t="str">
        <x:v>Q00679</x:v>
      </x:c>
      <x:c r="D446" t="str">
        <x:v>EMS-002</x:v>
      </x:c>
      <x:c r="E446" t="str">
        <x:v>S05</x:v>
      </x:c>
      <x:c r="F446" t="str">
        <x:v>MECH-CON-B</x:v>
      </x:c>
      <x:c r="G446" t="str">
        <x:v>機電／自動化模組</x:v>
      </x:c>
      <x:c r="H446" s="20" t="n">
        <x:v>45871</x:v>
      </x:c>
      <x:c r="I446" t="n">
        <x:v>50</x:v>
      </x:c>
      <x:c r="J446" t="n">
        <x:v>154449.35</x:v>
      </x:c>
      <x:c r="K446" t="str">
        <x:v>TWD</x:v>
      </x:c>
      <x:c r="L446" s="20" t="n">
        <x:v>45903</x:v>
      </x:c>
      <x:c r="M446" s="20" t="n">
        <x:v>45916</x:v>
      </x:c>
      <x:c r="N446" t="str">
        <x:v>是</x:v>
      </x:c>
      <x:c r="O446" t="str">
        <x:v>重要</x:v>
      </x:c>
      <x:c r="P446" t="str">
        <x:v>已出貨</x:v>
      </x:c>
    </x:row>
    <x:row r="447" ht="20" customHeight="1">
      <x:c r="A447" t="str">
        <x:v>SO00446-01</x:v>
      </x:c>
      <x:c r="B447" t="str">
        <x:v>SO00446</x:v>
      </x:c>
      <x:c r="C447" t="str">
        <x:v>Q00681</x:v>
      </x:c>
      <x:c r="D447" t="str">
        <x:v>SEM-003</x:v>
      </x:c>
      <x:c r="E447" t="str">
        <x:v>S02</x:v>
      </x:c>
      <x:c r="F447" t="str">
        <x:v>PM-SUS-A</x:v>
      </x:c>
      <x:c r="G447" t="str">
        <x:v>精密金屬加工件</x:v>
      </x:c>
      <x:c r="H447" s="20" t="n">
        <x:v>45874</x:v>
      </x:c>
      <x:c r="I447" t="n">
        <x:v>800</x:v>
      </x:c>
      <x:c r="J447" t="n">
        <x:v>10832.4</x:v>
      </x:c>
      <x:c r="K447" t="str">
        <x:v>TWD</x:v>
      </x:c>
      <x:c r="L447" s="20" t="n">
        <x:v>45892</x:v>
      </x:c>
      <x:c r="M447" s="20" t="n">
        <x:v>45898</x:v>
      </x:c>
      <x:c r="N447" t="str">
        <x:v>是</x:v>
      </x:c>
      <x:c r="O447" t="str">
        <x:v>重要</x:v>
      </x:c>
      <x:c r="P447" t="str">
        <x:v>部分出貨</x:v>
      </x:c>
    </x:row>
    <x:row r="448" ht="20" customHeight="1">
      <x:c r="A448" t="str">
        <x:v>SO00447-01</x:v>
      </x:c>
      <x:c r="B448" t="str">
        <x:v>SO00447</x:v>
      </x:c>
      <x:c r="C448" t="str">
        <x:v>Q00683</x:v>
      </x:c>
      <x:c r="D448" t="str">
        <x:v>AUT-003</x:v>
      </x:c>
      <x:c r="E448" t="str">
        <x:v>S03</x:v>
      </x:c>
      <x:c r="F448" t="str">
        <x:v>MECH-CON-A</x:v>
      </x:c>
      <x:c r="G448" t="str">
        <x:v>機電／自動化模組</x:v>
      </x:c>
      <x:c r="H448" s="20" t="n">
        <x:v>45891</x:v>
      </x:c>
      <x:c r="I448" t="n">
        <x:v>10</x:v>
      </x:c>
      <x:c r="J448" t="n">
        <x:v>110653.04</x:v>
      </x:c>
      <x:c r="K448" t="str">
        <x:v>TWD</x:v>
      </x:c>
      <x:c r="L448" s="20" t="n">
        <x:v>45928</x:v>
      </x:c>
      <x:c r="M448" s="20" t="n">
        <x:v>45928</x:v>
      </x:c>
      <x:c r="N448" t="str">
        <x:v>否</x:v>
      </x:c>
      <x:c r="O448" t="str">
        <x:v>VIP</x:v>
      </x:c>
      <x:c r="P448" t="str">
        <x:v>已出貨</x:v>
      </x:c>
    </x:row>
    <x:row r="449" ht="20" customHeight="1">
      <x:c r="A449" t="str">
        <x:v>SO00448-01</x:v>
      </x:c>
      <x:c r="B449" t="str">
        <x:v>SO00448</x:v>
      </x:c>
      <x:c r="C449" t="str">
        <x:v>Q00685</x:v>
      </x:c>
      <x:c r="D449" t="str">
        <x:v>AFT-005</x:v>
      </x:c>
      <x:c r="E449" t="str">
        <x:v>S05</x:v>
      </x:c>
      <x:c r="F449" t="str">
        <x:v>PM-ALB-A</x:v>
      </x:c>
      <x:c r="G449" t="str">
        <x:v>精密金屬加工件</x:v>
      </x:c>
      <x:c r="H449" s="20" t="n">
        <x:v>45905</x:v>
      </x:c>
      <x:c r="I449" t="n">
        <x:v>500</x:v>
      </x:c>
      <x:c r="J449" t="n">
        <x:v>11303.44</x:v>
      </x:c>
      <x:c r="K449" t="str">
        <x:v>TWD</x:v>
      </x:c>
      <x:c r="L449" s="20" t="n">
        <x:v>45930</x:v>
      </x:c>
      <x:c r="M449" s="20" t="n">
        <x:v>45930</x:v>
      </x:c>
      <x:c r="N449" t="str">
        <x:v>否</x:v>
      </x:c>
      <x:c r="O449" t="str">
        <x:v>VIP</x:v>
      </x:c>
      <x:c r="P449" t="str">
        <x:v>部分出貨</x:v>
      </x:c>
    </x:row>
    <x:row r="450" ht="20" customHeight="1">
      <x:c r="A450" t="str">
        <x:v>SO00449-01</x:v>
      </x:c>
      <x:c r="B450" t="str">
        <x:v>SO00449</x:v>
      </x:c>
      <x:c r="C450" t="str">
        <x:v>Q00686</x:v>
      </x:c>
      <x:c r="D450" t="str">
        <x:v>AFT-006</x:v>
      </x:c>
      <x:c r="E450" t="str">
        <x:v>S01</x:v>
      </x:c>
      <x:c r="F450" t="str">
        <x:v>PM-BRG-A</x:v>
      </x:c>
      <x:c r="G450" t="str">
        <x:v>精密金屬加工件</x:v>
      </x:c>
      <x:c r="H450" s="20" t="n">
        <x:v>45894</x:v>
      </x:c>
      <x:c r="I450" t="n">
        <x:v>800</x:v>
      </x:c>
      <x:c r="J450" t="n">
        <x:v>6716.63</x:v>
      </x:c>
      <x:c r="K450" t="str">
        <x:v>TWD</x:v>
      </x:c>
      <x:c r="L450" s="20" t="n">
        <x:v>45914</x:v>
      </x:c>
      <x:c r="M450" s="20" t="n">
        <x:v>45914</x:v>
      </x:c>
      <x:c r="N450" t="str">
        <x:v>否</x:v>
      </x:c>
      <x:c r="O450" t="str">
        <x:v>一般</x:v>
      </x:c>
      <x:c r="P450" t="str">
        <x:v>部分出貨</x:v>
      </x:c>
    </x:row>
    <x:row r="451" ht="20" customHeight="1">
      <x:c r="A451" t="str">
        <x:v>SO00450-01</x:v>
      </x:c>
      <x:c r="B451" t="str">
        <x:v>SO00450</x:v>
      </x:c>
      <x:c r="C451" t="str">
        <x:v>Q00690</x:v>
      </x:c>
      <x:c r="D451" t="str">
        <x:v>AUT-010</x:v>
      </x:c>
      <x:c r="E451" t="str">
        <x:v>S05</x:v>
      </x:c>
      <x:c r="F451" t="str">
        <x:v>AUTO-BRK-B</x:v>
      </x:c>
      <x:c r="G451" t="str">
        <x:v>汽車精密零組件</x:v>
      </x:c>
      <x:c r="H451" s="20" t="n">
        <x:v>45883</x:v>
      </x:c>
      <x:c r="I451" t="n">
        <x:v>10000</x:v>
      </x:c>
      <x:c r="J451" t="n">
        <x:v>2062.26</x:v>
      </x:c>
      <x:c r="K451" t="str">
        <x:v>TWD</x:v>
      </x:c>
      <x:c r="L451" s="20" t="n">
        <x:v>45903</x:v>
      </x:c>
      <x:c r="M451" s="20" t="n">
        <x:v>45903</x:v>
      </x:c>
      <x:c r="N451" t="str">
        <x:v>否</x:v>
      </x:c>
      <x:c r="O451" t="str">
        <x:v>VIP</x:v>
      </x:c>
      <x:c r="P451" t="str">
        <x:v>部分出貨</x:v>
      </x:c>
    </x:row>
    <x:row r="452" ht="20" customHeight="1">
      <x:c r="A452" t="str">
        <x:v>SO00451-01</x:v>
      </x:c>
      <x:c r="B452" t="str">
        <x:v>SO00451</x:v>
      </x:c>
      <x:c r="C452" t="str">
        <x:v>Q00696</x:v>
      </x:c>
      <x:c r="D452" t="str">
        <x:v>EMS-007</x:v>
      </x:c>
      <x:c r="E452" t="str">
        <x:v>S04</x:v>
      </x:c>
      <x:c r="F452" t="str">
        <x:v>MECH-CON-A</x:v>
      </x:c>
      <x:c r="G452" t="str">
        <x:v>機電／自動化模組</x:v>
      </x:c>
      <x:c r="H452" s="20" t="n">
        <x:v>45894</x:v>
      </x:c>
      <x:c r="I452" t="n">
        <x:v>10</x:v>
      </x:c>
      <x:c r="J452" t="n">
        <x:v>113617.68</x:v>
      </x:c>
      <x:c r="K452" t="str">
        <x:v>TWD</x:v>
      </x:c>
      <x:c r="L452" s="20" t="n">
        <x:v>45930</x:v>
      </x:c>
      <x:c r="M452" s="20" t="n">
        <x:v>45930</x:v>
      </x:c>
      <x:c r="N452" t="str">
        <x:v>是</x:v>
      </x:c>
      <x:c r="O452" t="str">
        <x:v>一般</x:v>
      </x:c>
      <x:c r="P452" t="str">
        <x:v>已出貨</x:v>
      </x:c>
    </x:row>
    <x:row r="453" ht="20" customHeight="1">
      <x:c r="A453" t="str">
        <x:v>SO00452-01</x:v>
      </x:c>
      <x:c r="B453" t="str">
        <x:v>SO00452</x:v>
      </x:c>
      <x:c r="C453" t="str">
        <x:v>Q00698</x:v>
      </x:c>
      <x:c r="D453" t="str">
        <x:v>AUT-006</x:v>
      </x:c>
      <x:c r="E453" t="str">
        <x:v>S03</x:v>
      </x:c>
      <x:c r="F453" t="str">
        <x:v>PM-VAC-B</x:v>
      </x:c>
      <x:c r="G453" t="str">
        <x:v>精密金屬加工件</x:v>
      </x:c>
      <x:c r="H453" s="20" t="n">
        <x:v>45899</x:v>
      </x:c>
      <x:c r="I453" t="n">
        <x:v>300</x:v>
      </x:c>
      <x:c r="J453" t="n">
        <x:v>21764.3</x:v>
      </x:c>
      <x:c r="K453" t="str">
        <x:v>TWD</x:v>
      </x:c>
      <x:c r="L453" s="20" t="n">
        <x:v>45931</x:v>
      </x:c>
      <x:c r="M453" s="20" t="n">
        <x:v>45935</x:v>
      </x:c>
      <x:c r="N453" t="str">
        <x:v>否</x:v>
      </x:c>
      <x:c r="O453" t="str">
        <x:v>一般</x:v>
      </x:c>
      <x:c r="P453" t="str">
        <x:v>部分出貨</x:v>
      </x:c>
    </x:row>
    <x:row r="454" ht="20" customHeight="1">
      <x:c r="A454" t="str">
        <x:v>SO00453-01</x:v>
      </x:c>
      <x:c r="B454" t="str">
        <x:v>SO00453</x:v>
      </x:c>
      <x:c r="C454" t="str">
        <x:v>Q00700</x:v>
      </x:c>
      <x:c r="D454" t="str">
        <x:v>AFT-002</x:v>
      </x:c>
      <x:c r="E454" t="str">
        <x:v>S04</x:v>
      </x:c>
      <x:c r="F454" t="str">
        <x:v>AUTO-BRK-A</x:v>
      </x:c>
      <x:c r="G454" t="str">
        <x:v>汽車精密零組件</x:v>
      </x:c>
      <x:c r="H454" s="20" t="n">
        <x:v>45886</x:v>
      </x:c>
      <x:c r="I454" t="n">
        <x:v>7000</x:v>
      </x:c>
      <x:c r="J454" t="n">
        <x:v>1587.43</x:v>
      </x:c>
      <x:c r="K454" t="str">
        <x:v>TWD</x:v>
      </x:c>
      <x:c r="L454" s="20" t="n">
        <x:v>45905</x:v>
      </x:c>
      <x:c r="M454" s="20" t="n">
        <x:v>45905</x:v>
      </x:c>
      <x:c r="N454" t="str">
        <x:v>否</x:v>
      </x:c>
      <x:c r="O454" t="str">
        <x:v>一般</x:v>
      </x:c>
      <x:c r="P454" t="str">
        <x:v>已出貨</x:v>
      </x:c>
    </x:row>
    <x:row r="455" ht="20" customHeight="1">
      <x:c r="A455" t="str">
        <x:v>SO00454-01</x:v>
      </x:c>
      <x:c r="B455" t="str">
        <x:v>SO00454</x:v>
      </x:c>
      <x:c r="C455" t="str">
        <x:v>Q00702</x:v>
      </x:c>
      <x:c r="D455" t="str">
        <x:v>EMS-007</x:v>
      </x:c>
      <x:c r="E455" t="str">
        <x:v>S04</x:v>
      </x:c>
      <x:c r="F455" t="str">
        <x:v>AUTO-BS-B</x:v>
      </x:c>
      <x:c r="G455" t="str">
        <x:v>汽車精密零組件</x:v>
      </x:c>
      <x:c r="H455" s="20" t="n">
        <x:v>45912</x:v>
      </x:c>
      <x:c r="I455" t="n">
        <x:v>13000</x:v>
      </x:c>
      <x:c r="J455" t="n">
        <x:v>859.55</x:v>
      </x:c>
      <x:c r="K455" t="str">
        <x:v>TWD</x:v>
      </x:c>
      <x:c r="L455" s="20" t="n">
        <x:v>45925</x:v>
      </x:c>
      <x:c r="M455" s="20" t="n">
        <x:v>45928</x:v>
      </x:c>
      <x:c r="N455" t="str">
        <x:v>是</x:v>
      </x:c>
      <x:c r="O455" t="str">
        <x:v>一般</x:v>
      </x:c>
      <x:c r="P455" t="str">
        <x:v>部分出貨</x:v>
      </x:c>
    </x:row>
    <x:row r="456" ht="20" customHeight="1">
      <x:c r="A456" t="str">
        <x:v>SO00455-01</x:v>
      </x:c>
      <x:c r="B456" t="str">
        <x:v>SO00455</x:v>
      </x:c>
      <x:c r="C456" t="str">
        <x:v>Q00705</x:v>
      </x:c>
      <x:c r="D456" t="str">
        <x:v>AFT-006</x:v>
      </x:c>
      <x:c r="E456" t="str">
        <x:v>S01</x:v>
      </x:c>
      <x:c r="F456" t="str">
        <x:v>AUTO-MH-B</x:v>
      </x:c>
      <x:c r="G456" t="str">
        <x:v>汽車精密零組件</x:v>
      </x:c>
      <x:c r="H456" s="20" t="n">
        <x:v>45884</x:v>
      </x:c>
      <x:c r="I456" t="n">
        <x:v>5000</x:v>
      </x:c>
      <x:c r="J456" t="n">
        <x:v>2916.4</x:v>
      </x:c>
      <x:c r="K456" t="str">
        <x:v>TWD</x:v>
      </x:c>
      <x:c r="L456" s="20" t="n">
        <x:v>45907</x:v>
      </x:c>
      <x:c r="M456" s="20" t="n">
        <x:v>45907</x:v>
      </x:c>
      <x:c r="N456" t="str">
        <x:v>是</x:v>
      </x:c>
      <x:c r="O456" t="str">
        <x:v>一般</x:v>
      </x:c>
      <x:c r="P456" t="str">
        <x:v>部分出貨</x:v>
      </x:c>
    </x:row>
    <x:row r="457" ht="20" customHeight="1">
      <x:c r="A457" t="str">
        <x:v>SO00456-01</x:v>
      </x:c>
      <x:c r="B457" t="str">
        <x:v>SO00456</x:v>
      </x:c>
      <x:c r="C457" t="str">
        <x:v>Q00706</x:v>
      </x:c>
      <x:c r="D457" t="str">
        <x:v>SEM-010</x:v>
      </x:c>
      <x:c r="E457" t="str">
        <x:v>S01</x:v>
      </x:c>
      <x:c r="F457" t="str">
        <x:v>MECH-STG-A</x:v>
      </x:c>
      <x:c r="G457" t="str">
        <x:v>機電／自動化模組</x:v>
      </x:c>
      <x:c r="H457" s="20" t="n">
        <x:v>45880</x:v>
      </x:c>
      <x:c r="I457" t="n">
        <x:v>30</x:v>
      </x:c>
      <x:c r="J457" t="n">
        <x:v>139195.56</x:v>
      </x:c>
      <x:c r="K457" t="str">
        <x:v>TWD</x:v>
      </x:c>
      <x:c r="L457" s="20" t="n">
        <x:v>45915</x:v>
      </x:c>
      <x:c r="M457" s="20" t="n">
        <x:v>45919</x:v>
      </x:c>
      <x:c r="N457" t="str">
        <x:v>否</x:v>
      </x:c>
      <x:c r="O457" t="str">
        <x:v>一般</x:v>
      </x:c>
      <x:c r="P457" t="str">
        <x:v>已出貨</x:v>
      </x:c>
    </x:row>
    <x:row r="458" ht="20" customHeight="1">
      <x:c r="A458" t="str">
        <x:v>SO00457-01</x:v>
      </x:c>
      <x:c r="B458" t="str">
        <x:v>SO00457</x:v>
      </x:c>
      <x:c r="C458" t="str">
        <x:v>Q00707</x:v>
      </x:c>
      <x:c r="D458" t="str">
        <x:v>AFT-002</x:v>
      </x:c>
      <x:c r="E458" t="str">
        <x:v>S04</x:v>
      </x:c>
      <x:c r="F458" t="str">
        <x:v>AUTO-LG-A</x:v>
      </x:c>
      <x:c r="G458" t="str">
        <x:v>汽車精密零組件</x:v>
      </x:c>
      <x:c r="H458" s="20" t="n">
        <x:v>45892</x:v>
      </x:c>
      <x:c r="I458" t="n">
        <x:v>5000</x:v>
      </x:c>
      <x:c r="J458" t="n">
        <x:v>1122.03</x:v>
      </x:c>
      <x:c r="K458" t="str">
        <x:v>TWD</x:v>
      </x:c>
      <x:c r="L458" s="20" t="n">
        <x:v>45908</x:v>
      </x:c>
      <x:c r="M458" s="20" t="n">
        <x:v>45910</x:v>
      </x:c>
      <x:c r="N458" t="str">
        <x:v>否</x:v>
      </x:c>
      <x:c r="O458" t="str">
        <x:v>一般</x:v>
      </x:c>
      <x:c r="P458" t="str">
        <x:v>部分出貨</x:v>
      </x:c>
    </x:row>
    <x:row r="459" ht="20" customHeight="1">
      <x:c r="A459" t="str">
        <x:v>SO00458-01</x:v>
      </x:c>
      <x:c r="B459" t="str">
        <x:v>SO00458</x:v>
      </x:c>
      <x:c r="C459" t="str">
        <x:v>Q00709</x:v>
      </x:c>
      <x:c r="D459" t="str">
        <x:v>AUT-001</x:v>
      </x:c>
      <x:c r="E459" t="str">
        <x:v>S01</x:v>
      </x:c>
      <x:c r="F459" t="str">
        <x:v>AUTO-BRK-B</x:v>
      </x:c>
      <x:c r="G459" t="str">
        <x:v>汽車精密零組件</x:v>
      </x:c>
      <x:c r="H459" s="20" t="n">
        <x:v>45896</x:v>
      </x:c>
      <x:c r="I459" t="n">
        <x:v>5000</x:v>
      </x:c>
      <x:c r="J459" t="n">
        <x:v>2175.72</x:v>
      </x:c>
      <x:c r="K459" t="str">
        <x:v>TWD</x:v>
      </x:c>
      <x:c r="L459" s="20" t="n">
        <x:v>45912</x:v>
      </x:c>
      <x:c r="M459" s="20" t="n">
        <x:v>45915</x:v>
      </x:c>
      <x:c r="N459" t="str">
        <x:v>是</x:v>
      </x:c>
      <x:c r="O459" t="str">
        <x:v>VIP</x:v>
      </x:c>
      <x:c r="P459" t="str">
        <x:v>部分出貨</x:v>
      </x:c>
    </x:row>
    <x:row r="460" ht="20" customHeight="1">
      <x:c r="A460" t="str">
        <x:v>SO00459-01</x:v>
      </x:c>
      <x:c r="B460" t="str">
        <x:v>SO00459</x:v>
      </x:c>
      <x:c r="C460" t="str">
        <x:v>Q00710</x:v>
      </x:c>
      <x:c r="D460" t="str">
        <x:v>AUT-003</x:v>
      </x:c>
      <x:c r="E460" t="str">
        <x:v>S03</x:v>
      </x:c>
      <x:c r="F460" t="str">
        <x:v>AUTO-KN-B</x:v>
      </x:c>
      <x:c r="G460" t="str">
        <x:v>汽車精密零組件</x:v>
      </x:c>
      <x:c r="H460" s="20" t="n">
        <x:v>45878</x:v>
      </x:c>
      <x:c r="I460" t="n">
        <x:v>10000</x:v>
      </x:c>
      <x:c r="J460" t="n">
        <x:v>3814.66</x:v>
      </x:c>
      <x:c r="K460" t="str">
        <x:v>TWD</x:v>
      </x:c>
      <x:c r="L460" s="20" t="n">
        <x:v>45906</x:v>
      </x:c>
      <x:c r="M460" s="20" t="n">
        <x:v>45906</x:v>
      </x:c>
      <x:c r="N460" t="str">
        <x:v>否</x:v>
      </x:c>
      <x:c r="O460" t="str">
        <x:v>VIP</x:v>
      </x:c>
      <x:c r="P460" t="str">
        <x:v>部分出貨</x:v>
      </x:c>
    </x:row>
    <x:row r="461" ht="20" customHeight="1">
      <x:c r="A461" t="str">
        <x:v>SO00460-01</x:v>
      </x:c>
      <x:c r="B461" t="str">
        <x:v>SO00460</x:v>
      </x:c>
      <x:c r="C461" t="str">
        <x:v>Q00711</x:v>
      </x:c>
      <x:c r="D461" t="str">
        <x:v>AUT-011</x:v>
      </x:c>
      <x:c r="E461" t="str">
        <x:v>S02</x:v>
      </x:c>
      <x:c r="F461" t="str">
        <x:v>MECH-CON-B</x:v>
      </x:c>
      <x:c r="G461" t="str">
        <x:v>機電／自動化模組</x:v>
      </x:c>
      <x:c r="H461" s="20" t="n">
        <x:v>45908</x:v>
      </x:c>
      <x:c r="I461" t="n">
        <x:v>40</x:v>
      </x:c>
      <x:c r="J461" t="n">
        <x:v>157223.7</x:v>
      </x:c>
      <x:c r="K461" t="str">
        <x:v>TWD</x:v>
      </x:c>
      <x:c r="L461" s="20" t="n">
        <x:v>45941</x:v>
      </x:c>
      <x:c r="M461" s="20" t="n">
        <x:v>45949</x:v>
      </x:c>
      <x:c r="N461" t="str">
        <x:v>是</x:v>
      </x:c>
      <x:c r="O461" t="str">
        <x:v>重要</x:v>
      </x:c>
      <x:c r="P461" t="str">
        <x:v>已出貨</x:v>
      </x:c>
    </x:row>
    <x:row r="462" ht="20" customHeight="1">
      <x:c r="A462" t="str">
        <x:v>SO00461-01</x:v>
      </x:c>
      <x:c r="B462" t="str">
        <x:v>SO00461</x:v>
      </x:c>
      <x:c r="C462" t="str">
        <x:v>Q00712</x:v>
      </x:c>
      <x:c r="D462" t="str">
        <x:v>IAT-007</x:v>
      </x:c>
      <x:c r="E462" t="str">
        <x:v>S04</x:v>
      </x:c>
      <x:c r="F462" t="str">
        <x:v>MECH-CON-A</x:v>
      </x:c>
      <x:c r="G462" t="str">
        <x:v>機電／自動化模組</x:v>
      </x:c>
      <x:c r="H462" s="20" t="n">
        <x:v>45898</x:v>
      </x:c>
      <x:c r="I462" t="n">
        <x:v>50</x:v>
      </x:c>
      <x:c r="J462" t="n">
        <x:v>111383.55</x:v>
      </x:c>
      <x:c r="K462" t="str">
        <x:v>TWD</x:v>
      </x:c>
      <x:c r="L462" s="20" t="n">
        <x:v>45937</x:v>
      </x:c>
      <x:c r="M462" s="20" t="n">
        <x:v>45937</x:v>
      </x:c>
      <x:c r="N462" t="str">
        <x:v>否</x:v>
      </x:c>
      <x:c r="O462" t="str">
        <x:v>重要</x:v>
      </x:c>
      <x:c r="P462" t="str">
        <x:v>已出貨</x:v>
      </x:c>
    </x:row>
    <x:row r="463" ht="20" customHeight="1">
      <x:c r="A463" t="str">
        <x:v>SO00462-01</x:v>
      </x:c>
      <x:c r="B463" t="str">
        <x:v>SO00462</x:v>
      </x:c>
      <x:c r="C463" t="str">
        <x:v>Q00714</x:v>
      </x:c>
      <x:c r="D463" t="str">
        <x:v>IAT-002</x:v>
      </x:c>
      <x:c r="E463" t="str">
        <x:v>S01</x:v>
      </x:c>
      <x:c r="F463" t="str">
        <x:v>AUTO-LG-B</x:v>
      </x:c>
      <x:c r="G463" t="str">
        <x:v>汽車精密零組件</x:v>
      </x:c>
      <x:c r="H463" s="20" t="n">
        <x:v>45898</x:v>
      </x:c>
      <x:c r="I463" t="n">
        <x:v>5000</x:v>
      </x:c>
      <x:c r="J463" t="n">
        <x:v>1209.87</x:v>
      </x:c>
      <x:c r="K463" t="str">
        <x:v>TWD</x:v>
      </x:c>
      <x:c r="L463" s="20" t="n">
        <x:v>45911</x:v>
      </x:c>
      <x:c r="M463" s="20" t="n">
        <x:v>45917</x:v>
      </x:c>
      <x:c r="N463" t="str">
        <x:v>是</x:v>
      </x:c>
      <x:c r="O463" t="str">
        <x:v>一般</x:v>
      </x:c>
      <x:c r="P463" t="str">
        <x:v>部分出貨</x:v>
      </x:c>
    </x:row>
    <x:row r="464" ht="20" customHeight="1">
      <x:c r="A464" t="str">
        <x:v>SO00463-01</x:v>
      </x:c>
      <x:c r="B464" t="str">
        <x:v>SO00463</x:v>
      </x:c>
      <x:c r="C464" t="str">
        <x:v>Q00717</x:v>
      </x:c>
      <x:c r="D464" t="str">
        <x:v>EMS-002</x:v>
      </x:c>
      <x:c r="E464" t="str">
        <x:v>S05</x:v>
      </x:c>
      <x:c r="F464" t="str">
        <x:v>AUTO-LG-A</x:v>
      </x:c>
      <x:c r="G464" t="str">
        <x:v>汽車精密零組件</x:v>
      </x:c>
      <x:c r="H464" s="20" t="n">
        <x:v>45928</x:v>
      </x:c>
      <x:c r="I464" t="n">
        <x:v>7000</x:v>
      </x:c>
      <x:c r="J464" t="n">
        <x:v>1159.82</x:v>
      </x:c>
      <x:c r="K464" t="str">
        <x:v>TWD</x:v>
      </x:c>
      <x:c r="L464" s="20" t="n">
        <x:v>45944</x:v>
      </x:c>
      <x:c r="M464" s="20" t="n">
        <x:v>45946</x:v>
      </x:c>
      <x:c r="N464" t="str">
        <x:v>否</x:v>
      </x:c>
      <x:c r="O464" t="str">
        <x:v>重要</x:v>
      </x:c>
      <x:c r="P464" t="str">
        <x:v>部分出貨</x:v>
      </x:c>
    </x:row>
    <x:row r="465" ht="20" customHeight="1">
      <x:c r="A465" t="str">
        <x:v>SO00464-01</x:v>
      </x:c>
      <x:c r="B465" t="str">
        <x:v>SO00464</x:v>
      </x:c>
      <x:c r="C465" t="str">
        <x:v>Q00718</x:v>
      </x:c>
      <x:c r="D465" t="str">
        <x:v>AUT-001</x:v>
      </x:c>
      <x:c r="E465" t="str">
        <x:v>S01</x:v>
      </x:c>
      <x:c r="F465" t="str">
        <x:v>PM-BRG-B</x:v>
      </x:c>
      <x:c r="G465" t="str">
        <x:v>精密金屬加工件</x:v>
      </x:c>
      <x:c r="H465" s="20" t="n">
        <x:v>45920</x:v>
      </x:c>
      <x:c r="I465" t="n">
        <x:v>300</x:v>
      </x:c>
      <x:c r="J465" t="n">
        <x:v>8170.9</x:v>
      </x:c>
      <x:c r="K465" t="str">
        <x:v>TWD</x:v>
      </x:c>
      <x:c r="L465" s="20" t="n">
        <x:v>45942</x:v>
      </x:c>
      <x:c r="M465" s="20" t="n">
        <x:v>45942</x:v>
      </x:c>
      <x:c r="N465" t="str">
        <x:v>是</x:v>
      </x:c>
      <x:c r="O465" t="str">
        <x:v>VIP</x:v>
      </x:c>
      <x:c r="P465" t="str">
        <x:v>部分出貨</x:v>
      </x:c>
    </x:row>
    <x:row r="466" ht="20" customHeight="1">
      <x:c r="A466" t="str">
        <x:v>SO00465-01</x:v>
      </x:c>
      <x:c r="B466" t="str">
        <x:v>SO00465</x:v>
      </x:c>
      <x:c r="C466" t="str">
        <x:v>Q00720</x:v>
      </x:c>
      <x:c r="D466" t="str">
        <x:v>SEM-005</x:v>
      </x:c>
      <x:c r="E466" t="str">
        <x:v>S06</x:v>
      </x:c>
      <x:c r="F466" t="str">
        <x:v>PM-BRG-A</x:v>
      </x:c>
      <x:c r="G466" t="str">
        <x:v>精密金屬加工件</x:v>
      </x:c>
      <x:c r="H466" s="20" t="n">
        <x:v>45914</x:v>
      </x:c>
      <x:c r="I466" t="n">
        <x:v>1600</x:v>
      </x:c>
      <x:c r="J466" t="n">
        <x:v>6766.31</x:v>
      </x:c>
      <x:c r="K466" t="str">
        <x:v>TWD</x:v>
      </x:c>
      <x:c r="L466" s="20" t="n">
        <x:v>45934</x:v>
      </x:c>
      <x:c r="M466" s="20" t="n">
        <x:v>45934</x:v>
      </x:c>
      <x:c r="N466" t="str">
        <x:v>否</x:v>
      </x:c>
      <x:c r="O466" t="str">
        <x:v>重要</x:v>
      </x:c>
      <x:c r="P466" t="str">
        <x:v>部分出貨</x:v>
      </x:c>
    </x:row>
    <x:row r="467" ht="20" customHeight="1">
      <x:c r="A467" t="str">
        <x:v>SO00466-01</x:v>
      </x:c>
      <x:c r="B467" t="str">
        <x:v>SO00466</x:v>
      </x:c>
      <x:c r="C467" t="str">
        <x:v>Q00721</x:v>
      </x:c>
      <x:c r="D467" t="str">
        <x:v>IAT-009</x:v>
      </x:c>
      <x:c r="E467" t="str">
        <x:v>S04</x:v>
      </x:c>
      <x:c r="F467" t="str">
        <x:v>AUTO-MH-B</x:v>
      </x:c>
      <x:c r="G467" t="str">
        <x:v>汽車精密零組件</x:v>
      </x:c>
      <x:c r="H467" s="20" t="n">
        <x:v>45927</x:v>
      </x:c>
      <x:c r="I467" t="n">
        <x:v>13000</x:v>
      </x:c>
      <x:c r="J467" t="n">
        <x:v>2976.85</x:v>
      </x:c>
      <x:c r="K467" t="str">
        <x:v>TWD</x:v>
      </x:c>
      <x:c r="L467" s="20" t="n">
        <x:v>45944</x:v>
      </x:c>
      <x:c r="M467" s="20" t="n">
        <x:v>45950</x:v>
      </x:c>
      <x:c r="N467" t="str">
        <x:v>是</x:v>
      </x:c>
      <x:c r="O467" t="str">
        <x:v>重要</x:v>
      </x:c>
      <x:c r="P467" t="str">
        <x:v>部分出貨</x:v>
      </x:c>
    </x:row>
    <x:row r="468" ht="20" customHeight="1">
      <x:c r="A468" t="str">
        <x:v>SO00467-01</x:v>
      </x:c>
      <x:c r="B468" t="str">
        <x:v>SO00467</x:v>
      </x:c>
      <x:c r="C468" t="str">
        <x:v>Q00723</x:v>
      </x:c>
      <x:c r="D468" t="str">
        <x:v>IAT-003</x:v>
      </x:c>
      <x:c r="E468" t="str">
        <x:v>S04</x:v>
      </x:c>
      <x:c r="F468" t="str">
        <x:v>SEMI-CHB-A</x:v>
      </x:c>
      <x:c r="G468" t="str">
        <x:v>半導體設備零組件</x:v>
      </x:c>
      <x:c r="H468" s="20" t="n">
        <x:v>45929</x:v>
      </x:c>
      <x:c r="I468" t="n">
        <x:v>60</x:v>
      </x:c>
      <x:c r="J468" t="n">
        <x:v>95175.77</x:v>
      </x:c>
      <x:c r="K468" t="str">
        <x:v>TWD</x:v>
      </x:c>
      <x:c r="L468" s="20" t="n">
        <x:v>45970</x:v>
      </x:c>
      <x:c r="M468" s="20" t="n">
        <x:v>45973</x:v>
      </x:c>
      <x:c r="N468" t="str">
        <x:v>否</x:v>
      </x:c>
      <x:c r="O468" t="str">
        <x:v>重要</x:v>
      </x:c>
      <x:c r="P468" t="str">
        <x:v>部分出貨</x:v>
      </x:c>
    </x:row>
    <x:row r="469" ht="20" customHeight="1">
      <x:c r="A469" t="str">
        <x:v>SO00468-01</x:v>
      </x:c>
      <x:c r="B469" t="str">
        <x:v>SO00468</x:v>
      </x:c>
      <x:c r="C469" t="str">
        <x:v>Q00725</x:v>
      </x:c>
      <x:c r="D469" t="str">
        <x:v>SEM-003</x:v>
      </x:c>
      <x:c r="E469" t="str">
        <x:v>S02</x:v>
      </x:c>
      <x:c r="F469" t="str">
        <x:v>MECH-STG-B</x:v>
      </x:c>
      <x:c r="G469" t="str">
        <x:v>機電／自動化模組</x:v>
      </x:c>
      <x:c r="H469" s="20" t="n">
        <x:v>45915</x:v>
      </x:c>
      <x:c r="I469" t="n">
        <x:v>20</x:v>
      </x:c>
      <x:c r="J469" t="n">
        <x:v>197537.76</x:v>
      </x:c>
      <x:c r="K469" t="str">
        <x:v>TWD</x:v>
      </x:c>
      <x:c r="L469" s="20" t="n">
        <x:v>45956</x:v>
      </x:c>
      <x:c r="M469" s="20" t="n">
        <x:v>45967</x:v>
      </x:c>
      <x:c r="N469" t="str">
        <x:v>否</x:v>
      </x:c>
      <x:c r="O469" t="str">
        <x:v>重要</x:v>
      </x:c>
      <x:c r="P469" t="str">
        <x:v>已出貨</x:v>
      </x:c>
    </x:row>
    <x:row r="470" ht="20" customHeight="1">
      <x:c r="A470" t="str">
        <x:v>SO00469-01</x:v>
      </x:c>
      <x:c r="B470" t="str">
        <x:v>SO00469</x:v>
      </x:c>
      <x:c r="C470" t="str">
        <x:v>Q00726</x:v>
      </x:c>
      <x:c r="D470" t="str">
        <x:v>AUT-012</x:v>
      </x:c>
      <x:c r="E470" t="str">
        <x:v>S06</x:v>
      </x:c>
      <x:c r="F470" t="str">
        <x:v>MECH-STG-A</x:v>
      </x:c>
      <x:c r="G470" t="str">
        <x:v>機電／自動化模組</x:v>
      </x:c>
      <x:c r="H470" s="20" t="n">
        <x:v>45911</x:v>
      </x:c>
      <x:c r="I470" t="n">
        <x:v>30</x:v>
      </x:c>
      <x:c r="J470" t="n">
        <x:v>134901.38</x:v>
      </x:c>
      <x:c r="K470" t="str">
        <x:v>TWD</x:v>
      </x:c>
      <x:c r="L470" s="20" t="n">
        <x:v>45948</x:v>
      </x:c>
      <x:c r="M470" s="20" t="n">
        <x:v>45950</x:v>
      </x:c>
      <x:c r="N470" t="str">
        <x:v>否</x:v>
      </x:c>
      <x:c r="O470" t="str">
        <x:v>VIP</x:v>
      </x:c>
      <x:c r="P470" t="str">
        <x:v>已出貨</x:v>
      </x:c>
    </x:row>
    <x:row r="471" ht="20" customHeight="1">
      <x:c r="A471" t="str">
        <x:v>SO00470-01</x:v>
      </x:c>
      <x:c r="B471" t="str">
        <x:v>SO00470</x:v>
      </x:c>
      <x:c r="C471" t="str">
        <x:v>Q00727</x:v>
      </x:c>
      <x:c r="D471" t="str">
        <x:v>AUT-010</x:v>
      </x:c>
      <x:c r="E471" t="str">
        <x:v>S05</x:v>
      </x:c>
      <x:c r="F471" t="str">
        <x:v>AUTO-FL-A</x:v>
      </x:c>
      <x:c r="G471" t="str">
        <x:v>汽車精密零組件</x:v>
      </x:c>
      <x:c r="H471" s="20" t="n">
        <x:v>45914</x:v>
      </x:c>
      <x:c r="I471" t="n">
        <x:v>3000</x:v>
      </x:c>
      <x:c r="J471" t="n">
        <x:v>1247.28</x:v>
      </x:c>
      <x:c r="K471" t="str">
        <x:v>TWD</x:v>
      </x:c>
      <x:c r="L471" s="20" t="n">
        <x:v>45929</x:v>
      </x:c>
      <x:c r="M471" s="20" t="n">
        <x:v>45931</x:v>
      </x:c>
      <x:c r="N471" t="str">
        <x:v>是</x:v>
      </x:c>
      <x:c r="O471" t="str">
        <x:v>VIP</x:v>
      </x:c>
      <x:c r="P471" t="str">
        <x:v>部分出貨</x:v>
      </x:c>
    </x:row>
    <x:row r="472" ht="20" customHeight="1">
      <x:c r="A472" t="str">
        <x:v>SO00471-01</x:v>
      </x:c>
      <x:c r="B472" t="str">
        <x:v>SO00471</x:v>
      </x:c>
      <x:c r="C472" t="str">
        <x:v>Q00729</x:v>
      </x:c>
      <x:c r="D472" t="str">
        <x:v>AFT-004</x:v>
      </x:c>
      <x:c r="E472" t="str">
        <x:v>S02</x:v>
      </x:c>
      <x:c r="F472" t="str">
        <x:v>PM-SUS-A</x:v>
      </x:c>
      <x:c r="G472" t="str">
        <x:v>精密金屬加工件</x:v>
      </x:c>
      <x:c r="H472" s="20" t="n">
        <x:v>45939</x:v>
      </x:c>
      <x:c r="I472" t="n">
        <x:v>500</x:v>
      </x:c>
      <x:c r="J472" t="n">
        <x:v>10746.93</x:v>
      </x:c>
      <x:c r="K472" t="str">
        <x:v>TWD</x:v>
      </x:c>
      <x:c r="L472" s="20" t="n">
        <x:v>45956</x:v>
      </x:c>
      <x:c r="M472" s="20" t="n">
        <x:v>45964</x:v>
      </x:c>
      <x:c r="N472" t="str">
        <x:v>是</x:v>
      </x:c>
      <x:c r="O472" t="str">
        <x:v>重要</x:v>
      </x:c>
      <x:c r="P472" t="str">
        <x:v>部分出貨</x:v>
      </x:c>
    </x:row>
    <x:row r="473" ht="20" customHeight="1">
      <x:c r="A473" t="str">
        <x:v>SO00472-01</x:v>
      </x:c>
      <x:c r="B473" t="str">
        <x:v>SO00472</x:v>
      </x:c>
      <x:c r="C473" t="str">
        <x:v>Q00730</x:v>
      </x:c>
      <x:c r="D473" t="str">
        <x:v>AUT-009</x:v>
      </x:c>
      <x:c r="E473" t="str">
        <x:v>S04</x:v>
      </x:c>
      <x:c r="F473" t="str">
        <x:v>MECH-CON-A</x:v>
      </x:c>
      <x:c r="G473" t="str">
        <x:v>機電／自動化模組</x:v>
      </x:c>
      <x:c r="H473" s="20" t="n">
        <x:v>45907</x:v>
      </x:c>
      <x:c r="I473" t="n">
        <x:v>10</x:v>
      </x:c>
      <x:c r="J473" t="n">
        <x:v>113417.57</x:v>
      </x:c>
      <x:c r="K473" t="str">
        <x:v>TWD</x:v>
      </x:c>
      <x:c r="L473" s="20" t="n">
        <x:v>45942</x:v>
      </x:c>
      <x:c r="M473" s="20" t="n">
        <x:v>45942</x:v>
      </x:c>
      <x:c r="N473" t="str">
        <x:v>否</x:v>
      </x:c>
      <x:c r="O473" t="str">
        <x:v>重要</x:v>
      </x:c>
      <x:c r="P473" t="str">
        <x:v>已出貨</x:v>
      </x:c>
    </x:row>
    <x:row r="474" ht="20" customHeight="1">
      <x:c r="A474" t="str">
        <x:v>SO00473-01</x:v>
      </x:c>
      <x:c r="B474" t="str">
        <x:v>SO00473</x:v>
      </x:c>
      <x:c r="C474" t="str">
        <x:v>Q00731</x:v>
      </x:c>
      <x:c r="D474" t="str">
        <x:v>AFT-005</x:v>
      </x:c>
      <x:c r="E474" t="str">
        <x:v>S05</x:v>
      </x:c>
      <x:c r="F474" t="str">
        <x:v>PM-VAC-A</x:v>
      </x:c>
      <x:c r="G474" t="str">
        <x:v>精密金屬加工件</x:v>
      </x:c>
      <x:c r="H474" s="20" t="n">
        <x:v>45927</x:v>
      </x:c>
      <x:c r="I474" t="n">
        <x:v>1200</x:v>
      </x:c>
      <x:c r="J474" t="n">
        <x:v>15495.1</x:v>
      </x:c>
      <x:c r="K474" t="str">
        <x:v>TWD</x:v>
      </x:c>
      <x:c r="L474" s="20" t="n">
        <x:v>45950</x:v>
      </x:c>
      <x:c r="M474" s="20" t="n">
        <x:v>45958</x:v>
      </x:c>
      <x:c r="N474" t="str">
        <x:v>是</x:v>
      </x:c>
      <x:c r="O474" t="str">
        <x:v>VIP</x:v>
      </x:c>
      <x:c r="P474" t="str">
        <x:v>部分出貨</x:v>
      </x:c>
    </x:row>
    <x:row r="475" ht="20" customHeight="1">
      <x:c r="A475" t="str">
        <x:v>SO00474-01</x:v>
      </x:c>
      <x:c r="B475" t="str">
        <x:v>SO00474</x:v>
      </x:c>
      <x:c r="C475" t="str">
        <x:v>Q00733</x:v>
      </x:c>
      <x:c r="D475" t="str">
        <x:v>EMS-005</x:v>
      </x:c>
      <x:c r="E475" t="str">
        <x:v>S01</x:v>
      </x:c>
      <x:c r="F475" t="str">
        <x:v>AUTO-BRK-A</x:v>
      </x:c>
      <x:c r="G475" t="str">
        <x:v>汽車精密零組件</x:v>
      </x:c>
      <x:c r="H475" s="20" t="n">
        <x:v>45921</x:v>
      </x:c>
      <x:c r="I475" t="n">
        <x:v>5000</x:v>
      </x:c>
      <x:c r="J475" t="n">
        <x:v>1763.37</x:v>
      </x:c>
      <x:c r="K475" t="str">
        <x:v>TWD</x:v>
      </x:c>
      <x:c r="L475" s="20" t="n">
        <x:v>45935</x:v>
      </x:c>
      <x:c r="M475" s="20" t="n">
        <x:v>45939</x:v>
      </x:c>
      <x:c r="N475" t="str">
        <x:v>是</x:v>
      </x:c>
      <x:c r="O475" t="str">
        <x:v>VIP</x:v>
      </x:c>
      <x:c r="P475" t="str">
        <x:v>部分出貨</x:v>
      </x:c>
    </x:row>
    <x:row r="476" ht="20" customHeight="1">
      <x:c r="A476" t="str">
        <x:v>SO00475-01</x:v>
      </x:c>
      <x:c r="B476" t="str">
        <x:v>SO00475</x:v>
      </x:c>
      <x:c r="C476" t="str">
        <x:v>Q00739</x:v>
      </x:c>
      <x:c r="D476" t="str">
        <x:v>EMS-007</x:v>
      </x:c>
      <x:c r="E476" t="str">
        <x:v>S04</x:v>
      </x:c>
      <x:c r="F476" t="str">
        <x:v>PM-ALB-A</x:v>
      </x:c>
      <x:c r="G476" t="str">
        <x:v>精密金屬加工件</x:v>
      </x:c>
      <x:c r="H476" s="20" t="n">
        <x:v>45915</x:v>
      </x:c>
      <x:c r="I476" t="n">
        <x:v>300</x:v>
      </x:c>
      <x:c r="J476" t="n">
        <x:v>10209.9</x:v>
      </x:c>
      <x:c r="K476" t="str">
        <x:v>TWD</x:v>
      </x:c>
      <x:c r="L476" s="20" t="n">
        <x:v>45936</x:v>
      </x:c>
      <x:c r="M476" s="20" t="n">
        <x:v>45940</x:v>
      </x:c>
      <x:c r="N476" t="str">
        <x:v>否</x:v>
      </x:c>
      <x:c r="O476" t="str">
        <x:v>一般</x:v>
      </x:c>
      <x:c r="P476" t="str">
        <x:v>部分出貨</x:v>
      </x:c>
    </x:row>
    <x:row r="477" ht="20" customHeight="1">
      <x:c r="A477" t="str">
        <x:v>SO00476-01</x:v>
      </x:c>
      <x:c r="B477" t="str">
        <x:v>SO00476</x:v>
      </x:c>
      <x:c r="C477" t="str">
        <x:v>Q00740</x:v>
      </x:c>
      <x:c r="D477" t="str">
        <x:v>AUT-012</x:v>
      </x:c>
      <x:c r="E477" t="str">
        <x:v>S06</x:v>
      </x:c>
      <x:c r="F477" t="str">
        <x:v>AUTO-LG-A</x:v>
      </x:c>
      <x:c r="G477" t="str">
        <x:v>汽車精密零組件</x:v>
      </x:c>
      <x:c r="H477" s="20" t="n">
        <x:v>45915</x:v>
      </x:c>
      <x:c r="I477" t="n">
        <x:v>5000</x:v>
      </x:c>
      <x:c r="J477" t="n">
        <x:v>1121.33</x:v>
      </x:c>
      <x:c r="K477" t="str">
        <x:v>TWD</x:v>
      </x:c>
      <x:c r="L477" s="20" t="n">
        <x:v>45929</x:v>
      </x:c>
      <x:c r="M477" s="20" t="n">
        <x:v>45931</x:v>
      </x:c>
      <x:c r="N477" t="str">
        <x:v>是</x:v>
      </x:c>
      <x:c r="O477" t="str">
        <x:v>VIP</x:v>
      </x:c>
      <x:c r="P477" t="str">
        <x:v>部分出貨</x:v>
      </x:c>
    </x:row>
    <x:row r="478" ht="20" customHeight="1">
      <x:c r="A478" t="str">
        <x:v>SO00477-01</x:v>
      </x:c>
      <x:c r="B478" t="str">
        <x:v>SO00477</x:v>
      </x:c>
      <x:c r="C478" t="str">
        <x:v>Q00744</x:v>
      </x:c>
      <x:c r="D478" t="str">
        <x:v>IAT-002</x:v>
      </x:c>
      <x:c r="E478" t="str">
        <x:v>S01</x:v>
      </x:c>
      <x:c r="F478" t="str">
        <x:v>AUTO-LG-A</x:v>
      </x:c>
      <x:c r="G478" t="str">
        <x:v>汽車精密零組件</x:v>
      </x:c>
      <x:c r="H478" s="20" t="n">
        <x:v>45915</x:v>
      </x:c>
      <x:c r="I478" t="n">
        <x:v>7000</x:v>
      </x:c>
      <x:c r="J478" t="n">
        <x:v>1086.16</x:v>
      </x:c>
      <x:c r="K478" t="str">
        <x:v>TWD</x:v>
      </x:c>
      <x:c r="L478" s="20" t="n">
        <x:v>45929</x:v>
      </x:c>
      <x:c r="M478" s="20" t="n">
        <x:v>45933</x:v>
      </x:c>
      <x:c r="N478" t="str">
        <x:v>是</x:v>
      </x:c>
      <x:c r="O478" t="str">
        <x:v>一般</x:v>
      </x:c>
      <x:c r="P478" t="str">
        <x:v>部分出貨</x:v>
      </x:c>
    </x:row>
    <x:row r="479" ht="20" customHeight="1">
      <x:c r="A479" t="str">
        <x:v>SO00478-01</x:v>
      </x:c>
      <x:c r="B479" t="str">
        <x:v>SO00478</x:v>
      </x:c>
      <x:c r="C479" t="str">
        <x:v>Q00745</x:v>
      </x:c>
      <x:c r="D479" t="str">
        <x:v>SEM-007</x:v>
      </x:c>
      <x:c r="E479" t="str">
        <x:v>S03</x:v>
      </x:c>
      <x:c r="F479" t="str">
        <x:v>PM-BRG-B</x:v>
      </x:c>
      <x:c r="G479" t="str">
        <x:v>精密金屬加工件</x:v>
      </x:c>
      <x:c r="H479" s="20" t="n">
        <x:v>45924</x:v>
      </x:c>
      <x:c r="I479" t="n">
        <x:v>1600</x:v>
      </x:c>
      <x:c r="J479" t="n">
        <x:v>7423.67</x:v>
      </x:c>
      <x:c r="K479" t="str">
        <x:v>TWD</x:v>
      </x:c>
      <x:c r="L479" s="20" t="n">
        <x:v>45942</x:v>
      </x:c>
      <x:c r="M479" s="20" t="n">
        <x:v>45944</x:v>
      </x:c>
      <x:c r="N479" t="str">
        <x:v>是</x:v>
      </x:c>
      <x:c r="O479" t="str">
        <x:v>重要</x:v>
      </x:c>
      <x:c r="P479" t="str">
        <x:v>部分出貨</x:v>
      </x:c>
    </x:row>
    <x:row r="480" ht="20" customHeight="1">
      <x:c r="A480" t="str">
        <x:v>SO00479-01</x:v>
      </x:c>
      <x:c r="B480" t="str">
        <x:v>SO00479</x:v>
      </x:c>
      <x:c r="C480" t="str">
        <x:v>Q00746</x:v>
      </x:c>
      <x:c r="D480" t="str">
        <x:v>AUT-014</x:v>
      </x:c>
      <x:c r="E480" t="str">
        <x:v>S06</x:v>
      </x:c>
      <x:c r="F480" t="str">
        <x:v>PM-ALB-A</x:v>
      </x:c>
      <x:c r="G480" t="str">
        <x:v>精密金屬加工件</x:v>
      </x:c>
      <x:c r="H480" s="20" t="n">
        <x:v>45944</x:v>
      </x:c>
      <x:c r="I480" t="n">
        <x:v>1600</x:v>
      </x:c>
      <x:c r="J480" t="n">
        <x:v>11033.97</x:v>
      </x:c>
      <x:c r="K480" t="str">
        <x:v>TWD</x:v>
      </x:c>
      <x:c r="L480" s="20" t="n">
        <x:v>45962</x:v>
      </x:c>
      <x:c r="M480" s="20" t="n">
        <x:v>45968</x:v>
      </x:c>
      <x:c r="N480" t="str">
        <x:v>是</x:v>
      </x:c>
      <x:c r="O480" t="str">
        <x:v>重要</x:v>
      </x:c>
      <x:c r="P480" t="str">
        <x:v>部分出貨</x:v>
      </x:c>
    </x:row>
    <x:row r="481" ht="20" customHeight="1">
      <x:c r="A481" t="str">
        <x:v>SO00480-01</x:v>
      </x:c>
      <x:c r="B481" t="str">
        <x:v>SO00480</x:v>
      </x:c>
      <x:c r="C481" t="str">
        <x:v>Q00748</x:v>
      </x:c>
      <x:c r="D481" t="str">
        <x:v>IAT-006</x:v>
      </x:c>
      <x:c r="E481" t="str">
        <x:v>S01</x:v>
      </x:c>
      <x:c r="F481" t="str">
        <x:v>MECH-CON-A</x:v>
      </x:c>
      <x:c r="G481" t="str">
        <x:v>機電／自動化模組</x:v>
      </x:c>
      <x:c r="H481" s="20" t="n">
        <x:v>45953</x:v>
      </x:c>
      <x:c r="I481" t="n">
        <x:v>40</x:v>
      </x:c>
      <x:c r="J481" t="n">
        <x:v>108881.16</x:v>
      </x:c>
      <x:c r="K481" t="str">
        <x:v>TWD</x:v>
      </x:c>
      <x:c r="L481" s="20" t="n">
        <x:v>45981</x:v>
      </x:c>
      <x:c r="M481" s="20" t="n">
        <x:v>45985</x:v>
      </x:c>
      <x:c r="N481" t="str">
        <x:v>是</x:v>
      </x:c>
      <x:c r="O481" t="str">
        <x:v>重要</x:v>
      </x:c>
      <x:c r="P481" t="str">
        <x:v>已出貨</x:v>
      </x:c>
    </x:row>
    <x:row r="482" ht="20" customHeight="1">
      <x:c r="A482" t="str">
        <x:v>SO00481-01</x:v>
      </x:c>
      <x:c r="B482" t="str">
        <x:v>SO00481</x:v>
      </x:c>
      <x:c r="C482" t="str">
        <x:v>Q00749</x:v>
      </x:c>
      <x:c r="D482" t="str">
        <x:v>IAT-010</x:v>
      </x:c>
      <x:c r="E482" t="str">
        <x:v>S04</x:v>
      </x:c>
      <x:c r="F482" t="str">
        <x:v>MECH-STG-B</x:v>
      </x:c>
      <x:c r="G482" t="str">
        <x:v>機電／自動化模組</x:v>
      </x:c>
      <x:c r="H482" s="20" t="n">
        <x:v>45952</x:v>
      </x:c>
      <x:c r="I482" t="n">
        <x:v>50</x:v>
      </x:c>
      <x:c r="J482" t="n">
        <x:v>199902.17</x:v>
      </x:c>
      <x:c r="K482" t="str">
        <x:v>TWD</x:v>
      </x:c>
      <x:c r="L482" s="20" t="n">
        <x:v>45999</x:v>
      </x:c>
      <x:c r="M482" s="20" t="n">
        <x:v>45999</x:v>
      </x:c>
      <x:c r="N482" t="str">
        <x:v>否</x:v>
      </x:c>
      <x:c r="O482" t="str">
        <x:v>重要</x:v>
      </x:c>
      <x:c r="P482" t="str">
        <x:v>部分出貨</x:v>
      </x:c>
    </x:row>
    <x:row r="483" ht="20" customHeight="1">
      <x:c r="A483" t="str">
        <x:v>SO00482-01</x:v>
      </x:c>
      <x:c r="B483" t="str">
        <x:v>SO00482</x:v>
      </x:c>
      <x:c r="C483" t="str">
        <x:v>Q00750</x:v>
      </x:c>
      <x:c r="D483" t="str">
        <x:v>SEM-001</x:v>
      </x:c>
      <x:c r="E483" t="str">
        <x:v>S01</x:v>
      </x:c>
      <x:c r="F483" t="str">
        <x:v>MECH-STG-B</x:v>
      </x:c>
      <x:c r="G483" t="str">
        <x:v>機電／自動化模組</x:v>
      </x:c>
      <x:c r="H483" s="20" t="n">
        <x:v>45948</x:v>
      </x:c>
      <x:c r="I483" t="n">
        <x:v>10</x:v>
      </x:c>
      <x:c r="J483" t="n">
        <x:v>197327.79</x:v>
      </x:c>
      <x:c r="K483" t="str">
        <x:v>TWD</x:v>
      </x:c>
      <x:c r="L483" s="20" t="n">
        <x:v>45994</x:v>
      </x:c>
      <x:c r="M483" s="20" t="n">
        <x:v>45998</x:v>
      </x:c>
      <x:c r="N483" t="str">
        <x:v>否</x:v>
      </x:c>
      <x:c r="O483" t="str">
        <x:v>重要</x:v>
      </x:c>
      <x:c r="P483" t="str">
        <x:v>已出貨</x:v>
      </x:c>
    </x:row>
    <x:row r="484" ht="20" customHeight="1">
      <x:c r="A484" t="str">
        <x:v>SO00483-01</x:v>
      </x:c>
      <x:c r="B484" t="str">
        <x:v>SO00483</x:v>
      </x:c>
      <x:c r="C484" t="str">
        <x:v>Q00751</x:v>
      </x:c>
      <x:c r="D484" t="str">
        <x:v>EMS-003</x:v>
      </x:c>
      <x:c r="E484" t="str">
        <x:v>S05</x:v>
      </x:c>
      <x:c r="F484" t="str">
        <x:v>MECH-STG-B</x:v>
      </x:c>
      <x:c r="G484" t="str">
        <x:v>機電／自動化模組</x:v>
      </x:c>
      <x:c r="H484" s="20" t="n">
        <x:v>45957</x:v>
      </x:c>
      <x:c r="I484" t="n">
        <x:v>50</x:v>
      </x:c>
      <x:c r="J484" t="n">
        <x:v>187996.19</x:v>
      </x:c>
      <x:c r="K484" t="str">
        <x:v>TWD</x:v>
      </x:c>
      <x:c r="L484" s="20" t="n">
        <x:v>46014</x:v>
      </x:c>
      <x:c r="M484" s="20" t="n">
        <x:v>46014</x:v>
      </x:c>
      <x:c r="N484" t="str">
        <x:v>是</x:v>
      </x:c>
      <x:c r="O484" t="str">
        <x:v>一般</x:v>
      </x:c>
      <x:c r="P484" t="str">
        <x:v>已出貨</x:v>
      </x:c>
    </x:row>
    <x:row r="485" ht="20" customHeight="1">
      <x:c r="A485" t="str">
        <x:v>SO00484-01</x:v>
      </x:c>
      <x:c r="B485" t="str">
        <x:v>SO00484</x:v>
      </x:c>
      <x:c r="C485" t="str">
        <x:v>Q00752</x:v>
      </x:c>
      <x:c r="D485" t="str">
        <x:v>SEM-004</x:v>
      </x:c>
      <x:c r="E485" t="str">
        <x:v>S02</x:v>
      </x:c>
      <x:c r="F485" t="str">
        <x:v>SEMI-CHB-B</x:v>
      </x:c>
      <x:c r="G485" t="str">
        <x:v>半導體設備零組件</x:v>
      </x:c>
      <x:c r="H485" s="20" t="n">
        <x:v>45960</x:v>
      </x:c>
      <x:c r="I485" t="n">
        <x:v>60</x:v>
      </x:c>
      <x:c r="J485" t="n">
        <x:v>139416.65</x:v>
      </x:c>
      <x:c r="K485" t="str">
        <x:v>TWD</x:v>
      </x:c>
      <x:c r="L485" s="20" t="n">
        <x:v>46003</x:v>
      </x:c>
      <x:c r="M485" s="20" t="n">
        <x:v>46017</x:v>
      </x:c>
      <x:c r="N485" t="str">
        <x:v>是</x:v>
      </x:c>
      <x:c r="O485" t="str">
        <x:v>一般</x:v>
      </x:c>
      <x:c r="P485" t="str">
        <x:v>部分出貨</x:v>
      </x:c>
    </x:row>
    <x:row r="486" ht="20" customHeight="1">
      <x:c r="A486" t="str">
        <x:v>SO00485-01</x:v>
      </x:c>
      <x:c r="B486" t="str">
        <x:v>SO00485</x:v>
      </x:c>
      <x:c r="C486" t="str">
        <x:v>Q00753</x:v>
      </x:c>
      <x:c r="D486" t="str">
        <x:v>AFT-007</x:v>
      </x:c>
      <x:c r="E486" t="str">
        <x:v>S04</x:v>
      </x:c>
      <x:c r="F486" t="str">
        <x:v>PM-VAC-B</x:v>
      </x:c>
      <x:c r="G486" t="str">
        <x:v>精密金屬加工件</x:v>
      </x:c>
      <x:c r="H486" s="20" t="n">
        <x:v>45965</x:v>
      </x:c>
      <x:c r="I486" t="n">
        <x:v>500</x:v>
      </x:c>
      <x:c r="J486" t="n">
        <x:v>20522.76</x:v>
      </x:c>
      <x:c r="K486" t="str">
        <x:v>TWD</x:v>
      </x:c>
      <x:c r="L486" s="20" t="n">
        <x:v>46004</x:v>
      </x:c>
      <x:c r="M486" s="20" t="n">
        <x:v>46004</x:v>
      </x:c>
      <x:c r="N486" t="str">
        <x:v>是</x:v>
      </x:c>
      <x:c r="O486" t="str">
        <x:v>一般</x:v>
      </x:c>
      <x:c r="P486" t="str">
        <x:v>部分出貨</x:v>
      </x:c>
    </x:row>
    <x:row r="487" ht="20" customHeight="1">
      <x:c r="A487" t="str">
        <x:v>SO00486-01</x:v>
      </x:c>
      <x:c r="B487" t="str">
        <x:v>SO00486</x:v>
      </x:c>
      <x:c r="C487" t="str">
        <x:v>Q00755</x:v>
      </x:c>
      <x:c r="D487" t="str">
        <x:v>EMS-007</x:v>
      </x:c>
      <x:c r="E487" t="str">
        <x:v>S04</x:v>
      </x:c>
      <x:c r="F487" t="str">
        <x:v>AUTO-MH-B</x:v>
      </x:c>
      <x:c r="G487" t="str">
        <x:v>汽車精密零組件</x:v>
      </x:c>
      <x:c r="H487" s="20" t="n">
        <x:v>45970</x:v>
      </x:c>
      <x:c r="I487" t="n">
        <x:v>10000</x:v>
      </x:c>
      <x:c r="J487" t="n">
        <x:v>3068.46</x:v>
      </x:c>
      <x:c r="K487" t="str">
        <x:v>TWD</x:v>
      </x:c>
      <x:c r="L487" s="20" t="n">
        <x:v>45992</x:v>
      </x:c>
      <x:c r="M487" s="20" t="n">
        <x:v>45992</x:v>
      </x:c>
      <x:c r="N487" t="str">
        <x:v>否</x:v>
      </x:c>
      <x:c r="O487" t="str">
        <x:v>一般</x:v>
      </x:c>
      <x:c r="P487" t="str">
        <x:v>部分出貨</x:v>
      </x:c>
    </x:row>
    <x:row r="488" ht="20" customHeight="1">
      <x:c r="A488" t="str">
        <x:v>SO00487-01</x:v>
      </x:c>
      <x:c r="B488" t="str">
        <x:v>SO00487</x:v>
      </x:c>
      <x:c r="C488" t="str">
        <x:v>Q00760</x:v>
      </x:c>
      <x:c r="D488" t="str">
        <x:v>AFT-008</x:v>
      </x:c>
      <x:c r="E488" t="str">
        <x:v>S04</x:v>
      </x:c>
      <x:c r="F488" t="str">
        <x:v>AUTO-BRK-A</x:v>
      </x:c>
      <x:c r="G488" t="str">
        <x:v>汽車精密零組件</x:v>
      </x:c>
      <x:c r="H488" s="20" t="n">
        <x:v>45953</x:v>
      </x:c>
      <x:c r="I488" t="n">
        <x:v>5000</x:v>
      </x:c>
      <x:c r="J488" t="n">
        <x:v>1756.68</x:v>
      </x:c>
      <x:c r="K488" t="str">
        <x:v>TWD</x:v>
      </x:c>
      <x:c r="L488" s="20" t="n">
        <x:v>45968</x:v>
      </x:c>
      <x:c r="M488" s="20" t="n">
        <x:v>45970</x:v>
      </x:c>
      <x:c r="N488" t="str">
        <x:v>否</x:v>
      </x:c>
      <x:c r="O488" t="str">
        <x:v>重要</x:v>
      </x:c>
      <x:c r="P488" t="str">
        <x:v>部分出貨</x:v>
      </x:c>
    </x:row>
    <x:row r="489" ht="20" customHeight="1">
      <x:c r="A489" t="str">
        <x:v>SO00488-01</x:v>
      </x:c>
      <x:c r="B489" t="str">
        <x:v>SO00488</x:v>
      </x:c>
      <x:c r="C489" t="str">
        <x:v>Q00763</x:v>
      </x:c>
      <x:c r="D489" t="str">
        <x:v>EMS-003</x:v>
      </x:c>
      <x:c r="E489" t="str">
        <x:v>S05</x:v>
      </x:c>
      <x:c r="F489" t="str">
        <x:v>AUTO-BS-B</x:v>
      </x:c>
      <x:c r="G489" t="str">
        <x:v>汽車精密零組件</x:v>
      </x:c>
      <x:c r="H489" s="20" t="n">
        <x:v>45940</x:v>
      </x:c>
      <x:c r="I489" t="n">
        <x:v>5000</x:v>
      </x:c>
      <x:c r="J489" t="n">
        <x:v>952.39</x:v>
      </x:c>
      <x:c r="K489" t="str">
        <x:v>TWD</x:v>
      </x:c>
      <x:c r="L489" s="20" t="n">
        <x:v>45952</x:v>
      </x:c>
      <x:c r="M489" s="20" t="n">
        <x:v>45956</x:v>
      </x:c>
      <x:c r="N489" t="str">
        <x:v>是</x:v>
      </x:c>
      <x:c r="O489" t="str">
        <x:v>一般</x:v>
      </x:c>
      <x:c r="P489" t="str">
        <x:v>部分出貨</x:v>
      </x:c>
    </x:row>
    <x:row r="490" ht="20" customHeight="1">
      <x:c r="A490" t="str">
        <x:v>SO00489-01</x:v>
      </x:c>
      <x:c r="B490" t="str">
        <x:v>SO00489</x:v>
      </x:c>
      <x:c r="C490" t="str">
        <x:v>Q00764</x:v>
      </x:c>
      <x:c r="D490" t="str">
        <x:v>IAT-001</x:v>
      </x:c>
      <x:c r="E490" t="str">
        <x:v>S05</x:v>
      </x:c>
      <x:c r="F490" t="str">
        <x:v>PM-VAC-A</x:v>
      </x:c>
      <x:c r="G490" t="str">
        <x:v>精密金屬加工件</x:v>
      </x:c>
      <x:c r="H490" s="20" t="n">
        <x:v>45969</x:v>
      </x:c>
      <x:c r="I490" t="n">
        <x:v>1200</x:v>
      </x:c>
      <x:c r="J490" t="n">
        <x:v>15575.89</x:v>
      </x:c>
      <x:c r="K490" t="str">
        <x:v>TWD</x:v>
      </x:c>
      <x:c r="L490" s="20" t="n">
        <x:v>45997</x:v>
      </x:c>
      <x:c r="M490" s="20" t="n">
        <x:v>46001</x:v>
      </x:c>
      <x:c r="N490" t="str">
        <x:v>否</x:v>
      </x:c>
      <x:c r="O490" t="str">
        <x:v>一般</x:v>
      </x:c>
      <x:c r="P490" t="str">
        <x:v>部分出貨</x:v>
      </x:c>
    </x:row>
    <x:row r="491" ht="20" customHeight="1">
      <x:c r="A491" t="str">
        <x:v>SO00490-01</x:v>
      </x:c>
      <x:c r="B491" t="str">
        <x:v>SO00490</x:v>
      </x:c>
      <x:c r="C491" t="str">
        <x:v>Q00765</x:v>
      </x:c>
      <x:c r="D491" t="str">
        <x:v>AFT-004</x:v>
      </x:c>
      <x:c r="E491" t="str">
        <x:v>S02</x:v>
      </x:c>
      <x:c r="F491" t="str">
        <x:v>AUTO-MH-A</x:v>
      </x:c>
      <x:c r="G491" t="str">
        <x:v>汽車精密零組件</x:v>
      </x:c>
      <x:c r="H491" s="20" t="n">
        <x:v>45956</x:v>
      </x:c>
      <x:c r="I491" t="n">
        <x:v>7000</x:v>
      </x:c>
      <x:c r="J491" t="n">
        <x:v>2514.51</x:v>
      </x:c>
      <x:c r="K491" t="str">
        <x:v>TWD</x:v>
      </x:c>
      <x:c r="L491" s="20" t="n">
        <x:v>45975</x:v>
      </x:c>
      <x:c r="M491" s="20" t="n">
        <x:v>45976</x:v>
      </x:c>
      <x:c r="N491" t="str">
        <x:v>否</x:v>
      </x:c>
      <x:c r="O491" t="str">
        <x:v>重要</x:v>
      </x:c>
      <x:c r="P491" t="str">
        <x:v>部分出貨</x:v>
      </x:c>
    </x:row>
    <x:row r="492" ht="20" customHeight="1">
      <x:c r="A492" t="str">
        <x:v>SO00491-01</x:v>
      </x:c>
      <x:c r="B492" t="str">
        <x:v>SO00491</x:v>
      </x:c>
      <x:c r="C492" t="str">
        <x:v>Q00766</x:v>
      </x:c>
      <x:c r="D492" t="str">
        <x:v>AUT-008</x:v>
      </x:c>
      <x:c r="E492" t="str">
        <x:v>S01</x:v>
      </x:c>
      <x:c r="F492" t="str">
        <x:v>PM-BRG-B</x:v>
      </x:c>
      <x:c r="G492" t="str">
        <x:v>精密金屬加工件</x:v>
      </x:c>
      <x:c r="H492" s="20" t="n">
        <x:v>45959</x:v>
      </x:c>
      <x:c r="I492" t="n">
        <x:v>300</x:v>
      </x:c>
      <x:c r="J492" t="n">
        <x:v>7629.68</x:v>
      </x:c>
      <x:c r="K492" t="str">
        <x:v>TWD</x:v>
      </x:c>
      <x:c r="L492" s="20" t="n">
        <x:v>45981</x:v>
      </x:c>
      <x:c r="M492" s="20" t="n">
        <x:v>45981</x:v>
      </x:c>
      <x:c r="N492" t="str">
        <x:v>否</x:v>
      </x:c>
      <x:c r="O492" t="str">
        <x:v>重要</x:v>
      </x:c>
      <x:c r="P492" t="str">
        <x:v>部分出貨</x:v>
      </x:c>
    </x:row>
    <x:row r="493" ht="20" customHeight="1">
      <x:c r="A493" t="str">
        <x:v>SO00492-01</x:v>
      </x:c>
      <x:c r="B493" t="str">
        <x:v>SO00492</x:v>
      </x:c>
      <x:c r="C493" t="str">
        <x:v>Q00767</x:v>
      </x:c>
      <x:c r="D493" t="str">
        <x:v>EMS-002</x:v>
      </x:c>
      <x:c r="E493" t="str">
        <x:v>S05</x:v>
      </x:c>
      <x:c r="F493" t="str">
        <x:v>MECH-CON-A</x:v>
      </x:c>
      <x:c r="G493" t="str">
        <x:v>機電／自動化模組</x:v>
      </x:c>
      <x:c r="H493" s="20" t="n">
        <x:v>45957</x:v>
      </x:c>
      <x:c r="I493" t="n">
        <x:v>10</x:v>
      </x:c>
      <x:c r="J493" t="n">
        <x:v>102248.46</x:v>
      </x:c>
      <x:c r="K493" t="str">
        <x:v>TWD</x:v>
      </x:c>
      <x:c r="L493" s="20" t="n">
        <x:v>45984</x:v>
      </x:c>
      <x:c r="M493" s="20" t="n">
        <x:v>45993</x:v>
      </x:c>
      <x:c r="N493" t="str">
        <x:v>是</x:v>
      </x:c>
      <x:c r="O493" t="str">
        <x:v>重要</x:v>
      </x:c>
      <x:c r="P493" t="str">
        <x:v>已出貨</x:v>
      </x:c>
    </x:row>
    <x:row r="494" ht="20" customHeight="1">
      <x:c r="A494" t="str">
        <x:v>SO00493-01</x:v>
      </x:c>
      <x:c r="B494" t="str">
        <x:v>SO00493</x:v>
      </x:c>
      <x:c r="C494" t="str">
        <x:v>Q00769</x:v>
      </x:c>
      <x:c r="D494" t="str">
        <x:v>EMS-001</x:v>
      </x:c>
      <x:c r="E494" t="str">
        <x:v>S02</x:v>
      </x:c>
      <x:c r="F494" t="str">
        <x:v>AUTO-BS-B</x:v>
      </x:c>
      <x:c r="G494" t="str">
        <x:v>汽車精密零組件</x:v>
      </x:c>
      <x:c r="H494" s="20" t="n">
        <x:v>45967</x:v>
      </x:c>
      <x:c r="I494" t="n">
        <x:v>7000</x:v>
      </x:c>
      <x:c r="J494" t="n">
        <x:v>893.02</x:v>
      </x:c>
      <x:c r="K494" t="str">
        <x:v>TWD</x:v>
      </x:c>
      <x:c r="L494" s="20" t="n">
        <x:v>45979</x:v>
      </x:c>
      <x:c r="M494" s="20" t="n">
        <x:v>45983</x:v>
      </x:c>
      <x:c r="N494" t="str">
        <x:v>是</x:v>
      </x:c>
      <x:c r="O494" t="str">
        <x:v>一般</x:v>
      </x:c>
      <x:c r="P494" t="str">
        <x:v>部分出貨</x:v>
      </x:c>
    </x:row>
    <x:row r="495" ht="20" customHeight="1">
      <x:c r="A495" t="str">
        <x:v>SO00494-01</x:v>
      </x:c>
      <x:c r="B495" t="str">
        <x:v>SO00494</x:v>
      </x:c>
      <x:c r="C495" t="str">
        <x:v>Q00771</x:v>
      </x:c>
      <x:c r="D495" t="str">
        <x:v>AFT-001</x:v>
      </x:c>
      <x:c r="E495" t="str">
        <x:v>S05</x:v>
      </x:c>
      <x:c r="F495" t="str">
        <x:v>PM-VAC-B</x:v>
      </x:c>
      <x:c r="G495" t="str">
        <x:v>精密金屬加工件</x:v>
      </x:c>
      <x:c r="H495" s="20" t="n">
        <x:v>45958</x:v>
      </x:c>
      <x:c r="I495" t="n">
        <x:v>300</x:v>
      </x:c>
      <x:c r="J495" t="n">
        <x:v>23354.67</x:v>
      </x:c>
      <x:c r="K495" t="str">
        <x:v>TWD</x:v>
      </x:c>
      <x:c r="L495" s="20" t="n">
        <x:v>45995</x:v>
      </x:c>
      <x:c r="M495" s="20" t="n">
        <x:v>45995</x:v>
      </x:c>
      <x:c r="N495" t="str">
        <x:v>否</x:v>
      </x:c>
      <x:c r="O495" t="str">
        <x:v>重要</x:v>
      </x:c>
      <x:c r="P495" t="str">
        <x:v>部分出貨</x:v>
      </x:c>
    </x:row>
    <x:row r="496" ht="20" customHeight="1">
      <x:c r="A496" t="str">
        <x:v>SO00495-01</x:v>
      </x:c>
      <x:c r="B496" t="str">
        <x:v>SO00495</x:v>
      </x:c>
      <x:c r="C496" t="str">
        <x:v>Q00772</x:v>
      </x:c>
      <x:c r="D496" t="str">
        <x:v>IAT-002</x:v>
      </x:c>
      <x:c r="E496" t="str">
        <x:v>S01</x:v>
      </x:c>
      <x:c r="F496" t="str">
        <x:v>MECH-STG-A</x:v>
      </x:c>
      <x:c r="G496" t="str">
        <x:v>機電／自動化模組</x:v>
      </x:c>
      <x:c r="H496" s="20" t="n">
        <x:v>45942</x:v>
      </x:c>
      <x:c r="I496" t="n">
        <x:v>50</x:v>
      </x:c>
      <x:c r="J496" t="n">
        <x:v>125595.47</x:v>
      </x:c>
      <x:c r="K496" t="str">
        <x:v>TWD</x:v>
      </x:c>
      <x:c r="L496" s="20" t="n">
        <x:v>45980</x:v>
      </x:c>
      <x:c r="M496" s="20" t="n">
        <x:v>45980</x:v>
      </x:c>
      <x:c r="N496" t="str">
        <x:v>否</x:v>
      </x:c>
      <x:c r="O496" t="str">
        <x:v>一般</x:v>
      </x:c>
      <x:c r="P496" t="str">
        <x:v>已出貨</x:v>
      </x:c>
    </x:row>
    <x:row r="497" ht="20" customHeight="1">
      <x:c r="A497" t="str">
        <x:v>SO00496-01</x:v>
      </x:c>
      <x:c r="B497" t="str">
        <x:v>SO00496</x:v>
      </x:c>
      <x:c r="C497" t="str">
        <x:v>Q00774</x:v>
      </x:c>
      <x:c r="D497" t="str">
        <x:v>IAT-007</x:v>
      </x:c>
      <x:c r="E497" t="str">
        <x:v>S04</x:v>
      </x:c>
      <x:c r="F497" t="str">
        <x:v>PM-ALB-B</x:v>
      </x:c>
      <x:c r="G497" t="str">
        <x:v>精密金屬加工件</x:v>
      </x:c>
      <x:c r="H497" s="20" t="n">
        <x:v>45987</x:v>
      </x:c>
      <x:c r="I497" t="n">
        <x:v>300</x:v>
      </x:c>
      <x:c r="J497" t="n">
        <x:v>15338.69</x:v>
      </x:c>
      <x:c r="K497" t="str">
        <x:v>TWD</x:v>
      </x:c>
      <x:c r="L497" s="20" t="n">
        <x:v>46012</x:v>
      </x:c>
      <x:c r="M497" s="20" t="n">
        <x:v>46014</x:v>
      </x:c>
      <x:c r="N497" t="str">
        <x:v>否</x:v>
      </x:c>
      <x:c r="O497" t="str">
        <x:v>重要</x:v>
      </x:c>
      <x:c r="P497" t="str">
        <x:v>部分出貨</x:v>
      </x:c>
    </x:row>
    <x:row r="498" ht="20" customHeight="1">
      <x:c r="A498" t="str">
        <x:v>SO00497-01</x:v>
      </x:c>
      <x:c r="B498" t="str">
        <x:v>SO00497</x:v>
      </x:c>
      <x:c r="C498" t="str">
        <x:v>Q00777</x:v>
      </x:c>
      <x:c r="D498" t="str">
        <x:v>AFT-001</x:v>
      </x:c>
      <x:c r="E498" t="str">
        <x:v>S05</x:v>
      </x:c>
      <x:c r="F498" t="str">
        <x:v>PM-VAC-A</x:v>
      </x:c>
      <x:c r="G498" t="str">
        <x:v>精密金屬加工件</x:v>
      </x:c>
      <x:c r="H498" s="20" t="n">
        <x:v>45990</x:v>
      </x:c>
      <x:c r="I498" t="n">
        <x:v>500</x:v>
      </x:c>
      <x:c r="J498" t="n">
        <x:v>16363.61</x:v>
      </x:c>
      <x:c r="K498" t="str">
        <x:v>TWD</x:v>
      </x:c>
      <x:c r="L498" s="20" t="n">
        <x:v>46019</x:v>
      </x:c>
      <x:c r="M498" s="20" t="n">
        <x:v>46019</x:v>
      </x:c>
      <x:c r="N498" t="str">
        <x:v>否</x:v>
      </x:c>
      <x:c r="O498" t="str">
        <x:v>重要</x:v>
      </x:c>
      <x:c r="P498" t="str">
        <x:v>部分出貨</x:v>
      </x:c>
    </x:row>
    <x:row r="499" ht="20" customHeight="1">
      <x:c r="A499" t="str">
        <x:v>SO00498-01</x:v>
      </x:c>
      <x:c r="B499" t="str">
        <x:v>SO00498</x:v>
      </x:c>
      <x:c r="C499" t="str">
        <x:v>Q00778</x:v>
      </x:c>
      <x:c r="D499" t="str">
        <x:v>IAT-010</x:v>
      </x:c>
      <x:c r="E499" t="str">
        <x:v>S04</x:v>
      </x:c>
      <x:c r="F499" t="str">
        <x:v>SEMI-CHB-A</x:v>
      </x:c>
      <x:c r="G499" t="str">
        <x:v>半導體設備零組件</x:v>
      </x:c>
      <x:c r="H499" s="20" t="n">
        <x:v>45987</x:v>
      </x:c>
      <x:c r="I499" t="n">
        <x:v>160</x:v>
      </x:c>
      <x:c r="J499" t="n">
        <x:v>96056.32</x:v>
      </x:c>
      <x:c r="K499" t="str">
        <x:v>TWD</x:v>
      </x:c>
      <x:c r="L499" s="20" t="n">
        <x:v>46037</x:v>
      </x:c>
      <x:c r="M499" s="20" t="n">
        <x:v>46037</x:v>
      </x:c>
      <x:c r="N499" t="str">
        <x:v>否</x:v>
      </x:c>
      <x:c r="O499" t="str">
        <x:v>重要</x:v>
      </x:c>
      <x:c r="P499" t="str">
        <x:v>部分出貨</x:v>
      </x:c>
    </x:row>
    <x:row r="500" ht="20" customHeight="1">
      <x:c r="A500" t="str">
        <x:v>SO00499-01</x:v>
      </x:c>
      <x:c r="B500" t="str">
        <x:v>SO00499</x:v>
      </x:c>
      <x:c r="C500" t="str">
        <x:v>Q00780</x:v>
      </x:c>
      <x:c r="D500" t="str">
        <x:v>EMS-004</x:v>
      </x:c>
      <x:c r="E500" t="str">
        <x:v>S03</x:v>
      </x:c>
      <x:c r="F500" t="str">
        <x:v>AUTO-LG-A</x:v>
      </x:c>
      <x:c r="G500" t="str">
        <x:v>汽車精密零組件</x:v>
      </x:c>
      <x:c r="H500" s="20" t="n">
        <x:v>45994</x:v>
      </x:c>
      <x:c r="I500" t="n">
        <x:v>3000</x:v>
      </x:c>
      <x:c r="J500" t="n">
        <x:v>1047.68</x:v>
      </x:c>
      <x:c r="K500" t="str">
        <x:v>TWD</x:v>
      </x:c>
      <x:c r="L500" s="20" t="n">
        <x:v>46007</x:v>
      </x:c>
      <x:c r="M500" s="20" t="n">
        <x:v>46011</x:v>
      </x:c>
      <x:c r="N500" t="str">
        <x:v>是</x:v>
      </x:c>
      <x:c r="O500" t="str">
        <x:v>VIP</x:v>
      </x:c>
      <x:c r="P500" t="str">
        <x:v>部分出貨</x:v>
      </x:c>
    </x:row>
    <x:row r="501" ht="20" customHeight="1">
      <x:c r="A501" t="str">
        <x:v>SO00500-01</x:v>
      </x:c>
      <x:c r="B501" t="str">
        <x:v>SO00500</x:v>
      </x:c>
      <x:c r="C501" t="str">
        <x:v>Q00781</x:v>
      </x:c>
      <x:c r="D501" t="str">
        <x:v>IAT-002</x:v>
      </x:c>
      <x:c r="E501" t="str">
        <x:v>S01</x:v>
      </x:c>
      <x:c r="F501" t="str">
        <x:v>AUTO-BRK-B</x:v>
      </x:c>
      <x:c r="G501" t="str">
        <x:v>汽車精密零組件</x:v>
      </x:c>
      <x:c r="H501" s="20" t="n">
        <x:v>45986</x:v>
      </x:c>
      <x:c r="I501" t="n">
        <x:v>5000</x:v>
      </x:c>
      <x:c r="J501" t="n">
        <x:v>2099.76</x:v>
      </x:c>
      <x:c r="K501" t="str">
        <x:v>TWD</x:v>
      </x:c>
      <x:c r="L501" s="20" t="n">
        <x:v>46007</x:v>
      </x:c>
      <x:c r="M501" s="20" t="n">
        <x:v>46007</x:v>
      </x:c>
      <x:c r="N501" t="str">
        <x:v>否</x:v>
      </x:c>
      <x:c r="O501" t="str">
        <x:v>一般</x:v>
      </x:c>
      <x:c r="P501" t="str">
        <x:v>部分出貨</x:v>
      </x:c>
    </x:row>
    <x:row r="502" ht="20" customHeight="1">
      <x:c r="A502" t="str">
        <x:v>SO00501-01</x:v>
      </x:c>
      <x:c r="B502" t="str">
        <x:v>SO00501</x:v>
      </x:c>
      <x:c r="C502" t="str">
        <x:v>Q00782</x:v>
      </x:c>
      <x:c r="D502" t="str">
        <x:v>IAT-010</x:v>
      </x:c>
      <x:c r="E502" t="str">
        <x:v>S04</x:v>
      </x:c>
      <x:c r="F502" t="str">
        <x:v>PM-ALB-A</x:v>
      </x:c>
      <x:c r="G502" t="str">
        <x:v>精密金屬加工件</x:v>
      </x:c>
      <x:c r="H502" s="20" t="n">
        <x:v>45980</x:v>
      </x:c>
      <x:c r="I502" t="n">
        <x:v>1600</x:v>
      </x:c>
      <x:c r="J502" t="n">
        <x:v>11067.96</x:v>
      </x:c>
      <x:c r="K502" t="str">
        <x:v>TWD</x:v>
      </x:c>
      <x:c r="L502" s="20" t="n">
        <x:v>46000</x:v>
      </x:c>
      <x:c r="M502" s="20" t="n">
        <x:v>46003</x:v>
      </x:c>
      <x:c r="N502" t="str">
        <x:v>是</x:v>
      </x:c>
      <x:c r="O502" t="str">
        <x:v>重要</x:v>
      </x:c>
      <x:c r="P502" t="str">
        <x:v>部分出貨</x:v>
      </x:c>
    </x:row>
    <x:row r="503" ht="20" customHeight="1">
      <x:c r="A503" t="str">
        <x:v>SO00502-01</x:v>
      </x:c>
      <x:c r="B503" t="str">
        <x:v>SO00502</x:v>
      </x:c>
      <x:c r="C503" t="str">
        <x:v>Q00783</x:v>
      </x:c>
      <x:c r="D503" t="str">
        <x:v>AUT-004</x:v>
      </x:c>
      <x:c r="E503" t="str">
        <x:v>S03</x:v>
      </x:c>
      <x:c r="F503" t="str">
        <x:v>PM-BRG-B</x:v>
      </x:c>
      <x:c r="G503" t="str">
        <x:v>精密金屬加工件</x:v>
      </x:c>
      <x:c r="H503" s="20" t="n">
        <x:v>45969</x:v>
      </x:c>
      <x:c r="I503" t="n">
        <x:v>300</x:v>
      </x:c>
      <x:c r="J503" t="n">
        <x:v>8093.43</x:v>
      </x:c>
      <x:c r="K503" t="str">
        <x:v>TWD</x:v>
      </x:c>
      <x:c r="L503" s="20" t="n">
        <x:v>45988</x:v>
      </x:c>
      <x:c r="M503" s="20" t="n">
        <x:v>45991</x:v>
      </x:c>
      <x:c r="N503" t="str">
        <x:v>否</x:v>
      </x:c>
      <x:c r="O503" t="str">
        <x:v>VIP</x:v>
      </x:c>
      <x:c r="P503" t="str">
        <x:v>部分出貨</x:v>
      </x:c>
    </x:row>
    <x:row r="504" ht="20" customHeight="1">
      <x:c r="A504" t="str">
        <x:v>SO00503-01</x:v>
      </x:c>
      <x:c r="B504" t="str">
        <x:v>SO00503</x:v>
      </x:c>
      <x:c r="C504" t="str">
        <x:v>Q00786</x:v>
      </x:c>
      <x:c r="D504" t="str">
        <x:v>AFT-004</x:v>
      </x:c>
      <x:c r="E504" t="str">
        <x:v>S02</x:v>
      </x:c>
      <x:c r="F504" t="str">
        <x:v>AUTO-BS-A</x:v>
      </x:c>
      <x:c r="G504" t="str">
        <x:v>汽車精密零組件</x:v>
      </x:c>
      <x:c r="H504" s="20" t="n">
        <x:v>45977</x:v>
      </x:c>
      <x:c r="I504" t="n">
        <x:v>5000</x:v>
      </x:c>
      <x:c r="J504" t="n">
        <x:v>809</x:v>
      </x:c>
      <x:c r="K504" t="str">
        <x:v>TWD</x:v>
      </x:c>
      <x:c r="L504" s="20" t="n">
        <x:v>45988</x:v>
      </x:c>
      <x:c r="M504" s="20" t="n">
        <x:v>45990</x:v>
      </x:c>
      <x:c r="N504" t="str">
        <x:v>是</x:v>
      </x:c>
      <x:c r="O504" t="str">
        <x:v>重要</x:v>
      </x:c>
      <x:c r="P504" t="str">
        <x:v>部分出貨</x:v>
      </x:c>
    </x:row>
    <x:row r="505" ht="20" customHeight="1">
      <x:c r="A505" t="str">
        <x:v>SO00504-01</x:v>
      </x:c>
      <x:c r="B505" t="str">
        <x:v>SO00504</x:v>
      </x:c>
      <x:c r="C505" t="str">
        <x:v>Q00787</x:v>
      </x:c>
      <x:c r="D505" t="str">
        <x:v>AFT-005</x:v>
      </x:c>
      <x:c r="E505" t="str">
        <x:v>S05</x:v>
      </x:c>
      <x:c r="F505" t="str">
        <x:v>AUTO-MH-A</x:v>
      </x:c>
      <x:c r="G505" t="str">
        <x:v>汽車精密零組件</x:v>
      </x:c>
      <x:c r="H505" s="20" t="n">
        <x:v>45989</x:v>
      </x:c>
      <x:c r="I505" t="n">
        <x:v>3000</x:v>
      </x:c>
      <x:c r="J505" t="n">
        <x:v>2360.6</x:v>
      </x:c>
      <x:c r="K505" t="str">
        <x:v>TWD</x:v>
      </x:c>
      <x:c r="L505" s="20" t="n">
        <x:v>46005</x:v>
      </x:c>
      <x:c r="M505" s="20" t="n">
        <x:v>46011</x:v>
      </x:c>
      <x:c r="N505" t="str">
        <x:v>是</x:v>
      </x:c>
      <x:c r="O505" t="str">
        <x:v>VIP</x:v>
      </x:c>
      <x:c r="P505" t="str">
        <x:v>部分出貨</x:v>
      </x:c>
    </x:row>
    <x:row r="506" ht="20" customHeight="1">
      <x:c r="A506" t="str">
        <x:v>SO00505-01</x:v>
      </x:c>
      <x:c r="B506" t="str">
        <x:v>SO00505</x:v>
      </x:c>
      <x:c r="C506" t="str">
        <x:v>Q00788</x:v>
      </x:c>
      <x:c r="D506" t="str">
        <x:v>AUT-011</x:v>
      </x:c>
      <x:c r="E506" t="str">
        <x:v>S02</x:v>
      </x:c>
      <x:c r="F506" t="str">
        <x:v>MECH-CON-A</x:v>
      </x:c>
      <x:c r="G506" t="str">
        <x:v>機電／自動化模組</x:v>
      </x:c>
      <x:c r="H506" s="20" t="n">
        <x:v>45976</x:v>
      </x:c>
      <x:c r="I506" t="n">
        <x:v>10</x:v>
      </x:c>
      <x:c r="J506" t="n">
        <x:v>109920.56</x:v>
      </x:c>
      <x:c r="K506" t="str">
        <x:v>TWD</x:v>
      </x:c>
      <x:c r="L506" s="20" t="n">
        <x:v>46004</x:v>
      </x:c>
      <x:c r="M506" s="20" t="n">
        <x:v>46009</x:v>
      </x:c>
      <x:c r="N506" t="str">
        <x:v>是</x:v>
      </x:c>
      <x:c r="O506" t="str">
        <x:v>重要</x:v>
      </x:c>
      <x:c r="P506" t="str">
        <x:v>已出貨</x:v>
      </x:c>
    </x:row>
    <x:row r="507" ht="20" customHeight="1">
      <x:c r="A507" t="str">
        <x:v>SO00506-01</x:v>
      </x:c>
      <x:c r="B507" t="str">
        <x:v>SO00506</x:v>
      </x:c>
      <x:c r="C507" t="str">
        <x:v>Q00789</x:v>
      </x:c>
      <x:c r="D507" t="str">
        <x:v>EMS-005</x:v>
      </x:c>
      <x:c r="E507" t="str">
        <x:v>S01</x:v>
      </x:c>
      <x:c r="F507" t="str">
        <x:v>MECH-STG-B</x:v>
      </x:c>
      <x:c r="G507" t="str">
        <x:v>機電／自動化模組</x:v>
      </x:c>
      <x:c r="H507" s="20" t="n">
        <x:v>45985</x:v>
      </x:c>
      <x:c r="I507" t="n">
        <x:v>50</x:v>
      </x:c>
      <x:c r="J507" t="n">
        <x:v>196207.07</x:v>
      </x:c>
      <x:c r="K507" t="str">
        <x:v>TWD</x:v>
      </x:c>
      <x:c r="L507" s="20" t="n">
        <x:v>46024</x:v>
      </x:c>
      <x:c r="M507" s="20" t="n">
        <x:v>46035</x:v>
      </x:c>
      <x:c r="N507" t="str">
        <x:v>是</x:v>
      </x:c>
      <x:c r="O507" t="str">
        <x:v>VIP</x:v>
      </x:c>
      <x:c r="P507" t="str">
        <x:v>已出貨</x:v>
      </x:c>
    </x:row>
    <x:row r="508" ht="20" customHeight="1">
      <x:c r="A508" t="str">
        <x:v>SO00507-01</x:v>
      </x:c>
      <x:c r="B508" t="str">
        <x:v>SO00507</x:v>
      </x:c>
      <x:c r="C508" t="str">
        <x:v>Q00791</x:v>
      </x:c>
      <x:c r="D508" t="str">
        <x:v>IAT-010</x:v>
      </x:c>
      <x:c r="E508" t="str">
        <x:v>S04</x:v>
      </x:c>
      <x:c r="F508" t="str">
        <x:v>SEMI-WH-A</x:v>
      </x:c>
      <x:c r="G508" t="str">
        <x:v>半導體設備零組件</x:v>
      </x:c>
      <x:c r="H508" s="20" t="n">
        <x:v>45992</x:v>
      </x:c>
      <x:c r="I508" t="n">
        <x:v>60</x:v>
      </x:c>
      <x:c r="J508" t="n">
        <x:v>116269.37</x:v>
      </x:c>
      <x:c r="K508" t="str">
        <x:v>TWD</x:v>
      </x:c>
      <x:c r="L508" s="20" t="n">
        <x:v>46041</x:v>
      </x:c>
      <x:c r="M508" s="20" t="n">
        <x:v>46041</x:v>
      </x:c>
      <x:c r="N508" t="str">
        <x:v>否</x:v>
      </x:c>
      <x:c r="O508" t="str">
        <x:v>重要</x:v>
      </x:c>
      <x:c r="P508" t="str">
        <x:v>部分出貨</x:v>
      </x:c>
    </x:row>
    <x:row r="509" ht="20" customHeight="1">
      <x:c r="A509" t="str">
        <x:v>SO00508-01</x:v>
      </x:c>
      <x:c r="B509" t="str">
        <x:v>SO00508</x:v>
      </x:c>
      <x:c r="C509" t="str">
        <x:v>Q00796</x:v>
      </x:c>
      <x:c r="D509" t="str">
        <x:v>AUT-001</x:v>
      </x:c>
      <x:c r="E509" t="str">
        <x:v>S01</x:v>
      </x:c>
      <x:c r="F509" t="str">
        <x:v>AUTO-LG-A</x:v>
      </x:c>
      <x:c r="G509" t="str">
        <x:v>汽車精密零組件</x:v>
      </x:c>
      <x:c r="H509" s="20" t="n">
        <x:v>45995</x:v>
      </x:c>
      <x:c r="I509" t="n">
        <x:v>13000</x:v>
      </x:c>
      <x:c r="J509" t="n">
        <x:v>1108.08</x:v>
      </x:c>
      <x:c r="K509" t="str">
        <x:v>TWD</x:v>
      </x:c>
      <x:c r="L509" s="20" t="n">
        <x:v>46009</x:v>
      </x:c>
      <x:c r="M509" s="20" t="n">
        <x:v>46013</x:v>
      </x:c>
      <x:c r="N509" t="str">
        <x:v>是</x:v>
      </x:c>
      <x:c r="O509" t="str">
        <x:v>VIP</x:v>
      </x:c>
      <x:c r="P509" t="str">
        <x:v>部分出貨</x:v>
      </x:c>
    </x:row>
    <x:row r="510" ht="20" customHeight="1">
      <x:c r="A510" t="str">
        <x:v>SO00509-01</x:v>
      </x:c>
      <x:c r="B510" t="str">
        <x:v>SO00509</x:v>
      </x:c>
      <x:c r="C510" t="str">
        <x:v>Q00797</x:v>
      </x:c>
      <x:c r="D510" t="str">
        <x:v>AUT-002</x:v>
      </x:c>
      <x:c r="E510" t="str">
        <x:v>S04</x:v>
      </x:c>
      <x:c r="F510" t="str">
        <x:v>MECH-CON-A</x:v>
      </x:c>
      <x:c r="G510" t="str">
        <x:v>機電／自動化模組</x:v>
      </x:c>
      <x:c r="H510" s="20" t="n">
        <x:v>45987</x:v>
      </x:c>
      <x:c r="I510" t="n">
        <x:v>20</x:v>
      </x:c>
      <x:c r="J510" t="n">
        <x:v>114360.08</x:v>
      </x:c>
      <x:c r="K510" t="str">
        <x:v>TWD</x:v>
      </x:c>
      <x:c r="L510" s="20" t="n">
        <x:v>46017</x:v>
      </x:c>
      <x:c r="M510" s="20" t="n">
        <x:v>46021</x:v>
      </x:c>
      <x:c r="N510" t="str">
        <x:v>否</x:v>
      </x:c>
      <x:c r="O510" t="str">
        <x:v>重要</x:v>
      </x:c>
      <x:c r="P510" t="str">
        <x:v>已出貨</x:v>
      </x:c>
    </x:row>
    <x:row r="511" ht="20" customHeight="1">
      <x:c r="A511" t="str">
        <x:v>SO00510-01</x:v>
      </x:c>
      <x:c r="B511" t="str">
        <x:v>SO00510</x:v>
      </x:c>
      <x:c r="C511" t="str">
        <x:v>Q00798</x:v>
      </x:c>
      <x:c r="D511" t="str">
        <x:v>EMS-004</x:v>
      </x:c>
      <x:c r="E511" t="str">
        <x:v>S03</x:v>
      </x:c>
      <x:c r="F511" t="str">
        <x:v>MECH-STG-B</x:v>
      </x:c>
      <x:c r="G511" t="str">
        <x:v>機電／自動化模組</x:v>
      </x:c>
      <x:c r="H511" s="20" t="n">
        <x:v>45971</x:v>
      </x:c>
      <x:c r="I511" t="n">
        <x:v>10</x:v>
      </x:c>
      <x:c r="J511" t="n">
        <x:v>182162.95</x:v>
      </x:c>
      <x:c r="K511" t="str">
        <x:v>TWD</x:v>
      </x:c>
      <x:c r="L511" s="20" t="n">
        <x:v>46026</x:v>
      </x:c>
      <x:c r="M511" s="20" t="n">
        <x:v>46026</x:v>
      </x:c>
      <x:c r="N511" t="str">
        <x:v>否</x:v>
      </x:c>
      <x:c r="O511" t="str">
        <x:v>VIP</x:v>
      </x:c>
      <x:c r="P511" t="str">
        <x:v>已出貨</x:v>
      </x:c>
    </x:row>
    <x:row r="512" ht="20" customHeight="1">
      <x:c r="A512" t="str">
        <x:v>SO00511-01</x:v>
      </x:c>
      <x:c r="B512" t="str">
        <x:v>SO00511</x:v>
      </x:c>
      <x:c r="C512" t="str">
        <x:v>Q00799</x:v>
      </x:c>
      <x:c r="D512" t="str">
        <x:v>IAT-006</x:v>
      </x:c>
      <x:c r="E512" t="str">
        <x:v>S01</x:v>
      </x:c>
      <x:c r="F512" t="str">
        <x:v>SEMI-CHB-A</x:v>
      </x:c>
      <x:c r="G512" t="str">
        <x:v>半導體設備零組件</x:v>
      </x:c>
      <x:c r="H512" s="20" t="n">
        <x:v>45978</x:v>
      </x:c>
      <x:c r="I512" t="n">
        <x:v>40</x:v>
      </x:c>
      <x:c r="J512" t="n">
        <x:v>93996.86</x:v>
      </x:c>
      <x:c r="K512" t="str">
        <x:v>TWD</x:v>
      </x:c>
      <x:c r="L512" s="20" t="n">
        <x:v>46028</x:v>
      </x:c>
      <x:c r="M512" s="20" t="n">
        <x:v>46028</x:v>
      </x:c>
      <x:c r="N512" t="str">
        <x:v>否</x:v>
      </x:c>
      <x:c r="O512" t="str">
        <x:v>重要</x:v>
      </x:c>
      <x:c r="P512" t="str">
        <x:v>部分出貨</x:v>
      </x:c>
    </x:row>
    <x:row r="513" ht="20" customHeight="1">
      <x:c r="A513" t="str">
        <x:v>SO00512-01</x:v>
      </x:c>
      <x:c r="B513" t="str">
        <x:v>SO00512</x:v>
      </x:c>
      <x:c r="C513" t="str">
        <x:v>Q00800</x:v>
      </x:c>
      <x:c r="D513" t="str">
        <x:v>EMS-004</x:v>
      </x:c>
      <x:c r="E513" t="str">
        <x:v>S03</x:v>
      </x:c>
      <x:c r="F513" t="str">
        <x:v>MECH-STG-A</x:v>
      </x:c>
      <x:c r="G513" t="str">
        <x:v>機電／自動化模組</x:v>
      </x:c>
      <x:c r="H513" s="20" t="n">
        <x:v>46015</x:v>
      </x:c>
      <x:c r="I513" t="n">
        <x:v>10</x:v>
      </x:c>
      <x:c r="J513" t="n">
        <x:v>140406.92</x:v>
      </x:c>
      <x:c r="K513" t="str">
        <x:v>TWD</x:v>
      </x:c>
      <x:c r="L513" s="20" t="n">
        <x:v>46051</x:v>
      </x:c>
      <x:c r="M513" s="20" t="n">
        <x:v>46053</x:v>
      </x:c>
      <x:c r="N513" t="str">
        <x:v>是</x:v>
      </x:c>
      <x:c r="O513" t="str">
        <x:v>VIP</x:v>
      </x:c>
      <x:c r="P513" t="str">
        <x:v>已出貨</x:v>
      </x:c>
    </x:row>
    <x:row r="514" ht="20" customHeight="1">
      <x:c r="A514" t="str">
        <x:v>SO00513-01</x:v>
      </x:c>
      <x:c r="B514" t="str">
        <x:v>SO00513</x:v>
      </x:c>
      <x:c r="C514" t="str">
        <x:v>Q00801</x:v>
      </x:c>
      <x:c r="D514" t="str">
        <x:v>EMS-005</x:v>
      </x:c>
      <x:c r="E514" t="str">
        <x:v>S01</x:v>
      </x:c>
      <x:c r="F514" t="str">
        <x:v>AUTO-FL-B</x:v>
      </x:c>
      <x:c r="G514" t="str">
        <x:v>汽車精密零組件</x:v>
      </x:c>
      <x:c r="H514" s="20" t="n">
        <x:v>46021</x:v>
      </x:c>
      <x:c r="I514" t="n">
        <x:v>10000</x:v>
      </x:c>
      <x:c r="J514" t="n">
        <x:v>1599.84</x:v>
      </x:c>
      <x:c r="K514" t="str">
        <x:v>TWD</x:v>
      </x:c>
      <x:c r="L514" s="20" t="n">
        <x:v>46035</x:v>
      </x:c>
      <x:c r="M514" s="20" t="n">
        <x:v>46039</x:v>
      </x:c>
      <x:c r="N514" t="str">
        <x:v>是</x:v>
      </x:c>
      <x:c r="O514" t="str">
        <x:v>VIP</x:v>
      </x:c>
      <x:c r="P514" t="str">
        <x:v>部分出貨</x:v>
      </x:c>
    </x:row>
    <x:row r="515" ht="20" customHeight="1">
      <x:c r="A515" t="str">
        <x:v>SO00514-01</x:v>
      </x:c>
      <x:c r="B515" t="str">
        <x:v>SO00514</x:v>
      </x:c>
      <x:c r="C515" t="str">
        <x:v>Q00802</x:v>
      </x:c>
      <x:c r="D515" t="str">
        <x:v>EMS-006</x:v>
      </x:c>
      <x:c r="E515" t="str">
        <x:v>S03</x:v>
      </x:c>
      <x:c r="F515" t="str">
        <x:v>MECH-CON-A</x:v>
      </x:c>
      <x:c r="G515" t="str">
        <x:v>機電／自動化模組</x:v>
      </x:c>
      <x:c r="H515" s="20" t="n">
        <x:v>46011</x:v>
      </x:c>
      <x:c r="I515" t="n">
        <x:v>50</x:v>
      </x:c>
      <x:c r="J515" t="n">
        <x:v>109964.67</x:v>
      </x:c>
      <x:c r="K515" t="str">
        <x:v>TWD</x:v>
      </x:c>
      <x:c r="L515" s="20" t="n">
        <x:v>46036</x:v>
      </x:c>
      <x:c r="M515" s="20" t="n">
        <x:v>46044</x:v>
      </x:c>
      <x:c r="N515" t="str">
        <x:v>是</x:v>
      </x:c>
      <x:c r="O515" t="str">
        <x:v>重要</x:v>
      </x:c>
      <x:c r="P515" t="str">
        <x:v>已出貨</x:v>
      </x:c>
    </x:row>
    <x:row r="516" ht="20" customHeight="1">
      <x:c r="A516" t="str">
        <x:v>SO00515-01</x:v>
      </x:c>
      <x:c r="B516" t="str">
        <x:v>SO00515</x:v>
      </x:c>
      <x:c r="C516" t="str">
        <x:v>Q00803</x:v>
      </x:c>
      <x:c r="D516" t="str">
        <x:v>EMS-001</x:v>
      </x:c>
      <x:c r="E516" t="str">
        <x:v>S02</x:v>
      </x:c>
      <x:c r="F516" t="str">
        <x:v>AUTO-MH-A</x:v>
      </x:c>
      <x:c r="G516" t="str">
        <x:v>汽車精密零組件</x:v>
      </x:c>
      <x:c r="H516" s="20" t="n">
        <x:v>46023</x:v>
      </x:c>
      <x:c r="I516" t="n">
        <x:v>7000</x:v>
      </x:c>
      <x:c r="J516" t="n">
        <x:v>2632.01</x:v>
      </x:c>
      <x:c r="K516" t="str">
        <x:v>TWD</x:v>
      </x:c>
      <x:c r="L516" s="20" t="n">
        <x:v>46044</x:v>
      </x:c>
      <x:c r="M516" s="20" t="n">
        <x:v>46044</x:v>
      </x:c>
      <x:c r="N516" t="str">
        <x:v>否</x:v>
      </x:c>
      <x:c r="O516" t="str">
        <x:v>一般</x:v>
      </x:c>
      <x:c r="P516" t="str">
        <x:v>部分出貨</x:v>
      </x:c>
    </x:row>
    <x:row r="517" ht="20" customHeight="1">
      <x:c r="A517" t="str">
        <x:v>SO00516-01</x:v>
      </x:c>
      <x:c r="B517" t="str">
        <x:v>SO00516</x:v>
      </x:c>
      <x:c r="C517" t="str">
        <x:v>Q00804</x:v>
      </x:c>
      <x:c r="D517" t="str">
        <x:v>SEM-008</x:v>
      </x:c>
      <x:c r="E517" t="str">
        <x:v>S04</x:v>
      </x:c>
      <x:c r="F517" t="str">
        <x:v>MECH-STG-A</x:v>
      </x:c>
      <x:c r="G517" t="str">
        <x:v>機電／自動化模組</x:v>
      </x:c>
      <x:c r="H517" s="20" t="n">
        <x:v>46026</x:v>
      </x:c>
      <x:c r="I517" t="n">
        <x:v>30</x:v>
      </x:c>
      <x:c r="J517" t="n">
        <x:v>139402.47</x:v>
      </x:c>
      <x:c r="K517" t="str">
        <x:v>TWD</x:v>
      </x:c>
      <x:c r="L517" s="20" t="n">
        <x:v>46058</x:v>
      </x:c>
      <x:c r="M517" s="20" t="n">
        <x:v>46068</x:v>
      </x:c>
      <x:c r="N517" t="str">
        <x:v>是</x:v>
      </x:c>
      <x:c r="O517" t="str">
        <x:v>VIP</x:v>
      </x:c>
      <x:c r="P517" t="str">
        <x:v>已出貨</x:v>
      </x:c>
    </x:row>
    <x:row r="518" ht="20" customHeight="1">
      <x:c r="A518" t="str">
        <x:v>SO00517-01</x:v>
      </x:c>
      <x:c r="B518" t="str">
        <x:v>SO00517</x:v>
      </x:c>
      <x:c r="C518" t="str">
        <x:v>Q00808</x:v>
      </x:c>
      <x:c r="D518" t="str">
        <x:v>AUT-012</x:v>
      </x:c>
      <x:c r="E518" t="str">
        <x:v>S06</x:v>
      </x:c>
      <x:c r="F518" t="str">
        <x:v>AUTO-KN-A</x:v>
      </x:c>
      <x:c r="G518" t="str">
        <x:v>汽車精密零組件</x:v>
      </x:c>
      <x:c r="H518" s="20" t="n">
        <x:v>46018</x:v>
      </x:c>
      <x:c r="I518" t="n">
        <x:v>13000</x:v>
      </x:c>
      <x:c r="J518" t="n">
        <x:v>3381.12</x:v>
      </x:c>
      <x:c r="K518" t="str">
        <x:v>TWD</x:v>
      </x:c>
      <x:c r="L518" s="20" t="n">
        <x:v>46036</x:v>
      </x:c>
      <x:c r="M518" s="20" t="n">
        <x:v>46043</x:v>
      </x:c>
      <x:c r="N518" t="str">
        <x:v>是</x:v>
      </x:c>
      <x:c r="O518" t="str">
        <x:v>VIP</x:v>
      </x:c>
      <x:c r="P518" t="str">
        <x:v>部分出貨</x:v>
      </x:c>
    </x:row>
    <x:row r="519" ht="20" customHeight="1">
      <x:c r="A519" t="str">
        <x:v>SO00518-01</x:v>
      </x:c>
      <x:c r="B519" t="str">
        <x:v>SO00518</x:v>
      </x:c>
      <x:c r="C519" t="str">
        <x:v>Q00811</x:v>
      </x:c>
      <x:c r="D519" t="str">
        <x:v>IAT-001</x:v>
      </x:c>
      <x:c r="E519" t="str">
        <x:v>S05</x:v>
      </x:c>
      <x:c r="F519" t="str">
        <x:v>AUTO-LG-B</x:v>
      </x:c>
      <x:c r="G519" t="str">
        <x:v>汽車精密零組件</x:v>
      </x:c>
      <x:c r="H519" s="20" t="n">
        <x:v>46008</x:v>
      </x:c>
      <x:c r="I519" t="n">
        <x:v>7000</x:v>
      </x:c>
      <x:c r="J519" t="n">
        <x:v>1113.52</x:v>
      </x:c>
      <x:c r="K519" t="str">
        <x:v>TWD</x:v>
      </x:c>
      <x:c r="L519" s="20" t="n">
        <x:v>46027</x:v>
      </x:c>
      <x:c r="M519" s="20" t="n">
        <x:v>46027</x:v>
      </x:c>
      <x:c r="N519" t="str">
        <x:v>否</x:v>
      </x:c>
      <x:c r="O519" t="str">
        <x:v>一般</x:v>
      </x:c>
      <x:c r="P519" t="str">
        <x:v>部分出貨</x:v>
      </x:c>
    </x:row>
    <x:row r="520" ht="20" customHeight="1">
      <x:c r="A520" t="str">
        <x:v>SO00519-01</x:v>
      </x:c>
      <x:c r="B520" t="str">
        <x:v>SO00519</x:v>
      </x:c>
      <x:c r="C520" t="str">
        <x:v>Q00812</x:v>
      </x:c>
      <x:c r="D520" t="str">
        <x:v>EMS-003</x:v>
      </x:c>
      <x:c r="E520" t="str">
        <x:v>S05</x:v>
      </x:c>
      <x:c r="F520" t="str">
        <x:v>AUTO-FL-B</x:v>
      </x:c>
      <x:c r="G520" t="str">
        <x:v>汽車精密零組件</x:v>
      </x:c>
      <x:c r="H520" s="20" t="n">
        <x:v>46017</x:v>
      </x:c>
      <x:c r="I520" t="n">
        <x:v>5000</x:v>
      </x:c>
      <x:c r="J520" t="n">
        <x:v>1513.69</x:v>
      </x:c>
      <x:c r="K520" t="str">
        <x:v>TWD</x:v>
      </x:c>
      <x:c r="L520" s="20" t="n">
        <x:v>46034</x:v>
      </x:c>
      <x:c r="M520" s="20" t="n">
        <x:v>46036</x:v>
      </x:c>
      <x:c r="N520" t="str">
        <x:v>否</x:v>
      </x:c>
      <x:c r="O520" t="str">
        <x:v>一般</x:v>
      </x:c>
      <x:c r="P520" t="str">
        <x:v>部分出貨</x:v>
      </x:c>
    </x:row>
    <x:row r="521" ht="20" customHeight="1">
      <x:c r="A521" t="str">
        <x:v>SO00520-01</x:v>
      </x:c>
      <x:c r="B521" t="str">
        <x:v>SO00520</x:v>
      </x:c>
      <x:c r="C521" t="str">
        <x:v>Q00813</x:v>
      </x:c>
      <x:c r="D521" t="str">
        <x:v>IAT-003</x:v>
      </x:c>
      <x:c r="E521" t="str">
        <x:v>S04</x:v>
      </x:c>
      <x:c r="F521" t="str">
        <x:v>AUTO-BS-A</x:v>
      </x:c>
      <x:c r="G521" t="str">
        <x:v>汽車精密零組件</x:v>
      </x:c>
      <x:c r="H521" s="20" t="n">
        <x:v>46024</x:v>
      </x:c>
      <x:c r="I521" t="n">
        <x:v>3000</x:v>
      </x:c>
      <x:c r="J521" t="n">
        <x:v>759.06</x:v>
      </x:c>
      <x:c r="K521" t="str">
        <x:v>TWD</x:v>
      </x:c>
      <x:c r="L521" s="20" t="n">
        <x:v>46036</x:v>
      </x:c>
      <x:c r="M521" s="20" t="n">
        <x:v>46038</x:v>
      </x:c>
      <x:c r="N521" t="str">
        <x:v>否</x:v>
      </x:c>
      <x:c r="O521" t="str">
        <x:v>重要</x:v>
      </x:c>
      <x:c r="P521" t="str">
        <x:v>部分出貨</x:v>
      </x:c>
    </x:row>
    <x:row r="522" ht="20" customHeight="1">
      <x:c r="A522" t="str">
        <x:v>SO00521-01</x:v>
      </x:c>
      <x:c r="B522" t="str">
        <x:v>SO00521</x:v>
      </x:c>
      <x:c r="C522" t="str">
        <x:v>Q00814</x:v>
      </x:c>
      <x:c r="D522" t="str">
        <x:v>EMS-004</x:v>
      </x:c>
      <x:c r="E522" t="str">
        <x:v>S03</x:v>
      </x:c>
      <x:c r="F522" t="str">
        <x:v>PM-BRG-A</x:v>
      </x:c>
      <x:c r="G522" t="str">
        <x:v>精密金屬加工件</x:v>
      </x:c>
      <x:c r="H522" s="20" t="n">
        <x:v>46020</x:v>
      </x:c>
      <x:c r="I522" t="n">
        <x:v>800</x:v>
      </x:c>
      <x:c r="J522" t="n">
        <x:v>7050.29</x:v>
      </x:c>
      <x:c r="K522" t="str">
        <x:v>TWD</x:v>
      </x:c>
      <x:c r="L522" s="20" t="n">
        <x:v>46034</x:v>
      </x:c>
      <x:c r="M522" s="20" t="n">
        <x:v>46041</x:v>
      </x:c>
      <x:c r="N522" t="str">
        <x:v>是</x:v>
      </x:c>
      <x:c r="O522" t="str">
        <x:v>VIP</x:v>
      </x:c>
      <x:c r="P522" t="str">
        <x:v>部分出貨</x:v>
      </x:c>
    </x:row>
    <x:row r="523" ht="20" customHeight="1">
      <x:c r="A523" t="str">
        <x:v>SO00522-01</x:v>
      </x:c>
      <x:c r="B523" t="str">
        <x:v>SO00522</x:v>
      </x:c>
      <x:c r="C523" t="str">
        <x:v>Q00815</x:v>
      </x:c>
      <x:c r="D523" t="str">
        <x:v>SEM-004</x:v>
      </x:c>
      <x:c r="E523" t="str">
        <x:v>S02</x:v>
      </x:c>
      <x:c r="F523" t="str">
        <x:v>SEMI-CHB-B</x:v>
      </x:c>
      <x:c r="G523" t="str">
        <x:v>半導體設備零組件</x:v>
      </x:c>
      <x:c r="H523" s="20" t="n">
        <x:v>46017</x:v>
      </x:c>
      <x:c r="I523" t="n">
        <x:v>160</x:v>
      </x:c>
      <x:c r="J523" t="n">
        <x:v>140168.5</x:v>
      </x:c>
      <x:c r="K523" t="str">
        <x:v>TWD</x:v>
      </x:c>
      <x:c r="L523" s="20" t="n">
        <x:v>46067</x:v>
      </x:c>
      <x:c r="M523" s="20" t="n">
        <x:v>46071</x:v>
      </x:c>
      <x:c r="N523" t="str">
        <x:v>否</x:v>
      </x:c>
      <x:c r="O523" t="str">
        <x:v>一般</x:v>
      </x:c>
      <x:c r="P523" t="str">
        <x:v>部分出貨</x:v>
      </x:c>
    </x:row>
    <x:row r="524" ht="20" customHeight="1">
      <x:c r="A524" t="str">
        <x:v>SO00523-01</x:v>
      </x:c>
      <x:c r="B524" t="str">
        <x:v>SO00523</x:v>
      </x:c>
      <x:c r="C524" t="str">
        <x:v>Q00819</x:v>
      </x:c>
      <x:c r="D524" t="str">
        <x:v>EMS-007</x:v>
      </x:c>
      <x:c r="E524" t="str">
        <x:v>S04</x:v>
      </x:c>
      <x:c r="F524" t="str">
        <x:v>MECH-CON-A</x:v>
      </x:c>
      <x:c r="G524" t="str">
        <x:v>機電／自動化模組</x:v>
      </x:c>
      <x:c r="H524" s="20" t="n">
        <x:v>46026</x:v>
      </x:c>
      <x:c r="I524" t="n">
        <x:v>20</x:v>
      </x:c>
      <x:c r="J524" t="n">
        <x:v>110027.33</x:v>
      </x:c>
      <x:c r="K524" t="str">
        <x:v>TWD</x:v>
      </x:c>
      <x:c r="L524" s="20" t="n">
        <x:v>46056</x:v>
      </x:c>
      <x:c r="M524" s="20" t="n">
        <x:v>46062</x:v>
      </x:c>
      <x:c r="N524" t="str">
        <x:v>否</x:v>
      </x:c>
      <x:c r="O524" t="str">
        <x:v>一般</x:v>
      </x:c>
      <x:c r="P524" t="str">
        <x:v>已出貨</x:v>
      </x:c>
    </x:row>
    <x:row r="525" ht="20" customHeight="1">
      <x:c r="A525" t="str">
        <x:v>SO00524-01</x:v>
      </x:c>
      <x:c r="B525" t="str">
        <x:v>SO00524</x:v>
      </x:c>
      <x:c r="C525" t="str">
        <x:v>Q00820</x:v>
      </x:c>
      <x:c r="D525" t="str">
        <x:v>AUT-009</x:v>
      </x:c>
      <x:c r="E525" t="str">
        <x:v>S04</x:v>
      </x:c>
      <x:c r="F525" t="str">
        <x:v>MECH-CON-B</x:v>
      </x:c>
      <x:c r="G525" t="str">
        <x:v>機電／自動化模組</x:v>
      </x:c>
      <x:c r="H525" s="20" t="n">
        <x:v>46018</x:v>
      </x:c>
      <x:c r="I525" t="n">
        <x:v>20</x:v>
      </x:c>
      <x:c r="J525" t="n">
        <x:v>155060.36</x:v>
      </x:c>
      <x:c r="K525" t="str">
        <x:v>TWD</x:v>
      </x:c>
      <x:c r="L525" s="20" t="n">
        <x:v>46067</x:v>
      </x:c>
      <x:c r="M525" s="20" t="n">
        <x:v>46067</x:v>
      </x:c>
      <x:c r="N525" t="str">
        <x:v>否</x:v>
      </x:c>
      <x:c r="O525" t="str">
        <x:v>重要</x:v>
      </x:c>
      <x:c r="P525" t="str">
        <x:v>已出貨</x:v>
      </x:c>
    </x:row>
    <x:row r="526" ht="20" customHeight="1">
      <x:c r="A526" t="str">
        <x:v>SO00525-01</x:v>
      </x:c>
      <x:c r="B526" t="str">
        <x:v>SO00525</x:v>
      </x:c>
      <x:c r="C526" t="str">
        <x:v>Q00822</x:v>
      </x:c>
      <x:c r="D526" t="str">
        <x:v>AUT-004</x:v>
      </x:c>
      <x:c r="E526" t="str">
        <x:v>S03</x:v>
      </x:c>
      <x:c r="F526" t="str">
        <x:v>AUTO-FL-B</x:v>
      </x:c>
      <x:c r="G526" t="str">
        <x:v>汽車精密零組件</x:v>
      </x:c>
      <x:c r="H526" s="20" t="n">
        <x:v>46022</x:v>
      </x:c>
      <x:c r="I526" t="n">
        <x:v>10000</x:v>
      </x:c>
      <x:c r="J526" t="n">
        <x:v>1535.36</x:v>
      </x:c>
      <x:c r="K526" t="str">
        <x:v>TWD</x:v>
      </x:c>
      <x:c r="L526" s="20" t="n">
        <x:v>46035</x:v>
      </x:c>
      <x:c r="M526" s="20" t="n">
        <x:v>46039</x:v>
      </x:c>
      <x:c r="N526" t="str">
        <x:v>是</x:v>
      </x:c>
      <x:c r="O526" t="str">
        <x:v>VIP</x:v>
      </x:c>
      <x:c r="P526" t="str">
        <x:v>部分出貨</x:v>
      </x:c>
    </x:row>
    <x:row r="527" ht="20" customHeight="1">
      <x:c r="A527" t="str">
        <x:v>SO00526-01</x:v>
      </x:c>
      <x:c r="B527" t="str">
        <x:v>SO00526</x:v>
      </x:c>
      <x:c r="C527" t="str">
        <x:v>Q00823</x:v>
      </x:c>
      <x:c r="D527" t="str">
        <x:v>AFT-005</x:v>
      </x:c>
      <x:c r="E527" t="str">
        <x:v>S05</x:v>
      </x:c>
      <x:c r="F527" t="str">
        <x:v>AUTO-KN-B</x:v>
      </x:c>
      <x:c r="G527" t="str">
        <x:v>汽車精密零組件</x:v>
      </x:c>
      <x:c r="H527" s="20" t="n">
        <x:v>46016</x:v>
      </x:c>
      <x:c r="I527" t="n">
        <x:v>5000</x:v>
      </x:c>
      <x:c r="J527" t="n">
        <x:v>3447.5</x:v>
      </x:c>
      <x:c r="K527" t="str">
        <x:v>TWD</x:v>
      </x:c>
      <x:c r="L527" s="20" t="n">
        <x:v>46040</x:v>
      </x:c>
      <x:c r="M527" s="20" t="n">
        <x:v>46042</x:v>
      </x:c>
      <x:c r="N527" t="str">
        <x:v>否</x:v>
      </x:c>
      <x:c r="O527" t="str">
        <x:v>VIP</x:v>
      </x:c>
      <x:c r="P527" t="str">
        <x:v>部分出貨</x:v>
      </x:c>
    </x:row>
    <x:row r="528" ht="20" customHeight="1">
      <x:c r="A528" t="str">
        <x:v>SO00527-01</x:v>
      </x:c>
      <x:c r="B528" t="str">
        <x:v>SO00527</x:v>
      </x:c>
      <x:c r="C528" t="str">
        <x:v>Q00824</x:v>
      </x:c>
      <x:c r="D528" t="str">
        <x:v>AUT-010</x:v>
      </x:c>
      <x:c r="E528" t="str">
        <x:v>S05</x:v>
      </x:c>
      <x:c r="F528" t="str">
        <x:v>AUTO-BS-A</x:v>
      </x:c>
      <x:c r="G528" t="str">
        <x:v>汽車精密零組件</x:v>
      </x:c>
      <x:c r="H528" s="20" t="n">
        <x:v>46010</x:v>
      </x:c>
      <x:c r="I528" t="n">
        <x:v>3000</x:v>
      </x:c>
      <x:c r="J528" t="n">
        <x:v>773.73</x:v>
      </x:c>
      <x:c r="K528" t="str">
        <x:v>TWD</x:v>
      </x:c>
      <x:c r="L528" s="20" t="n">
        <x:v>46023</x:v>
      </x:c>
      <x:c r="M528" s="20" t="n">
        <x:v>46024</x:v>
      </x:c>
      <x:c r="N528" t="str">
        <x:v>否</x:v>
      </x:c>
      <x:c r="O528" t="str">
        <x:v>VIP</x:v>
      </x:c>
      <x:c r="P528" t="str">
        <x:v>部分出貨</x:v>
      </x:c>
    </x:row>
    <x:row r="529" ht="20" customHeight="1">
      <x:c r="A529" t="str">
        <x:v>SO00528-01</x:v>
      </x:c>
      <x:c r="B529" t="str">
        <x:v>SO00528</x:v>
      </x:c>
      <x:c r="C529" t="str">
        <x:v>Q00825</x:v>
      </x:c>
      <x:c r="D529" t="str">
        <x:v>EMS-005</x:v>
      </x:c>
      <x:c r="E529" t="str">
        <x:v>S01</x:v>
      </x:c>
      <x:c r="F529" t="str">
        <x:v>SEMI-WH-B</x:v>
      </x:c>
      <x:c r="G529" t="str">
        <x:v>半導體設備零組件</x:v>
      </x:c>
      <x:c r="H529" s="20" t="n">
        <x:v>46030</x:v>
      </x:c>
      <x:c r="I529" t="n">
        <x:v>40</x:v>
      </x:c>
      <x:c r="J529" t="n">
        <x:v>158230.97</x:v>
      </x:c>
      <x:c r="K529" t="str">
        <x:v>TWD</x:v>
      </x:c>
      <x:c r="L529" s="20" t="n">
        <x:v>46079</x:v>
      </x:c>
      <x:c r="M529" s="20" t="n">
        <x:v>46086</x:v>
      </x:c>
      <x:c r="N529" t="str">
        <x:v>是</x:v>
      </x:c>
      <x:c r="O529" t="str">
        <x:v>VIP</x:v>
      </x:c>
      <x:c r="P529" t="str">
        <x:v>部分出貨</x:v>
      </x:c>
    </x:row>
    <x:row r="530" ht="20" customHeight="1">
      <x:c r="A530" t="str">
        <x:v>SO00529-01</x:v>
      </x:c>
      <x:c r="B530" t="str">
        <x:v>SO00529</x:v>
      </x:c>
      <x:c r="C530" t="str">
        <x:v>Q00828</x:v>
      </x:c>
      <x:c r="D530" t="str">
        <x:v>IAT-008</x:v>
      </x:c>
      <x:c r="E530" t="str">
        <x:v>S01</x:v>
      </x:c>
      <x:c r="F530" t="str">
        <x:v>PM-ALB-A</x:v>
      </x:c>
      <x:c r="G530" t="str">
        <x:v>精密金屬加工件</x:v>
      </x:c>
      <x:c r="H530" s="20" t="n">
        <x:v>46016</x:v>
      </x:c>
      <x:c r="I530" t="n">
        <x:v>300</x:v>
      </x:c>
      <x:c r="J530" t="n">
        <x:v>11320.03</x:v>
      </x:c>
      <x:c r="K530" t="str">
        <x:v>TWD</x:v>
      </x:c>
      <x:c r="L530" s="20" t="n">
        <x:v>46039</x:v>
      </x:c>
      <x:c r="M530" s="20" t="n">
        <x:v>46039</x:v>
      </x:c>
      <x:c r="N530" t="str">
        <x:v>是</x:v>
      </x:c>
      <x:c r="O530" t="str">
        <x:v>重要</x:v>
      </x:c>
      <x:c r="P530" t="str">
        <x:v>部分出貨</x:v>
      </x:c>
    </x:row>
    <x:row r="531" ht="20" customHeight="1">
      <x:c r="A531" t="str">
        <x:v>SO00530-01</x:v>
      </x:c>
      <x:c r="B531" t="str">
        <x:v>SO00530</x:v>
      </x:c>
      <x:c r="C531" t="str">
        <x:v>Q00829</x:v>
      </x:c>
      <x:c r="D531" t="str">
        <x:v>AUT-009</x:v>
      </x:c>
      <x:c r="E531" t="str">
        <x:v>S04</x:v>
      </x:c>
      <x:c r="F531" t="str">
        <x:v>AUTO-BRK-B</x:v>
      </x:c>
      <x:c r="G531" t="str">
        <x:v>汽車精密零組件</x:v>
      </x:c>
      <x:c r="H531" s="20" t="n">
        <x:v>46021</x:v>
      </x:c>
      <x:c r="I531" t="n">
        <x:v>7000</x:v>
      </x:c>
      <x:c r="J531" t="n">
        <x:v>2218.68</x:v>
      </x:c>
      <x:c r="K531" t="str">
        <x:v>TWD</x:v>
      </x:c>
      <x:c r="L531" s="20" t="n">
        <x:v>46037</x:v>
      </x:c>
      <x:c r="M531" s="20" t="n">
        <x:v>46039</x:v>
      </x:c>
      <x:c r="N531" t="str">
        <x:v>是</x:v>
      </x:c>
      <x:c r="O531" t="str">
        <x:v>重要</x:v>
      </x:c>
      <x:c r="P531" t="str">
        <x:v>部分出貨</x:v>
      </x:c>
    </x:row>
    <x:row r="532" ht="20" customHeight="1">
      <x:c r="A532" t="str">
        <x:v>SO00531-01</x:v>
      </x:c>
      <x:c r="B532" t="str">
        <x:v>SO00531</x:v>
      </x:c>
      <x:c r="C532" t="str">
        <x:v>Q00833</x:v>
      </x:c>
      <x:c r="D532" t="str">
        <x:v>AFT-003</x:v>
      </x:c>
      <x:c r="E532" t="str">
        <x:v>S01</x:v>
      </x:c>
      <x:c r="F532" t="str">
        <x:v>AUTO-KN-A</x:v>
      </x:c>
      <x:c r="G532" t="str">
        <x:v>汽車精密零組件</x:v>
      </x:c>
      <x:c r="H532" s="20" t="n">
        <x:v>46041</x:v>
      </x:c>
      <x:c r="I532" t="n">
        <x:v>10000</x:v>
      </x:c>
      <x:c r="J532" t="n">
        <x:v>3248.67</x:v>
      </x:c>
      <x:c r="K532" t="str">
        <x:v>TWD</x:v>
      </x:c>
      <x:c r="L532" s="20" t="n">
        <x:v>46064</x:v>
      </x:c>
      <x:c r="M532" s="20" t="n">
        <x:v>46066</x:v>
      </x:c>
      <x:c r="N532" t="str">
        <x:v>否</x:v>
      </x:c>
      <x:c r="O532" t="str">
        <x:v>重要</x:v>
      </x:c>
      <x:c r="P532" t="str">
        <x:v>部分出貨</x:v>
      </x:c>
    </x:row>
    <x:row r="533" ht="20" customHeight="1">
      <x:c r="A533" t="str">
        <x:v>SO00532-01</x:v>
      </x:c>
      <x:c r="B533" t="str">
        <x:v>SO00532</x:v>
      </x:c>
      <x:c r="C533" t="str">
        <x:v>Q00834</x:v>
      </x:c>
      <x:c r="D533" t="str">
        <x:v>IAT-004</x:v>
      </x:c>
      <x:c r="E533" t="str">
        <x:v>S05</x:v>
      </x:c>
      <x:c r="F533" t="str">
        <x:v>AUTO-FL-B</x:v>
      </x:c>
      <x:c r="G533" t="str">
        <x:v>汽車精密零組件</x:v>
      </x:c>
      <x:c r="H533" s="20" t="n">
        <x:v>46052</x:v>
      </x:c>
      <x:c r="I533" t="n">
        <x:v>7000</x:v>
      </x:c>
      <x:c r="J533" t="n">
        <x:v>1428.59</x:v>
      </x:c>
      <x:c r="K533" t="str">
        <x:v>TWD</x:v>
      </x:c>
      <x:c r="L533" s="20" t="n">
        <x:v>46072</x:v>
      </x:c>
      <x:c r="M533" s="20" t="n">
        <x:v>46072</x:v>
      </x:c>
      <x:c r="N533" t="str">
        <x:v>否</x:v>
      </x:c>
      <x:c r="O533" t="str">
        <x:v>重要</x:v>
      </x:c>
      <x:c r="P533" t="str">
        <x:v>部分出貨</x:v>
      </x:c>
    </x:row>
    <x:row r="534" ht="20" customHeight="1">
      <x:c r="A534" t="str">
        <x:v>SO00533-01</x:v>
      </x:c>
      <x:c r="B534" t="str">
        <x:v>SO00533</x:v>
      </x:c>
      <x:c r="C534" t="str">
        <x:v>Q00835</x:v>
      </x:c>
      <x:c r="D534" t="str">
        <x:v>EMS-007</x:v>
      </x:c>
      <x:c r="E534" t="str">
        <x:v>S04</x:v>
      </x:c>
      <x:c r="F534" t="str">
        <x:v>AUTO-FL-A</x:v>
      </x:c>
      <x:c r="G534" t="str">
        <x:v>汽車精密零組件</x:v>
      </x:c>
      <x:c r="H534" s="20" t="n">
        <x:v>46043</x:v>
      </x:c>
      <x:c r="I534" t="n">
        <x:v>13000</x:v>
      </x:c>
      <x:c r="J534" t="n">
        <x:v>1237.73</x:v>
      </x:c>
      <x:c r="K534" t="str">
        <x:v>TWD</x:v>
      </x:c>
      <x:c r="L534" s="20" t="n">
        <x:v>46060</x:v>
      </x:c>
      <x:c r="M534" s="20" t="n">
        <x:v>46060</x:v>
      </x:c>
      <x:c r="N534" t="str">
        <x:v>否</x:v>
      </x:c>
      <x:c r="O534" t="str">
        <x:v>一般</x:v>
      </x:c>
      <x:c r="P534" t="str">
        <x:v>部分出貨</x:v>
      </x:c>
    </x:row>
    <x:row r="535" ht="20" customHeight="1">
      <x:c r="A535" t="str">
        <x:v>SO00534-01</x:v>
      </x:c>
      <x:c r="B535" t="str">
        <x:v>SO00534</x:v>
      </x:c>
      <x:c r="C535" t="str">
        <x:v>Q00836</x:v>
      </x:c>
      <x:c r="D535" t="str">
        <x:v>AFT-005</x:v>
      </x:c>
      <x:c r="E535" t="str">
        <x:v>S05</x:v>
      </x:c>
      <x:c r="F535" t="str">
        <x:v>AUTO-FL-B</x:v>
      </x:c>
      <x:c r="G535" t="str">
        <x:v>汽車精密零組件</x:v>
      </x:c>
      <x:c r="H535" s="20" t="n">
        <x:v>46056</x:v>
      </x:c>
      <x:c r="I535" t="n">
        <x:v>7000</x:v>
      </x:c>
      <x:c r="J535" t="n">
        <x:v>1526.02</x:v>
      </x:c>
      <x:c r="K535" t="str">
        <x:v>TWD</x:v>
      </x:c>
      <x:c r="L535" s="20" t="n">
        <x:v>46073</x:v>
      </x:c>
      <x:c r="M535" s="20" t="n">
        <x:v>46074</x:v>
      </x:c>
      <x:c r="N535" t="str">
        <x:v>否</x:v>
      </x:c>
      <x:c r="O535" t="str">
        <x:v>VIP</x:v>
      </x:c>
      <x:c r="P535" t="str">
        <x:v>部分出貨</x:v>
      </x:c>
    </x:row>
    <x:row r="536" ht="20" customHeight="1">
      <x:c r="A536" t="str">
        <x:v>SO00535-01</x:v>
      </x:c>
      <x:c r="B536" t="str">
        <x:v>SO00535</x:v>
      </x:c>
      <x:c r="C536" t="str">
        <x:v>Q00838</x:v>
      </x:c>
      <x:c r="D536" t="str">
        <x:v>AUT-004</x:v>
      </x:c>
      <x:c r="E536" t="str">
        <x:v>S03</x:v>
      </x:c>
      <x:c r="F536" t="str">
        <x:v>AUTO-BRK-A</x:v>
      </x:c>
      <x:c r="G536" t="str">
        <x:v>汽車精密零組件</x:v>
      </x:c>
      <x:c r="H536" s="20" t="n">
        <x:v>46036</x:v>
      </x:c>
      <x:c r="I536" t="n">
        <x:v>7000</x:v>
      </x:c>
      <x:c r="J536" t="n">
        <x:v>1688.03</x:v>
      </x:c>
      <x:c r="K536" t="str">
        <x:v>TWD</x:v>
      </x:c>
      <x:c r="L536" s="20" t="n">
        <x:v>46051</x:v>
      </x:c>
      <x:c r="M536" s="20" t="n">
        <x:v>46054</x:v>
      </x:c>
      <x:c r="N536" t="str">
        <x:v>否</x:v>
      </x:c>
      <x:c r="O536" t="str">
        <x:v>VIP</x:v>
      </x:c>
      <x:c r="P536" t="str">
        <x:v>部分出貨</x:v>
      </x:c>
    </x:row>
    <x:row r="537" ht="20" customHeight="1">
      <x:c r="A537" t="str">
        <x:v>SO00536-01</x:v>
      </x:c>
      <x:c r="B537" t="str">
        <x:v>SO00536</x:v>
      </x:c>
      <x:c r="C537" t="str">
        <x:v>Q00839</x:v>
      </x:c>
      <x:c r="D537" t="str">
        <x:v>AUT-001</x:v>
      </x:c>
      <x:c r="E537" t="str">
        <x:v>S01</x:v>
      </x:c>
      <x:c r="F537" t="str">
        <x:v>AUTO-BS-A</x:v>
      </x:c>
      <x:c r="G537" t="str">
        <x:v>汽車精密零組件</x:v>
      </x:c>
      <x:c r="H537" s="20" t="n">
        <x:v>46042</x:v>
      </x:c>
      <x:c r="I537" t="n">
        <x:v>10000</x:v>
      </x:c>
      <x:c r="J537" t="n">
        <x:v>738.1</x:v>
      </x:c>
      <x:c r="K537" t="str">
        <x:v>TWD</x:v>
      </x:c>
      <x:c r="L537" s="20" t="n">
        <x:v>46052</x:v>
      </x:c>
      <x:c r="M537" s="20" t="n">
        <x:v>46055</x:v>
      </x:c>
      <x:c r="N537" t="str">
        <x:v>是</x:v>
      </x:c>
      <x:c r="O537" t="str">
        <x:v>VIP</x:v>
      </x:c>
      <x:c r="P537" t="str">
        <x:v>部分出貨</x:v>
      </x:c>
    </x:row>
    <x:row r="538" ht="20" customHeight="1">
      <x:c r="A538" t="str">
        <x:v>SO00537-01</x:v>
      </x:c>
      <x:c r="B538" t="str">
        <x:v>SO00537</x:v>
      </x:c>
      <x:c r="C538" t="str">
        <x:v>Q00840</x:v>
      </x:c>
      <x:c r="D538" t="str">
        <x:v>IAT-002</x:v>
      </x:c>
      <x:c r="E538" t="str">
        <x:v>S01</x:v>
      </x:c>
      <x:c r="F538" t="str">
        <x:v>AUTO-MH-B</x:v>
      </x:c>
      <x:c r="G538" t="str">
        <x:v>汽車精密零組件</x:v>
      </x:c>
      <x:c r="H538" s="20" t="n">
        <x:v>46047</x:v>
      </x:c>
      <x:c r="I538" t="n">
        <x:v>10000</x:v>
      </x:c>
      <x:c r="J538" t="n">
        <x:v>2962.84</x:v>
      </x:c>
      <x:c r="K538" t="str">
        <x:v>TWD</x:v>
      </x:c>
      <x:c r="L538" s="20" t="n">
        <x:v>46067</x:v>
      </x:c>
      <x:c r="M538" s="20" t="n">
        <x:v>46071</x:v>
      </x:c>
      <x:c r="N538" t="str">
        <x:v>否</x:v>
      </x:c>
      <x:c r="O538" t="str">
        <x:v>一般</x:v>
      </x:c>
      <x:c r="P538" t="str">
        <x:v>部分出貨</x:v>
      </x:c>
    </x:row>
    <x:row r="539" ht="20" customHeight="1">
      <x:c r="A539" t="str">
        <x:v>SO00538-01</x:v>
      </x:c>
      <x:c r="B539" t="str">
        <x:v>SO00538</x:v>
      </x:c>
      <x:c r="C539" t="str">
        <x:v>Q00841</x:v>
      </x:c>
      <x:c r="D539" t="str">
        <x:v>EMS-008</x:v>
      </x:c>
      <x:c r="E539" t="str">
        <x:v>S02</x:v>
      </x:c>
      <x:c r="F539" t="str">
        <x:v>AUTO-BRK-A</x:v>
      </x:c>
      <x:c r="G539" t="str">
        <x:v>汽車精密零組件</x:v>
      </x:c>
      <x:c r="H539" s="20" t="n">
        <x:v>46056</x:v>
      </x:c>
      <x:c r="I539" t="n">
        <x:v>10000</x:v>
      </x:c>
      <x:c r="J539" t="n">
        <x:v>1747.71</x:v>
      </x:c>
      <x:c r="K539" t="str">
        <x:v>TWD</x:v>
      </x:c>
      <x:c r="L539" s="20" t="n">
        <x:v>46075</x:v>
      </x:c>
      <x:c r="M539" s="20" t="n">
        <x:v>46075</x:v>
      </x:c>
      <x:c r="N539" t="str">
        <x:v>否</x:v>
      </x:c>
      <x:c r="O539" t="str">
        <x:v>重要</x:v>
      </x:c>
      <x:c r="P539" t="str">
        <x:v>部分出貨</x:v>
      </x:c>
    </x:row>
    <x:row r="540" ht="20" customHeight="1">
      <x:c r="A540" t="str">
        <x:v>SO00539-01</x:v>
      </x:c>
      <x:c r="B540" t="str">
        <x:v>SO00539</x:v>
      </x:c>
      <x:c r="C540" t="str">
        <x:v>Q00842</x:v>
      </x:c>
      <x:c r="D540" t="str">
        <x:v>IAT-007</x:v>
      </x:c>
      <x:c r="E540" t="str">
        <x:v>S04</x:v>
      </x:c>
      <x:c r="F540" t="str">
        <x:v>PM-VAC-B</x:v>
      </x:c>
      <x:c r="G540" t="str">
        <x:v>精密金屬加工件</x:v>
      </x:c>
      <x:c r="H540" s="20" t="n">
        <x:v>46045</x:v>
      </x:c>
      <x:c r="I540" t="n">
        <x:v>300</x:v>
      </x:c>
      <x:c r="J540" t="n">
        <x:v>22213.88</x:v>
      </x:c>
      <x:c r="K540" t="str">
        <x:v>TWD</x:v>
      </x:c>
      <x:c r="L540" s="20" t="n">
        <x:v>46078</x:v>
      </x:c>
      <x:c r="M540" s="20" t="n">
        <x:v>46082</x:v>
      </x:c>
      <x:c r="N540" t="str">
        <x:v>否</x:v>
      </x:c>
      <x:c r="O540" t="str">
        <x:v>重要</x:v>
      </x:c>
      <x:c r="P540" t="str">
        <x:v>部分出貨</x:v>
      </x:c>
    </x:row>
    <x:row r="541" ht="20" customHeight="1">
      <x:c r="A541" t="str">
        <x:v>SO00540-01</x:v>
      </x:c>
      <x:c r="B541" t="str">
        <x:v>SO00540</x:v>
      </x:c>
      <x:c r="C541" t="str">
        <x:v>Q00846</x:v>
      </x:c>
      <x:c r="D541" t="str">
        <x:v>SEM-010</x:v>
      </x:c>
      <x:c r="E541" t="str">
        <x:v>S01</x:v>
      </x:c>
      <x:c r="F541" t="str">
        <x:v>PM-BRG-B</x:v>
      </x:c>
      <x:c r="G541" t="str">
        <x:v>精密金屬加工件</x:v>
      </x:c>
      <x:c r="H541" s="20" t="n">
        <x:v>46032</x:v>
      </x:c>
      <x:c r="I541" t="n">
        <x:v>800</x:v>
      </x:c>
      <x:c r="J541" t="n">
        <x:v>7788.17</x:v>
      </x:c>
      <x:c r="K541" t="str">
        <x:v>TWD</x:v>
      </x:c>
      <x:c r="L541" s="20" t="n">
        <x:v>46052</x:v>
      </x:c>
      <x:c r="M541" s="20" t="n">
        <x:v>46052</x:v>
      </x:c>
      <x:c r="N541" t="str">
        <x:v>否</x:v>
      </x:c>
      <x:c r="O541" t="str">
        <x:v>一般</x:v>
      </x:c>
      <x:c r="P541" t="str">
        <x:v>部分出貨</x:v>
      </x:c>
    </x:row>
    <x:row r="542" ht="20" customHeight="1">
      <x:c r="A542" t="str">
        <x:v>SO00541-01</x:v>
      </x:c>
      <x:c r="B542" t="str">
        <x:v>SO00541</x:v>
      </x:c>
      <x:c r="C542" t="str">
        <x:v>Q00848</x:v>
      </x:c>
      <x:c r="D542" t="str">
        <x:v>SEM-008</x:v>
      </x:c>
      <x:c r="E542" t="str">
        <x:v>S04</x:v>
      </x:c>
      <x:c r="F542" t="str">
        <x:v>MECH-STG-A</x:v>
      </x:c>
      <x:c r="G542" t="str">
        <x:v>機電／自動化模組</x:v>
      </x:c>
      <x:c r="H542" s="20" t="n">
        <x:v>46052</x:v>
      </x:c>
      <x:c r="I542" t="n">
        <x:v>20</x:v>
      </x:c>
      <x:c r="J542" t="n">
        <x:v>140058.2</x:v>
      </x:c>
      <x:c r="K542" t="str">
        <x:v>TWD</x:v>
      </x:c>
      <x:c r="L542" s="20" t="n">
        <x:v>46088</x:v>
      </x:c>
      <x:c r="M542" s="20" t="n">
        <x:v>46089</x:v>
      </x:c>
      <x:c r="N542" t="str">
        <x:v>否</x:v>
      </x:c>
      <x:c r="O542" t="str">
        <x:v>VIP</x:v>
      </x:c>
      <x:c r="P542" t="str">
        <x:v>已出貨</x:v>
      </x:c>
    </x:row>
    <x:row r="543" ht="20" customHeight="1">
      <x:c r="A543" t="str">
        <x:v>SO00542-01</x:v>
      </x:c>
      <x:c r="B543" t="str">
        <x:v>SO00542</x:v>
      </x:c>
      <x:c r="C543" t="str">
        <x:v>Q00850</x:v>
      </x:c>
      <x:c r="D543" t="str">
        <x:v>IAT-009</x:v>
      </x:c>
      <x:c r="E543" t="str">
        <x:v>S04</x:v>
      </x:c>
      <x:c r="F543" t="str">
        <x:v>AUTO-MH-B</x:v>
      </x:c>
      <x:c r="G543" t="str">
        <x:v>汽車精密零組件</x:v>
      </x:c>
      <x:c r="H543" s="20" t="n">
        <x:v>46040</x:v>
      </x:c>
      <x:c r="I543" t="n">
        <x:v>13000</x:v>
      </x:c>
      <x:c r="J543" t="n">
        <x:v>3050.85</x:v>
      </x:c>
      <x:c r="K543" t="str">
        <x:v>TWD</x:v>
      </x:c>
      <x:c r="L543" s="20" t="n">
        <x:v>46057</x:v>
      </x:c>
      <x:c r="M543" s="20" t="n">
        <x:v>46062</x:v>
      </x:c>
      <x:c r="N543" t="str">
        <x:v>是</x:v>
      </x:c>
      <x:c r="O543" t="str">
        <x:v>重要</x:v>
      </x:c>
      <x:c r="P543" t="str">
        <x:v>部分出貨</x:v>
      </x:c>
    </x:row>
    <x:row r="544" ht="20" customHeight="1">
      <x:c r="A544" t="str">
        <x:v>SO00543-01</x:v>
      </x:c>
      <x:c r="B544" t="str">
        <x:v>SO00543</x:v>
      </x:c>
      <x:c r="C544" t="str">
        <x:v>Q00851</x:v>
      </x:c>
      <x:c r="D544" t="str">
        <x:v>IAT-008</x:v>
      </x:c>
      <x:c r="E544" t="str">
        <x:v>S01</x:v>
      </x:c>
      <x:c r="F544" t="str">
        <x:v>SEMI-WH-B</x:v>
      </x:c>
      <x:c r="G544" t="str">
        <x:v>半導體設備零組件</x:v>
      </x:c>
      <x:c r="H544" s="20" t="n">
        <x:v>46033</x:v>
      </x:c>
      <x:c r="I544" t="n">
        <x:v>160</x:v>
      </x:c>
      <x:c r="J544" t="n">
        <x:v>155389.4</x:v>
      </x:c>
      <x:c r="K544" t="str">
        <x:v>TWD</x:v>
      </x:c>
      <x:c r="L544" s="20" t="n">
        <x:v>46089</x:v>
      </x:c>
      <x:c r="M544" s="20" t="n">
        <x:v>46096</x:v>
      </x:c>
      <x:c r="N544" t="str">
        <x:v>否</x:v>
      </x:c>
      <x:c r="O544" t="str">
        <x:v>重要</x:v>
      </x:c>
      <x:c r="P544" t="str">
        <x:v>部分出貨</x:v>
      </x:c>
    </x:row>
    <x:row r="545" ht="20" customHeight="1">
      <x:c r="A545" t="str">
        <x:v>SO00544-01</x:v>
      </x:c>
      <x:c r="B545" t="str">
        <x:v>SO00544</x:v>
      </x:c>
      <x:c r="C545" t="str">
        <x:v>Q00853</x:v>
      </x:c>
      <x:c r="D545" t="str">
        <x:v>AUT-003</x:v>
      </x:c>
      <x:c r="E545" t="str">
        <x:v>S03</x:v>
      </x:c>
      <x:c r="F545" t="str">
        <x:v>AUTO-FL-B</x:v>
      </x:c>
      <x:c r="G545" t="str">
        <x:v>汽車精密零組件</x:v>
      </x:c>
      <x:c r="H545" s="20" t="n">
        <x:v>46045</x:v>
      </x:c>
      <x:c r="I545" t="n">
        <x:v>13000</x:v>
      </x:c>
      <x:c r="J545" t="n">
        <x:v>1472.56</x:v>
      </x:c>
      <x:c r="K545" t="str">
        <x:v>TWD</x:v>
      </x:c>
      <x:c r="L545" s="20" t="n">
        <x:v>46061</x:v>
      </x:c>
      <x:c r="M545" s="20" t="n">
        <x:v>46061</x:v>
      </x:c>
      <x:c r="N545" t="str">
        <x:v>否</x:v>
      </x:c>
      <x:c r="O545" t="str">
        <x:v>VIP</x:v>
      </x:c>
      <x:c r="P545" t="str">
        <x:v>部分出貨</x:v>
      </x:c>
    </x:row>
    <x:row r="546" ht="20" customHeight="1">
      <x:c r="A546" t="str">
        <x:v>SO00545-01</x:v>
      </x:c>
      <x:c r="B546" t="str">
        <x:v>SO00545</x:v>
      </x:c>
      <x:c r="C546" t="str">
        <x:v>Q00855</x:v>
      </x:c>
      <x:c r="D546" t="str">
        <x:v>IAT-003</x:v>
      </x:c>
      <x:c r="E546" t="str">
        <x:v>S04</x:v>
      </x:c>
      <x:c r="F546" t="str">
        <x:v>SEMI-WH-B</x:v>
      </x:c>
      <x:c r="G546" t="str">
        <x:v>半導體設備零組件</x:v>
      </x:c>
      <x:c r="H546" s="20" t="n">
        <x:v>46064</x:v>
      </x:c>
      <x:c r="I546" t="n">
        <x:v>80</x:v>
      </x:c>
      <x:c r="J546" t="n">
        <x:v>172430.19</x:v>
      </x:c>
      <x:c r="K546" t="str">
        <x:v>TWD</x:v>
      </x:c>
      <x:c r="L546" s="20" t="n">
        <x:v>46112</x:v>
      </x:c>
      <x:c r="M546" s="20" t="n">
        <x:v>46125</x:v>
      </x:c>
      <x:c r="N546" t="str">
        <x:v>是</x:v>
      </x:c>
      <x:c r="O546" t="str">
        <x:v>重要</x:v>
      </x:c>
      <x:c r="P546" t="str">
        <x:v>部分出貨</x:v>
      </x:c>
    </x:row>
    <x:row r="547" ht="20" customHeight="1">
      <x:c r="A547" t="str">
        <x:v>SO00546-01</x:v>
      </x:c>
      <x:c r="B547" t="str">
        <x:v>SO00546</x:v>
      </x:c>
      <x:c r="C547" t="str">
        <x:v>Q00857</x:v>
      </x:c>
      <x:c r="D547" t="str">
        <x:v>EMS-006</x:v>
      </x:c>
      <x:c r="E547" t="str">
        <x:v>S03</x:v>
      </x:c>
      <x:c r="F547" t="str">
        <x:v>AUTO-BS-A</x:v>
      </x:c>
      <x:c r="G547" t="str">
        <x:v>汽車精密零組件</x:v>
      </x:c>
      <x:c r="H547" s="20" t="n">
        <x:v>46057</x:v>
      </x:c>
      <x:c r="I547" t="n">
        <x:v>5000</x:v>
      </x:c>
      <x:c r="J547" t="n">
        <x:v>774.6</x:v>
      </x:c>
      <x:c r="K547" t="str">
        <x:v>TWD</x:v>
      </x:c>
      <x:c r="L547" s="20" t="n">
        <x:v>46069</x:v>
      </x:c>
      <x:c r="M547" s="20" t="n">
        <x:v>46070</x:v>
      </x:c>
      <x:c r="N547" t="str">
        <x:v>否</x:v>
      </x:c>
      <x:c r="O547" t="str">
        <x:v>重要</x:v>
      </x:c>
      <x:c r="P547" t="str">
        <x:v>部分出貨</x:v>
      </x:c>
    </x:row>
    <x:row r="548" ht="20" customHeight="1">
      <x:c r="A548" t="str">
        <x:v>SO00547-01</x:v>
      </x:c>
      <x:c r="B548" t="str">
        <x:v>SO00547</x:v>
      </x:c>
      <x:c r="C548" t="str">
        <x:v>Q00858</x:v>
      </x:c>
      <x:c r="D548" t="str">
        <x:v>AUT-009</x:v>
      </x:c>
      <x:c r="E548" t="str">
        <x:v>S04</x:v>
      </x:c>
      <x:c r="F548" t="str">
        <x:v>AUTO-FL-A</x:v>
      </x:c>
      <x:c r="G548" t="str">
        <x:v>汽車精密零組件</x:v>
      </x:c>
      <x:c r="H548" s="20" t="n">
        <x:v>46058</x:v>
      </x:c>
      <x:c r="I548" t="n">
        <x:v>5000</x:v>
      </x:c>
      <x:c r="J548" t="n">
        <x:v>1240.22</x:v>
      </x:c>
      <x:c r="K548" t="str">
        <x:v>TWD</x:v>
      </x:c>
      <x:c r="L548" s="20" t="n">
        <x:v>46070</x:v>
      </x:c>
      <x:c r="M548" s="20" t="n">
        <x:v>46072</x:v>
      </x:c>
      <x:c r="N548" t="str">
        <x:v>是</x:v>
      </x:c>
      <x:c r="O548" t="str">
        <x:v>重要</x:v>
      </x:c>
      <x:c r="P548" t="str">
        <x:v>部分出貨</x:v>
      </x:c>
    </x:row>
    <x:row r="549" ht="20" customHeight="1">
      <x:c r="A549" t="str">
        <x:v>SO00548-01</x:v>
      </x:c>
      <x:c r="B549" t="str">
        <x:v>SO00548</x:v>
      </x:c>
      <x:c r="C549" t="str">
        <x:v>Q00859</x:v>
      </x:c>
      <x:c r="D549" t="str">
        <x:v>AUT-011</x:v>
      </x:c>
      <x:c r="E549" t="str">
        <x:v>S02</x:v>
      </x:c>
      <x:c r="F549" t="str">
        <x:v>AUTO-KN-A</x:v>
      </x:c>
      <x:c r="G549" t="str">
        <x:v>汽車精密零組件</x:v>
      </x:c>
      <x:c r="H549" s="20" t="n">
        <x:v>46044</x:v>
      </x:c>
      <x:c r="I549" t="n">
        <x:v>7000</x:v>
      </x:c>
      <x:c r="J549" t="n">
        <x:v>3226.82</x:v>
      </x:c>
      <x:c r="K549" t="str">
        <x:v>TWD</x:v>
      </x:c>
      <x:c r="L549" s="20" t="n">
        <x:v>46066</x:v>
      </x:c>
      <x:c r="M549" s="20" t="n">
        <x:v>46066</x:v>
      </x:c>
      <x:c r="N549" t="str">
        <x:v>否</x:v>
      </x:c>
      <x:c r="O549" t="str">
        <x:v>重要</x:v>
      </x:c>
      <x:c r="P549" t="str">
        <x:v>部分出貨</x:v>
      </x:c>
    </x:row>
    <x:row r="550" ht="20" customHeight="1">
      <x:c r="A550" t="str">
        <x:v>SO00549-01</x:v>
      </x:c>
      <x:c r="B550" t="str">
        <x:v>SO00549</x:v>
      </x:c>
      <x:c r="C550" t="str">
        <x:v>Q00861</x:v>
      </x:c>
      <x:c r="D550" t="str">
        <x:v>AUT-011</x:v>
      </x:c>
      <x:c r="E550" t="str">
        <x:v>S02</x:v>
      </x:c>
      <x:c r="F550" t="str">
        <x:v>AUTO-KN-B</x:v>
      </x:c>
      <x:c r="G550" t="str">
        <x:v>汽車精密零組件</x:v>
      </x:c>
      <x:c r="H550" s="20" t="n">
        <x:v>46047</x:v>
      </x:c>
      <x:c r="I550" t="n">
        <x:v>5000</x:v>
      </x:c>
      <x:c r="J550" t="n">
        <x:v>3792.43</x:v>
      </x:c>
      <x:c r="K550" t="str">
        <x:v>TWD</x:v>
      </x:c>
      <x:c r="L550" s="20" t="n">
        <x:v>46066</x:v>
      </x:c>
      <x:c r="M550" s="20" t="n">
        <x:v>46071</x:v>
      </x:c>
      <x:c r="N550" t="str">
        <x:v>是</x:v>
      </x:c>
      <x:c r="O550" t="str">
        <x:v>重要</x:v>
      </x:c>
      <x:c r="P550" t="str">
        <x:v>部分出貨</x:v>
      </x:c>
    </x:row>
    <x:row r="551" ht="20" customHeight="1">
      <x:c r="A551" t="str">
        <x:v>SO00550-01</x:v>
      </x:c>
      <x:c r="B551" t="str">
        <x:v>SO00550</x:v>
      </x:c>
      <x:c r="C551" t="str">
        <x:v>Q00862</x:v>
      </x:c>
      <x:c r="D551" t="str">
        <x:v>AUT-010</x:v>
      </x:c>
      <x:c r="E551" t="str">
        <x:v>S05</x:v>
      </x:c>
      <x:c r="F551" t="str">
        <x:v>MECH-CON-A</x:v>
      </x:c>
      <x:c r="G551" t="str">
        <x:v>機電／自動化模組</x:v>
      </x:c>
      <x:c r="H551" s="20" t="n">
        <x:v>46037</x:v>
      </x:c>
      <x:c r="I551" t="n">
        <x:v>20</x:v>
      </x:c>
      <x:c r="J551" t="n">
        <x:v>114708.04</x:v>
      </x:c>
      <x:c r="K551" t="str">
        <x:v>TWD</x:v>
      </x:c>
      <x:c r="L551" s="20" t="n">
        <x:v>46075</x:v>
      </x:c>
      <x:c r="M551" s="20" t="n">
        <x:v>46075</x:v>
      </x:c>
      <x:c r="N551" t="str">
        <x:v>否</x:v>
      </x:c>
      <x:c r="O551" t="str">
        <x:v>VIP</x:v>
      </x:c>
      <x:c r="P551" t="str">
        <x:v>部分出貨</x:v>
      </x:c>
    </x:row>
    <x:row r="552" ht="20" customHeight="1">
      <x:c r="A552" t="str">
        <x:v>SO00551-01</x:v>
      </x:c>
      <x:c r="B552" t="str">
        <x:v>SO00551</x:v>
      </x:c>
      <x:c r="C552" t="str">
        <x:v>Q00863</x:v>
      </x:c>
      <x:c r="D552" t="str">
        <x:v>AUT-002</x:v>
      </x:c>
      <x:c r="E552" t="str">
        <x:v>S04</x:v>
      </x:c>
      <x:c r="F552" t="str">
        <x:v>MECH-STG-A</x:v>
      </x:c>
      <x:c r="G552" t="str">
        <x:v>機電／自動化模組</x:v>
      </x:c>
      <x:c r="H552" s="20" t="n">
        <x:v>46057</x:v>
      </x:c>
      <x:c r="I552" t="n">
        <x:v>20</x:v>
      </x:c>
      <x:c r="J552" t="n">
        <x:v>135439</x:v>
      </x:c>
      <x:c r="K552" t="str">
        <x:v>TWD</x:v>
      </x:c>
      <x:c r="L552" s="20" t="n">
        <x:v>46095</x:v>
      </x:c>
      <x:c r="M552" s="20" t="n">
        <x:v>46099</x:v>
      </x:c>
      <x:c r="N552" t="str">
        <x:v>否</x:v>
      </x:c>
      <x:c r="O552" t="str">
        <x:v>重要</x:v>
      </x:c>
      <x:c r="P552" t="str">
        <x:v>已出貨</x:v>
      </x:c>
    </x:row>
    <x:row r="553" ht="20" customHeight="1">
      <x:c r="A553" t="str">
        <x:v>SO00552-01</x:v>
      </x:c>
      <x:c r="B553" t="str">
        <x:v>SO00552</x:v>
      </x:c>
      <x:c r="C553" t="str">
        <x:v>Q00864</x:v>
      </x:c>
      <x:c r="D553" t="str">
        <x:v>AFT-003</x:v>
      </x:c>
      <x:c r="E553" t="str">
        <x:v>S01</x:v>
      </x:c>
      <x:c r="F553" t="str">
        <x:v>AUTO-KN-A</x:v>
      </x:c>
      <x:c r="G553" t="str">
        <x:v>汽車精密零組件</x:v>
      </x:c>
      <x:c r="H553" s="20" t="n">
        <x:v>46033</x:v>
      </x:c>
      <x:c r="I553" t="n">
        <x:v>10000</x:v>
      </x:c>
      <x:c r="J553" t="n">
        <x:v>3349.41</x:v>
      </x:c>
      <x:c r="K553" t="str">
        <x:v>TWD</x:v>
      </x:c>
      <x:c r="L553" s="20" t="n">
        <x:v>46051</x:v>
      </x:c>
      <x:c r="M553" s="20" t="n">
        <x:v>46055</x:v>
      </x:c>
      <x:c r="N553" t="str">
        <x:v>是</x:v>
      </x:c>
      <x:c r="O553" t="str">
        <x:v>重要</x:v>
      </x:c>
      <x:c r="P553" t="str">
        <x:v>部分出貨</x:v>
      </x:c>
    </x:row>
    <x:row r="554" ht="20" customHeight="1">
      <x:c r="A554" t="str">
        <x:v>SO00553-01</x:v>
      </x:c>
      <x:c r="B554" t="str">
        <x:v>SO00553</x:v>
      </x:c>
      <x:c r="C554" t="str">
        <x:v>Q00865</x:v>
      </x:c>
      <x:c r="D554" t="str">
        <x:v>AFT-001</x:v>
      </x:c>
      <x:c r="E554" t="str">
        <x:v>S05</x:v>
      </x:c>
      <x:c r="F554" t="str">
        <x:v>AUTO-BS-B</x:v>
      </x:c>
      <x:c r="G554" t="str">
        <x:v>汽車精密零組件</x:v>
      </x:c>
      <x:c r="H554" s="20" t="n">
        <x:v>46075</x:v>
      </x:c>
      <x:c r="I554" t="n">
        <x:v>13000</x:v>
      </x:c>
      <x:c r="J554" t="n">
        <x:v>823.31</x:v>
      </x:c>
      <x:c r="K554" t="str">
        <x:v>TWD</x:v>
      </x:c>
      <x:c r="L554" s="20" t="n">
        <x:v>46089</x:v>
      </x:c>
      <x:c r="M554" s="20" t="n">
        <x:v>46089</x:v>
      </x:c>
      <x:c r="N554" t="str">
        <x:v>否</x:v>
      </x:c>
      <x:c r="O554" t="str">
        <x:v>重要</x:v>
      </x:c>
      <x:c r="P554" t="str">
        <x:v>部分出貨</x:v>
      </x:c>
    </x:row>
    <x:row r="555" ht="20" customHeight="1">
      <x:c r="A555" t="str">
        <x:v>SO00554-01</x:v>
      </x:c>
      <x:c r="B555" t="str">
        <x:v>SO00554</x:v>
      </x:c>
      <x:c r="C555" t="str">
        <x:v>Q00867</x:v>
      </x:c>
      <x:c r="D555" t="str">
        <x:v>AUT-010</x:v>
      </x:c>
      <x:c r="E555" t="str">
        <x:v>S05</x:v>
      </x:c>
      <x:c r="F555" t="str">
        <x:v>AUTO-KN-A</x:v>
      </x:c>
      <x:c r="G555" t="str">
        <x:v>汽車精密零組件</x:v>
      </x:c>
      <x:c r="H555" s="20" t="n">
        <x:v>46078</x:v>
      </x:c>
      <x:c r="I555" t="n">
        <x:v>7000</x:v>
      </x:c>
      <x:c r="J555" t="n">
        <x:v>3072.81</x:v>
      </x:c>
      <x:c r="K555" t="str">
        <x:v>TWD</x:v>
      </x:c>
      <x:c r="L555" s="20" t="n">
        <x:v>46095</x:v>
      </x:c>
      <x:c r="M555" s="20" t="n">
        <x:v>46101</x:v>
      </x:c>
      <x:c r="N555" t="str">
        <x:v>是</x:v>
      </x:c>
      <x:c r="O555" t="str">
        <x:v>VIP</x:v>
      </x:c>
      <x:c r="P555" t="str">
        <x:v>部分出貨</x:v>
      </x:c>
    </x:row>
    <x:row r="556" ht="20" customHeight="1">
      <x:c r="A556" t="str">
        <x:v>SO00555-01</x:v>
      </x:c>
      <x:c r="B556" t="str">
        <x:v>SO00555</x:v>
      </x:c>
      <x:c r="C556" t="str">
        <x:v>Q00868</x:v>
      </x:c>
      <x:c r="D556" t="str">
        <x:v>AUT-013</x:v>
      </x:c>
      <x:c r="E556" t="str">
        <x:v>S01</x:v>
      </x:c>
      <x:c r="F556" t="str">
        <x:v>AUTO-BRK-A</x:v>
      </x:c>
      <x:c r="G556" t="str">
        <x:v>汽車精密零組件</x:v>
      </x:c>
      <x:c r="H556" s="20" t="n">
        <x:v>46078</x:v>
      </x:c>
      <x:c r="I556" t="n">
        <x:v>3000</x:v>
      </x:c>
      <x:c r="J556" t="n">
        <x:v>1757.3</x:v>
      </x:c>
      <x:c r="K556" t="str">
        <x:v>TWD</x:v>
      </x:c>
      <x:c r="L556" s="20" t="n">
        <x:v>46097</x:v>
      </x:c>
      <x:c r="M556" s="20" t="n">
        <x:v>46097</x:v>
      </x:c>
      <x:c r="N556" t="str">
        <x:v>否</x:v>
      </x:c>
      <x:c r="O556" t="str">
        <x:v>重要</x:v>
      </x:c>
      <x:c r="P556" t="str">
        <x:v>部分出貨</x:v>
      </x:c>
    </x:row>
    <x:row r="557" ht="20" customHeight="1">
      <x:c r="A557" t="str">
        <x:v>SO00556-01</x:v>
      </x:c>
      <x:c r="B557" t="str">
        <x:v>SO00556</x:v>
      </x:c>
      <x:c r="C557" t="str">
        <x:v>Q00873</x:v>
      </x:c>
      <x:c r="D557" t="str">
        <x:v>AFT-007</x:v>
      </x:c>
      <x:c r="E557" t="str">
        <x:v>S04</x:v>
      </x:c>
      <x:c r="F557" t="str">
        <x:v>AUTO-BS-B</x:v>
      </x:c>
      <x:c r="G557" t="str">
        <x:v>汽車精密零組件</x:v>
      </x:c>
      <x:c r="H557" s="20" t="n">
        <x:v>46085</x:v>
      </x:c>
      <x:c r="I557" t="n">
        <x:v>7000</x:v>
      </x:c>
      <x:c r="J557" t="n">
        <x:v>892.32</x:v>
      </x:c>
      <x:c r="K557" t="str">
        <x:v>TWD</x:v>
      </x:c>
      <x:c r="L557" s="20" t="n">
        <x:v>46096</x:v>
      </x:c>
      <x:c r="M557" s="20" t="n">
        <x:v>46101</x:v>
      </x:c>
      <x:c r="N557" t="str">
        <x:v>是</x:v>
      </x:c>
      <x:c r="O557" t="str">
        <x:v>一般</x:v>
      </x:c>
      <x:c r="P557" t="str">
        <x:v>部分出貨</x:v>
      </x:c>
    </x:row>
    <x:row r="558" ht="20" customHeight="1">
      <x:c r="A558" t="str">
        <x:v>SO00557-01</x:v>
      </x:c>
      <x:c r="B558" t="str">
        <x:v>SO00557</x:v>
      </x:c>
      <x:c r="C558" t="str">
        <x:v>Q00874</x:v>
      </x:c>
      <x:c r="D558" t="str">
        <x:v>IAT-003</x:v>
      </x:c>
      <x:c r="E558" t="str">
        <x:v>S04</x:v>
      </x:c>
      <x:c r="F558" t="str">
        <x:v>SEMI-WH-B</x:v>
      </x:c>
      <x:c r="G558" t="str">
        <x:v>半導體設備零組件</x:v>
      </x:c>
      <x:c r="H558" s="20" t="n">
        <x:v>46065</x:v>
      </x:c>
      <x:c r="I558" t="n">
        <x:v>120</x:v>
      </x:c>
      <x:c r="J558" t="n">
        <x:v>168499.63</x:v>
      </x:c>
      <x:c r="K558" t="str">
        <x:v>TWD</x:v>
      </x:c>
      <x:c r="L558" s="20" t="n">
        <x:v>46125</x:v>
      </x:c>
      <x:c r="M558" s="20" t="n">
        <x:v>46125</x:v>
      </x:c>
      <x:c r="N558" t="str">
        <x:v>是</x:v>
      </x:c>
      <x:c r="O558" t="str">
        <x:v>重要</x:v>
      </x:c>
      <x:c r="P558" t="str">
        <x:v>部分出貨</x:v>
      </x:c>
    </x:row>
    <x:row r="559" ht="20" customHeight="1">
      <x:c r="A559" t="str">
        <x:v>SO00558-01</x:v>
      </x:c>
      <x:c r="B559" t="str">
        <x:v>SO00558</x:v>
      </x:c>
      <x:c r="C559" t="str">
        <x:v>Q00876</x:v>
      </x:c>
      <x:c r="D559" t="str">
        <x:v>IAT-001</x:v>
      </x:c>
      <x:c r="E559" t="str">
        <x:v>S05</x:v>
      </x:c>
      <x:c r="F559" t="str">
        <x:v>SEMI-CHB-B</x:v>
      </x:c>
      <x:c r="G559" t="str">
        <x:v>半導體設備零組件</x:v>
      </x:c>
      <x:c r="H559" s="20" t="n">
        <x:v>46089</x:v>
      </x:c>
      <x:c r="I559" t="n">
        <x:v>80</x:v>
      </x:c>
      <x:c r="J559" t="n">
        <x:v>133217.15</x:v>
      </x:c>
      <x:c r="K559" t="str">
        <x:v>TWD</x:v>
      </x:c>
      <x:c r="L559" s="20" t="n">
        <x:v>46133</x:v>
      </x:c>
      <x:c r="M559" s="20" t="n">
        <x:v>46145</x:v>
      </x:c>
      <x:c r="N559" t="str">
        <x:v>是</x:v>
      </x:c>
      <x:c r="O559" t="str">
        <x:v>一般</x:v>
      </x:c>
      <x:c r="P559" t="str">
        <x:v>部分出貨</x:v>
      </x:c>
    </x:row>
    <x:row r="560" ht="20" customHeight="1">
      <x:c r="A560" t="str">
        <x:v>SO00559-01</x:v>
      </x:c>
      <x:c r="B560" t="str">
        <x:v>SO00559</x:v>
      </x:c>
      <x:c r="C560" t="str">
        <x:v>Q00877</x:v>
      </x:c>
      <x:c r="D560" t="str">
        <x:v>AUT-014</x:v>
      </x:c>
      <x:c r="E560" t="str">
        <x:v>S06</x:v>
      </x:c>
      <x:c r="F560" t="str">
        <x:v>PM-VAC-A</x:v>
      </x:c>
      <x:c r="G560" t="str">
        <x:v>精密金屬加工件</x:v>
      </x:c>
      <x:c r="H560" s="20" t="n">
        <x:v>46079</x:v>
      </x:c>
      <x:c r="I560" t="n">
        <x:v>300</x:v>
      </x:c>
      <x:c r="J560" t="n">
        <x:v>16262.32</x:v>
      </x:c>
      <x:c r="K560" t="str">
        <x:v>TWD</x:v>
      </x:c>
      <x:c r="L560" s="20" t="n">
        <x:v>46112</x:v>
      </x:c>
      <x:c r="M560" s="20" t="n">
        <x:v>46112</x:v>
      </x:c>
      <x:c r="N560" t="str">
        <x:v>否</x:v>
      </x:c>
      <x:c r="O560" t="str">
        <x:v>重要</x:v>
      </x:c>
      <x:c r="P560" t="str">
        <x:v>部分出貨</x:v>
      </x:c>
    </x:row>
    <x:row r="561" ht="20" customHeight="1">
      <x:c r="A561" t="str">
        <x:v>SO00560-01</x:v>
      </x:c>
      <x:c r="B561" t="str">
        <x:v>SO00560</x:v>
      </x:c>
      <x:c r="C561" t="str">
        <x:v>Q00878</x:v>
      </x:c>
      <x:c r="D561" t="str">
        <x:v>AUT-013</x:v>
      </x:c>
      <x:c r="E561" t="str">
        <x:v>S01</x:v>
      </x:c>
      <x:c r="F561" t="str">
        <x:v>AUTO-KN-A</x:v>
      </x:c>
      <x:c r="G561" t="str">
        <x:v>汽車精密零組件</x:v>
      </x:c>
      <x:c r="H561" s="20" t="n">
        <x:v>46080</x:v>
      </x:c>
      <x:c r="I561" t="n">
        <x:v>7000</x:v>
      </x:c>
      <x:c r="J561" t="n">
        <x:v>2899.33</x:v>
      </x:c>
      <x:c r="K561" t="str">
        <x:v>TWD</x:v>
      </x:c>
      <x:c r="L561" s="20" t="n">
        <x:v>46097</x:v>
      </x:c>
      <x:c r="M561" s="20" t="n">
        <x:v>46104</x:v>
      </x:c>
      <x:c r="N561" t="str">
        <x:v>是</x:v>
      </x:c>
      <x:c r="O561" t="str">
        <x:v>重要</x:v>
      </x:c>
      <x:c r="P561" t="str">
        <x:v>部分出貨</x:v>
      </x:c>
    </x:row>
    <x:row r="562" ht="20" customHeight="1">
      <x:c r="A562" t="str">
        <x:v>SO00561-01</x:v>
      </x:c>
      <x:c r="B562" t="str">
        <x:v>SO00561</x:v>
      </x:c>
      <x:c r="C562" t="str">
        <x:v>Q00880</x:v>
      </x:c>
      <x:c r="D562" t="str">
        <x:v>EMS-005</x:v>
      </x:c>
      <x:c r="E562" t="str">
        <x:v>S01</x:v>
      </x:c>
      <x:c r="F562" t="str">
        <x:v>PM-BRG-B</x:v>
      </x:c>
      <x:c r="G562" t="str">
        <x:v>精密金屬加工件</x:v>
      </x:c>
      <x:c r="H562" s="20" t="n">
        <x:v>46074</x:v>
      </x:c>
      <x:c r="I562" t="n">
        <x:v>800</x:v>
      </x:c>
      <x:c r="J562" t="n">
        <x:v>7904.15</x:v>
      </x:c>
      <x:c r="K562" t="str">
        <x:v>TWD</x:v>
      </x:c>
      <x:c r="L562" s="20" t="n">
        <x:v>46096</x:v>
      </x:c>
      <x:c r="M562" s="20" t="n">
        <x:v>46097</x:v>
      </x:c>
      <x:c r="N562" t="str">
        <x:v>否</x:v>
      </x:c>
      <x:c r="O562" t="str">
        <x:v>VIP</x:v>
      </x:c>
      <x:c r="P562" t="str">
        <x:v>部分出貨</x:v>
      </x:c>
    </x:row>
    <x:row r="563" ht="20" customHeight="1">
      <x:c r="A563" t="str">
        <x:v>SO00562-01</x:v>
      </x:c>
      <x:c r="B563" t="str">
        <x:v>SO00562</x:v>
      </x:c>
      <x:c r="C563" t="str">
        <x:v>Q00881</x:v>
      </x:c>
      <x:c r="D563" t="str">
        <x:v>AUT-012</x:v>
      </x:c>
      <x:c r="E563" t="str">
        <x:v>S06</x:v>
      </x:c>
      <x:c r="F563" t="str">
        <x:v>AUTO-KN-A</x:v>
      </x:c>
      <x:c r="G563" t="str">
        <x:v>汽車精密零組件</x:v>
      </x:c>
      <x:c r="H563" s="20" t="n">
        <x:v>46061</x:v>
      </x:c>
      <x:c r="I563" t="n">
        <x:v>3000</x:v>
      </x:c>
      <x:c r="J563" t="n">
        <x:v>3043.57</x:v>
      </x:c>
      <x:c r="K563" t="str">
        <x:v>TWD</x:v>
      </x:c>
      <x:c r="L563" s="20" t="n">
        <x:v>46083</x:v>
      </x:c>
      <x:c r="M563" s="20" t="n">
        <x:v>46083</x:v>
      </x:c>
      <x:c r="N563" t="str">
        <x:v>否</x:v>
      </x:c>
      <x:c r="O563" t="str">
        <x:v>VIP</x:v>
      </x:c>
      <x:c r="P563" t="str">
        <x:v>部分出貨</x:v>
      </x:c>
    </x:row>
    <x:row r="564" ht="20" customHeight="1">
      <x:c r="A564" t="str">
        <x:v>SO00563-01</x:v>
      </x:c>
      <x:c r="B564" t="str">
        <x:v>SO00563</x:v>
      </x:c>
      <x:c r="C564" t="str">
        <x:v>Q00882</x:v>
      </x:c>
      <x:c r="D564" t="str">
        <x:v>IAT-009</x:v>
      </x:c>
      <x:c r="E564" t="str">
        <x:v>S04</x:v>
      </x:c>
      <x:c r="F564" t="str">
        <x:v>MECH-STG-A</x:v>
      </x:c>
      <x:c r="G564" t="str">
        <x:v>機電／自動化模組</x:v>
      </x:c>
      <x:c r="H564" s="20" t="n">
        <x:v>46076</x:v>
      </x:c>
      <x:c r="I564" t="n">
        <x:v>10</x:v>
      </x:c>
      <x:c r="J564" t="n">
        <x:v>132614.57</x:v>
      </x:c>
      <x:c r="K564" t="str">
        <x:v>TWD</x:v>
      </x:c>
      <x:c r="L564" s="20" t="n">
        <x:v>46110</x:v>
      </x:c>
      <x:c r="M564" s="20" t="n">
        <x:v>46114</x:v>
      </x:c>
      <x:c r="N564" t="str">
        <x:v>否</x:v>
      </x:c>
      <x:c r="O564" t="str">
        <x:v>重要</x:v>
      </x:c>
      <x:c r="P564" t="str">
        <x:v>已出貨</x:v>
      </x:c>
    </x:row>
    <x:row r="565" ht="20" customHeight="1">
      <x:c r="A565" t="str">
        <x:v>SO00564-01</x:v>
      </x:c>
      <x:c r="B565" t="str">
        <x:v>SO00564</x:v>
      </x:c>
      <x:c r="C565" t="str">
        <x:v>Q00885</x:v>
      </x:c>
      <x:c r="D565" t="str">
        <x:v>IAT-007</x:v>
      </x:c>
      <x:c r="E565" t="str">
        <x:v>S04</x:v>
      </x:c>
      <x:c r="F565" t="str">
        <x:v>AUTO-BS-B</x:v>
      </x:c>
      <x:c r="G565" t="str">
        <x:v>汽車精密零組件</x:v>
      </x:c>
      <x:c r="H565" s="20" t="n">
        <x:v>46076</x:v>
      </x:c>
      <x:c r="I565" t="n">
        <x:v>10000</x:v>
      </x:c>
      <x:c r="J565" t="n">
        <x:v>914.26</x:v>
      </x:c>
      <x:c r="K565" t="str">
        <x:v>TWD</x:v>
      </x:c>
      <x:c r="L565" s="20" t="n">
        <x:v>46087</x:v>
      </x:c>
      <x:c r="M565" s="20" t="n">
        <x:v>46092</x:v>
      </x:c>
      <x:c r="N565" t="str">
        <x:v>是</x:v>
      </x:c>
      <x:c r="O565" t="str">
        <x:v>重要</x:v>
      </x:c>
      <x:c r="P565" t="str">
        <x:v>部分出貨</x:v>
      </x:c>
    </x:row>
    <x:row r="566" ht="20" customHeight="1">
      <x:c r="A566" t="str">
        <x:v>SO00565-01</x:v>
      </x:c>
      <x:c r="B566" t="str">
        <x:v>SO00565</x:v>
      </x:c>
      <x:c r="C566" t="str">
        <x:v>Q00886</x:v>
      </x:c>
      <x:c r="D566" t="str">
        <x:v>IAT-007</x:v>
      </x:c>
      <x:c r="E566" t="str">
        <x:v>S04</x:v>
      </x:c>
      <x:c r="F566" t="str">
        <x:v>MECH-CON-B</x:v>
      </x:c>
      <x:c r="G566" t="str">
        <x:v>機電／自動化模組</x:v>
      </x:c>
      <x:c r="H566" s="20" t="n">
        <x:v>46085</x:v>
      </x:c>
      <x:c r="I566" t="n">
        <x:v>20</x:v>
      </x:c>
      <x:c r="J566" t="n">
        <x:v>153182.79</x:v>
      </x:c>
      <x:c r="K566" t="str">
        <x:v>TWD</x:v>
      </x:c>
      <x:c r="L566" s="20" t="n">
        <x:v>46119</x:v>
      </x:c>
      <x:c r="M566" s="20" t="n">
        <x:v>46131</x:v>
      </x:c>
      <x:c r="N566" t="str">
        <x:v>是</x:v>
      </x:c>
      <x:c r="O566" t="str">
        <x:v>重要</x:v>
      </x:c>
      <x:c r="P566" t="str">
        <x:v>已出貨</x:v>
      </x:c>
    </x:row>
    <x:row r="567" ht="20" customHeight="1">
      <x:c r="A567" t="str">
        <x:v>SO00566-01</x:v>
      </x:c>
      <x:c r="B567" t="str">
        <x:v>SO00566</x:v>
      </x:c>
      <x:c r="C567" t="str">
        <x:v>Q00887</x:v>
      </x:c>
      <x:c r="D567" t="str">
        <x:v>AUT-001</x:v>
      </x:c>
      <x:c r="E567" t="str">
        <x:v>S01</x:v>
      </x:c>
      <x:c r="F567" t="str">
        <x:v>AUTO-MH-A</x:v>
      </x:c>
      <x:c r="G567" t="str">
        <x:v>汽車精密零組件</x:v>
      </x:c>
      <x:c r="H567" s="20" t="n">
        <x:v>46072</x:v>
      </x:c>
      <x:c r="I567" t="n">
        <x:v>13000</x:v>
      </x:c>
      <x:c r="J567" t="n">
        <x:v>2410.28</x:v>
      </x:c>
      <x:c r="K567" t="str">
        <x:v>TWD</x:v>
      </x:c>
      <x:c r="L567" s="20" t="n">
        <x:v>46089</x:v>
      </x:c>
      <x:c r="M567" s="20" t="n">
        <x:v>46093</x:v>
      </x:c>
      <x:c r="N567" t="str">
        <x:v>是</x:v>
      </x:c>
      <x:c r="O567" t="str">
        <x:v>VIP</x:v>
      </x:c>
      <x:c r="P567" t="str">
        <x:v>部分出貨</x:v>
      </x:c>
    </x:row>
    <x:row r="568" ht="20" customHeight="1">
      <x:c r="A568" t="str">
        <x:v>SO00567-01</x:v>
      </x:c>
      <x:c r="B568" t="str">
        <x:v>SO00567</x:v>
      </x:c>
      <x:c r="C568" t="str">
        <x:v>Q00888</x:v>
      </x:c>
      <x:c r="D568" t="str">
        <x:v>IAT-003</x:v>
      </x:c>
      <x:c r="E568" t="str">
        <x:v>S04</x:v>
      </x:c>
      <x:c r="F568" t="str">
        <x:v>PM-BRG-B</x:v>
      </x:c>
      <x:c r="G568" t="str">
        <x:v>精密金屬加工件</x:v>
      </x:c>
      <x:c r="H568" s="20" t="n">
        <x:v>46065</x:v>
      </x:c>
      <x:c r="I568" t="n">
        <x:v>500</x:v>
      </x:c>
      <x:c r="J568" t="n">
        <x:v>7738.49</x:v>
      </x:c>
      <x:c r="K568" t="str">
        <x:v>TWD</x:v>
      </x:c>
      <x:c r="L568" s="20" t="n">
        <x:v>46088</x:v>
      </x:c>
      <x:c r="M568" s="20" t="n">
        <x:v>46088</x:v>
      </x:c>
      <x:c r="N568" t="str">
        <x:v>否</x:v>
      </x:c>
      <x:c r="O568" t="str">
        <x:v>重要</x:v>
      </x:c>
      <x:c r="P568" t="str">
        <x:v>部分出貨</x:v>
      </x:c>
    </x:row>
    <x:row r="569" ht="20" customHeight="1">
      <x:c r="A569" t="str">
        <x:v>SO00568-01</x:v>
      </x:c>
      <x:c r="B569" t="str">
        <x:v>SO00568</x:v>
      </x:c>
      <x:c r="C569" t="str">
        <x:v>Q00892</x:v>
      </x:c>
      <x:c r="D569" t="str">
        <x:v>AFT-008</x:v>
      </x:c>
      <x:c r="E569" t="str">
        <x:v>S04</x:v>
      </x:c>
      <x:c r="F569" t="str">
        <x:v>AUTO-FL-A</x:v>
      </x:c>
      <x:c r="G569" t="str">
        <x:v>汽車精密零組件</x:v>
      </x:c>
      <x:c r="H569" s="20" t="n">
        <x:v>46080</x:v>
      </x:c>
      <x:c r="I569" t="n">
        <x:v>5000</x:v>
      </x:c>
      <x:c r="J569" t="n">
        <x:v>1282.79</x:v>
      </x:c>
      <x:c r="K569" t="str">
        <x:v>TWD</x:v>
      </x:c>
      <x:c r="L569" s="20" t="n">
        <x:v>46097</x:v>
      </x:c>
      <x:c r="M569" s="20" t="n">
        <x:v>46097</x:v>
      </x:c>
      <x:c r="N569" t="str">
        <x:v>否</x:v>
      </x:c>
      <x:c r="O569" t="str">
        <x:v>重要</x:v>
      </x:c>
      <x:c r="P569" t="str">
        <x:v>部分出貨</x:v>
      </x:c>
    </x:row>
    <x:row r="570" ht="20" customHeight="1">
      <x:c r="A570" t="str">
        <x:v>SO00569-01</x:v>
      </x:c>
      <x:c r="B570" t="str">
        <x:v>SO00569</x:v>
      </x:c>
      <x:c r="C570" t="str">
        <x:v>Q00893</x:v>
      </x:c>
      <x:c r="D570" t="str">
        <x:v>AFT-001</x:v>
      </x:c>
      <x:c r="E570" t="str">
        <x:v>S05</x:v>
      </x:c>
      <x:c r="F570" t="str">
        <x:v>AUTO-MH-A</x:v>
      </x:c>
      <x:c r="G570" t="str">
        <x:v>汽車精密零組件</x:v>
      </x:c>
      <x:c r="H570" s="20" t="n">
        <x:v>46077</x:v>
      </x:c>
      <x:c r="I570" t="n">
        <x:v>5000</x:v>
      </x:c>
      <x:c r="J570" t="n">
        <x:v>2459.98</x:v>
      </x:c>
      <x:c r="K570" t="str">
        <x:v>TWD</x:v>
      </x:c>
      <x:c r="L570" s="20" t="n">
        <x:v>46093</x:v>
      </x:c>
      <x:c r="M570" s="20" t="n">
        <x:v>46099</x:v>
      </x:c>
      <x:c r="N570" t="str">
        <x:v>是</x:v>
      </x:c>
      <x:c r="O570" t="str">
        <x:v>重要</x:v>
      </x:c>
      <x:c r="P570" t="str">
        <x:v>部分出貨</x:v>
      </x:c>
    </x:row>
    <x:row r="571" ht="20" customHeight="1">
      <x:c r="A571" t="str">
        <x:v>SO00570-01</x:v>
      </x:c>
      <x:c r="B571" t="str">
        <x:v>SO00570</x:v>
      </x:c>
      <x:c r="C571" t="str">
        <x:v>Q00894</x:v>
      </x:c>
      <x:c r="D571" t="str">
        <x:v>AFT-002</x:v>
      </x:c>
      <x:c r="E571" t="str">
        <x:v>S04</x:v>
      </x:c>
      <x:c r="F571" t="str">
        <x:v>AUTO-MH-B</x:v>
      </x:c>
      <x:c r="G571" t="str">
        <x:v>汽車精密零組件</x:v>
      </x:c>
      <x:c r="H571" s="20" t="n">
        <x:v>46088</x:v>
      </x:c>
      <x:c r="I571" t="n">
        <x:v>10000</x:v>
      </x:c>
      <x:c r="J571" t="n">
        <x:v>3087.54</x:v>
      </x:c>
      <x:c r="K571" t="str">
        <x:v>TWD</x:v>
      </x:c>
      <x:c r="L571" s="20" t="n">
        <x:v>46112</x:v>
      </x:c>
      <x:c r="M571" s="20" t="n">
        <x:v>46112</x:v>
      </x:c>
      <x:c r="N571" t="str">
        <x:v>是</x:v>
      </x:c>
      <x:c r="O571" t="str">
        <x:v>一般</x:v>
      </x:c>
      <x:c r="P571" t="str">
        <x:v>部分出貨</x:v>
      </x:c>
    </x:row>
    <x:row r="572" ht="20" customHeight="1">
      <x:c r="A572" t="str">
        <x:v>SO00571-01</x:v>
      </x:c>
      <x:c r="B572" t="str">
        <x:v>SO00571</x:v>
      </x:c>
      <x:c r="C572" t="str">
        <x:v>Q00897</x:v>
      </x:c>
      <x:c r="D572" t="str">
        <x:v>IAT-009</x:v>
      </x:c>
      <x:c r="E572" t="str">
        <x:v>S04</x:v>
      </x:c>
      <x:c r="F572" t="str">
        <x:v>MECH-CON-A</x:v>
      </x:c>
      <x:c r="G572" t="str">
        <x:v>機電／自動化模組</x:v>
      </x:c>
      <x:c r="H572" s="20" t="n">
        <x:v>46090</x:v>
      </x:c>
      <x:c r="I572" t="n">
        <x:v>30</x:v>
      </x:c>
      <x:c r="J572" t="n">
        <x:v>103976.38</x:v>
      </x:c>
      <x:c r="K572" t="str">
        <x:v>TWD</x:v>
      </x:c>
      <x:c r="L572" s="20" t="n">
        <x:v>46122</x:v>
      </x:c>
      <x:c r="M572" s="20" t="n">
        <x:v>46123</x:v>
      </x:c>
      <x:c r="N572" t="str">
        <x:v>否</x:v>
      </x:c>
      <x:c r="O572" t="str">
        <x:v>重要</x:v>
      </x:c>
      <x:c r="P572" t="str">
        <x:v>已出貨</x:v>
      </x:c>
    </x:row>
    <x:row r="573" ht="20" customHeight="1">
      <x:c r="A573" t="str">
        <x:v>SO00572-01</x:v>
      </x:c>
      <x:c r="B573" t="str">
        <x:v>SO00572</x:v>
      </x:c>
      <x:c r="C573" t="str">
        <x:v>Q00898</x:v>
      </x:c>
      <x:c r="D573" t="str">
        <x:v>AUT-006</x:v>
      </x:c>
      <x:c r="E573" t="str">
        <x:v>S03</x:v>
      </x:c>
      <x:c r="F573" t="str">
        <x:v>PM-VAC-A</x:v>
      </x:c>
      <x:c r="G573" t="str">
        <x:v>精密金屬加工件</x:v>
      </x:c>
      <x:c r="H573" s="20" t="n">
        <x:v>46066</x:v>
      </x:c>
      <x:c r="I573" t="n">
        <x:v>300</x:v>
      </x:c>
      <x:c r="J573" t="n">
        <x:v>16435.58</x:v>
      </x:c>
      <x:c r="K573" t="str">
        <x:v>TWD</x:v>
      </x:c>
      <x:c r="L573" s="20" t="n">
        <x:v>46087</x:v>
      </x:c>
      <x:c r="M573" s="20" t="n">
        <x:v>46094</x:v>
      </x:c>
      <x:c r="N573" t="str">
        <x:v>是</x:v>
      </x:c>
      <x:c r="O573" t="str">
        <x:v>一般</x:v>
      </x:c>
      <x:c r="P573" t="str">
        <x:v>部分出貨</x:v>
      </x:c>
    </x:row>
    <x:row r="574" ht="20" customHeight="1">
      <x:c r="A574" t="str">
        <x:v>SO00573-01</x:v>
      </x:c>
      <x:c r="B574" t="str">
        <x:v>SO00573</x:v>
      </x:c>
      <x:c r="C574" t="str">
        <x:v>Q00899</x:v>
      </x:c>
      <x:c r="D574" t="str">
        <x:v>IAT-006</x:v>
      </x:c>
      <x:c r="E574" t="str">
        <x:v>S01</x:v>
      </x:c>
      <x:c r="F574" t="str">
        <x:v>PM-SUS-B</x:v>
      </x:c>
      <x:c r="G574" t="str">
        <x:v>精密金屬加工件</x:v>
      </x:c>
      <x:c r="H574" s="20" t="n">
        <x:v>46118</x:v>
      </x:c>
      <x:c r="I574" t="n">
        <x:v>1600</x:v>
      </x:c>
      <x:c r="J574" t="n">
        <x:v>15206.79</x:v>
      </x:c>
      <x:c r="K574" t="str">
        <x:v>TWD</x:v>
      </x:c>
      <x:c r="L574" s="20" t="n">
        <x:v>46144</x:v>
      </x:c>
      <x:c r="M574" s="20" t="n">
        <x:v>46144</x:v>
      </x:c>
      <x:c r="N574" t="str">
        <x:v>否</x:v>
      </x:c>
      <x:c r="O574" t="str">
        <x:v>重要</x:v>
      </x:c>
      <x:c r="P574" t="str">
        <x:v>部分出貨</x:v>
      </x:c>
    </x:row>
    <x:row r="575" ht="20" customHeight="1">
      <x:c r="A575" t="str">
        <x:v>SO00574-01</x:v>
      </x:c>
      <x:c r="B575" t="str">
        <x:v>SO00574</x:v>
      </x:c>
      <x:c r="C575" t="str">
        <x:v>Q00902</x:v>
      </x:c>
      <x:c r="D575" t="str">
        <x:v>IAT-004</x:v>
      </x:c>
      <x:c r="E575" t="str">
        <x:v>S05</x:v>
      </x:c>
      <x:c r="F575" t="str">
        <x:v>SEMI-CHB-A</x:v>
      </x:c>
      <x:c r="G575" t="str">
        <x:v>半導體設備零組件</x:v>
      </x:c>
      <x:c r="H575" s="20" t="n">
        <x:v>46103</x:v>
      </x:c>
      <x:c r="I575" t="n">
        <x:v>80</x:v>
      </x:c>
      <x:c r="J575" t="n">
        <x:v>91618.74</x:v>
      </x:c>
      <x:c r="K575" t="str">
        <x:v>TWD</x:v>
      </x:c>
      <x:c r="L575" s="20" t="n">
        <x:v>46153</x:v>
      </x:c>
      <x:c r="M575" s="20" t="n">
        <x:v>46153</x:v>
      </x:c>
      <x:c r="N575" t="str">
        <x:v>否</x:v>
      </x:c>
      <x:c r="O575" t="str">
        <x:v>重要</x:v>
      </x:c>
      <x:c r="P575" t="str">
        <x:v>部分出貨</x:v>
      </x:c>
    </x:row>
    <x:row r="576" ht="20" customHeight="1">
      <x:c r="A576" t="str">
        <x:v>SO00575-01</x:v>
      </x:c>
      <x:c r="B576" t="str">
        <x:v>SO00575</x:v>
      </x:c>
      <x:c r="C576" t="str">
        <x:v>Q00906</x:v>
      </x:c>
      <x:c r="D576" t="str">
        <x:v>AFT-004</x:v>
      </x:c>
      <x:c r="E576" t="str">
        <x:v>S02</x:v>
      </x:c>
      <x:c r="F576" t="str">
        <x:v>AUTO-FL-A</x:v>
      </x:c>
      <x:c r="G576" t="str">
        <x:v>汽車精密零組件</x:v>
      </x:c>
      <x:c r="H576" s="20" t="n">
        <x:v>46103</x:v>
      </x:c>
      <x:c r="I576" t="n">
        <x:v>13000</x:v>
      </x:c>
      <x:c r="J576" t="n">
        <x:v>1303.02</x:v>
      </x:c>
      <x:c r="K576" t="str">
        <x:v>TWD</x:v>
      </x:c>
      <x:c r="L576" s="20" t="n">
        <x:v>46119</x:v>
      </x:c>
      <x:c r="M576" s="20" t="n">
        <x:v>46119</x:v>
      </x:c>
      <x:c r="N576" t="str">
        <x:v>否</x:v>
      </x:c>
      <x:c r="O576" t="str">
        <x:v>重要</x:v>
      </x:c>
      <x:c r="P576" t="str">
        <x:v>部分出貨</x:v>
      </x:c>
    </x:row>
    <x:row r="577" ht="20" customHeight="1">
      <x:c r="A577" t="str">
        <x:v>SO00576-01</x:v>
      </x:c>
      <x:c r="B577" t="str">
        <x:v>SO00576</x:v>
      </x:c>
      <x:c r="C577" t="str">
        <x:v>Q00908</x:v>
      </x:c>
      <x:c r="D577" t="str">
        <x:v>AUT-006</x:v>
      </x:c>
      <x:c r="E577" t="str">
        <x:v>S03</x:v>
      </x:c>
      <x:c r="F577" t="str">
        <x:v>PM-SUS-A</x:v>
      </x:c>
      <x:c r="G577" t="str">
        <x:v>精密金屬加工件</x:v>
      </x:c>
      <x:c r="H577" s="20" t="n">
        <x:v>46098</x:v>
      </x:c>
      <x:c r="I577" t="n">
        <x:v>1600</x:v>
      </x:c>
      <x:c r="J577" t="n">
        <x:v>10590.76</x:v>
      </x:c>
      <x:c r="K577" t="str">
        <x:v>TWD</x:v>
      </x:c>
      <x:c r="L577" s="20" t="n">
        <x:v>46122</x:v>
      </x:c>
      <x:c r="M577" s="20" t="n">
        <x:v>46122</x:v>
      </x:c>
      <x:c r="N577" t="str">
        <x:v>是</x:v>
      </x:c>
      <x:c r="O577" t="str">
        <x:v>一般</x:v>
      </x:c>
      <x:c r="P577" t="str">
        <x:v>部分出貨</x:v>
      </x:c>
    </x:row>
    <x:row r="578" ht="20" customHeight="1">
      <x:c r="A578" t="str">
        <x:v>SO00577-01</x:v>
      </x:c>
      <x:c r="B578" t="str">
        <x:v>SO00577</x:v>
      </x:c>
      <x:c r="C578" t="str">
        <x:v>Q00909</x:v>
      </x:c>
      <x:c r="D578" t="str">
        <x:v>AUT-012</x:v>
      </x:c>
      <x:c r="E578" t="str">
        <x:v>S06</x:v>
      </x:c>
      <x:c r="F578" t="str">
        <x:v>PM-VAC-B</x:v>
      </x:c>
      <x:c r="G578" t="str">
        <x:v>精密金屬加工件</x:v>
      </x:c>
      <x:c r="H578" s="20" t="n">
        <x:v>46122</x:v>
      </x:c>
      <x:c r="I578" t="n">
        <x:v>1200</x:v>
      </x:c>
      <x:c r="J578" t="n">
        <x:v>20341.72</x:v>
      </x:c>
      <x:c r="K578" t="str">
        <x:v>TWD</x:v>
      </x:c>
      <x:c r="L578" s="20" t="n">
        <x:v>46159</x:v>
      </x:c>
      <x:c r="M578" s="20" t="n">
        <x:v>46159</x:v>
      </x:c>
      <x:c r="N578" t="str">
        <x:v>否</x:v>
      </x:c>
      <x:c r="O578" t="str">
        <x:v>VIP</x:v>
      </x:c>
      <x:c r="P578" t="str">
        <x:v>部分出貨</x:v>
      </x:c>
    </x:row>
    <x:row r="579" ht="20" customHeight="1">
      <x:c r="A579" t="str">
        <x:v>SO00578-01</x:v>
      </x:c>
      <x:c r="B579" t="str">
        <x:v>SO00578</x:v>
      </x:c>
      <x:c r="C579" t="str">
        <x:v>Q00911</x:v>
      </x:c>
      <x:c r="D579" t="str">
        <x:v>AUT-010</x:v>
      </x:c>
      <x:c r="E579" t="str">
        <x:v>S05</x:v>
      </x:c>
      <x:c r="F579" t="str">
        <x:v>AUTO-BS-A</x:v>
      </x:c>
      <x:c r="G579" t="str">
        <x:v>汽車精密零組件</x:v>
      </x:c>
      <x:c r="H579" s="20" t="n">
        <x:v>46111</x:v>
      </x:c>
      <x:c r="I579" t="n">
        <x:v>13000</x:v>
      </x:c>
      <x:c r="J579" t="n">
        <x:v>682.72</x:v>
      </x:c>
      <x:c r="K579" t="str">
        <x:v>TWD</x:v>
      </x:c>
      <x:c r="L579" s="20" t="n">
        <x:v>46122</x:v>
      </x:c>
      <x:c r="M579" s="20" t="n">
        <x:v>46125</x:v>
      </x:c>
      <x:c r="N579" t="str">
        <x:v>是</x:v>
      </x:c>
      <x:c r="O579" t="str">
        <x:v>VIP</x:v>
      </x:c>
      <x:c r="P579" t="str">
        <x:v>部分出貨</x:v>
      </x:c>
    </x:row>
    <x:row r="580" ht="20" customHeight="1">
      <x:c r="A580" t="str">
        <x:v>SO00579-01</x:v>
      </x:c>
      <x:c r="B580" t="str">
        <x:v>SO00579</x:v>
      </x:c>
      <x:c r="C580" t="str">
        <x:v>Q00912</x:v>
      </x:c>
      <x:c r="D580" t="str">
        <x:v>AUT-013</x:v>
      </x:c>
      <x:c r="E580" t="str">
        <x:v>S01</x:v>
      </x:c>
      <x:c r="F580" t="str">
        <x:v>AUTO-BS-B</x:v>
      </x:c>
      <x:c r="G580" t="str">
        <x:v>汽車精密零組件</x:v>
      </x:c>
      <x:c r="H580" s="20" t="n">
        <x:v>46102</x:v>
      </x:c>
      <x:c r="I580" t="n">
        <x:v>10000</x:v>
      </x:c>
      <x:c r="J580" t="n">
        <x:v>861.24</x:v>
      </x:c>
      <x:c r="K580" t="str">
        <x:v>TWD</x:v>
      </x:c>
      <x:c r="L580" s="20" t="n">
        <x:v>46118</x:v>
      </x:c>
      <x:c r="M580" s="20" t="n">
        <x:v>46118</x:v>
      </x:c>
      <x:c r="N580" t="str">
        <x:v>否</x:v>
      </x:c>
      <x:c r="O580" t="str">
        <x:v>重要</x:v>
      </x:c>
      <x:c r="P580" t="str">
        <x:v>部分出貨</x:v>
      </x:c>
    </x:row>
    <x:row r="581" ht="20" customHeight="1">
      <x:c r="A581" t="str">
        <x:v>SO00580-01</x:v>
      </x:c>
      <x:c r="B581" t="str">
        <x:v>SO00580</x:v>
      </x:c>
      <x:c r="C581" t="str">
        <x:v>Q00913</x:v>
      </x:c>
      <x:c r="D581" t="str">
        <x:v>IAT-007</x:v>
      </x:c>
      <x:c r="E581" t="str">
        <x:v>S04</x:v>
      </x:c>
      <x:c r="F581" t="str">
        <x:v>SEMI-WH-A</x:v>
      </x:c>
      <x:c r="G581" t="str">
        <x:v>半導體設備零組件</x:v>
      </x:c>
      <x:c r="H581" s="20" t="n">
        <x:v>46101</x:v>
      </x:c>
      <x:c r="I581" t="n">
        <x:v>80</x:v>
      </x:c>
      <x:c r="J581" t="n">
        <x:v>114504.6</x:v>
      </x:c>
      <x:c r="K581" t="str">
        <x:v>TWD</x:v>
      </x:c>
      <x:c r="L581" s="20" t="n">
        <x:v>46142</x:v>
      </x:c>
      <x:c r="M581" s="20" t="n">
        <x:v>46154</x:v>
      </x:c>
      <x:c r="N581" t="str">
        <x:v>否</x:v>
      </x:c>
      <x:c r="O581" t="str">
        <x:v>重要</x:v>
      </x:c>
      <x:c r="P581" t="str">
        <x:v>部分出貨</x:v>
      </x:c>
    </x:row>
    <x:row r="582" ht="20" customHeight="1">
      <x:c r="A582" t="str">
        <x:v>SO00581-01</x:v>
      </x:c>
      <x:c r="B582" t="str">
        <x:v>SO00581</x:v>
      </x:c>
      <x:c r="C582" t="str">
        <x:v>Q00914</x:v>
      </x:c>
      <x:c r="D582" t="str">
        <x:v>AFT-001</x:v>
      </x:c>
      <x:c r="E582" t="str">
        <x:v>S05</x:v>
      </x:c>
      <x:c r="F582" t="str">
        <x:v>PM-ALB-B</x:v>
      </x:c>
      <x:c r="G582" t="str">
        <x:v>精密金屬加工件</x:v>
      </x:c>
      <x:c r="H582" s="20" t="n">
        <x:v>46105</x:v>
      </x:c>
      <x:c r="I582" t="n">
        <x:v>1200</x:v>
      </x:c>
      <x:c r="J582" t="n">
        <x:v>15749.23</x:v>
      </x:c>
      <x:c r="K582" t="str">
        <x:v>TWD</x:v>
      </x:c>
      <x:c r="L582" s="20" t="n">
        <x:v>46128</x:v>
      </x:c>
      <x:c r="M582" s="20" t="n">
        <x:v>46135</x:v>
      </x:c>
      <x:c r="N582" t="str">
        <x:v>是</x:v>
      </x:c>
      <x:c r="O582" t="str">
        <x:v>重要</x:v>
      </x:c>
      <x:c r="P582" t="str">
        <x:v>部分出貨</x:v>
      </x:c>
    </x:row>
    <x:row r="583" ht="20" customHeight="1">
      <x:c r="A583" t="str">
        <x:v>SO00582-01</x:v>
      </x:c>
      <x:c r="B583" t="str">
        <x:v>SO00582</x:v>
      </x:c>
      <x:c r="C583" t="str">
        <x:v>Q00915</x:v>
      </x:c>
      <x:c r="D583" t="str">
        <x:v>AUT-014</x:v>
      </x:c>
      <x:c r="E583" t="str">
        <x:v>S06</x:v>
      </x:c>
      <x:c r="F583" t="str">
        <x:v>PM-ALB-B</x:v>
      </x:c>
      <x:c r="G583" t="str">
        <x:v>精密金屬加工件</x:v>
      </x:c>
      <x:c r="H583" s="20" t="n">
        <x:v>46109</x:v>
      </x:c>
      <x:c r="I583" t="n">
        <x:v>1600</x:v>
      </x:c>
      <x:c r="J583" t="n">
        <x:v>16130.57</x:v>
      </x:c>
      <x:c r="K583" t="str">
        <x:v>TWD</x:v>
      </x:c>
      <x:c r="L583" s="20" t="n">
        <x:v>46138</x:v>
      </x:c>
      <x:c r="M583" s="20" t="n">
        <x:v>46139</x:v>
      </x:c>
      <x:c r="N583" t="str">
        <x:v>否</x:v>
      </x:c>
      <x:c r="O583" t="str">
        <x:v>重要</x:v>
      </x:c>
      <x:c r="P583" t="str">
        <x:v>部分出貨</x:v>
      </x:c>
    </x:row>
    <x:row r="584" ht="20" customHeight="1">
      <x:c r="A584" t="str">
        <x:v>SO00583-01</x:v>
      </x:c>
      <x:c r="B584" t="str">
        <x:v>SO00583</x:v>
      </x:c>
      <x:c r="C584" t="str">
        <x:v>Q00916</x:v>
      </x:c>
      <x:c r="D584" t="str">
        <x:v>EMS-004</x:v>
      </x:c>
      <x:c r="E584" t="str">
        <x:v>S03</x:v>
      </x:c>
      <x:c r="F584" t="str">
        <x:v>SEMI-CHB-B</x:v>
      </x:c>
      <x:c r="G584" t="str">
        <x:v>半導體設備零組件</x:v>
      </x:c>
      <x:c r="H584" s="20" t="n">
        <x:v>46107</x:v>
      </x:c>
      <x:c r="I584" t="n">
        <x:v>120</x:v>
      </x:c>
      <x:c r="J584" t="n">
        <x:v>146575.79</x:v>
      </x:c>
      <x:c r="K584" t="str">
        <x:v>TWD</x:v>
      </x:c>
      <x:c r="L584" s="20" t="n">
        <x:v>46147</x:v>
      </x:c>
      <x:c r="M584" s="20" t="n">
        <x:v>46160</x:v>
      </x:c>
      <x:c r="N584" t="str">
        <x:v>是</x:v>
      </x:c>
      <x:c r="O584" t="str">
        <x:v>VIP</x:v>
      </x:c>
      <x:c r="P584" t="str">
        <x:v>部分出貨</x:v>
      </x:c>
    </x:row>
    <x:row r="585" ht="20" customHeight="1">
      <x:c r="A585" t="str">
        <x:v>SO00584-01</x:v>
      </x:c>
      <x:c r="B585" t="str">
        <x:v>SO00584</x:v>
      </x:c>
      <x:c r="C585" t="str">
        <x:v>Q00917</x:v>
      </x:c>
      <x:c r="D585" t="str">
        <x:v>IAT-003</x:v>
      </x:c>
      <x:c r="E585" t="str">
        <x:v>S04</x:v>
      </x:c>
      <x:c r="F585" t="str">
        <x:v>AUTO-BRK-B</x:v>
      </x:c>
      <x:c r="G585" t="str">
        <x:v>汽車精密零組件</x:v>
      </x:c>
      <x:c r="H585" s="20" t="n">
        <x:v>46091</x:v>
      </x:c>
      <x:c r="I585" t="n">
        <x:v>5000</x:v>
      </x:c>
      <x:c r="J585" t="n">
        <x:v>2183.24</x:v>
      </x:c>
      <x:c r="K585" t="str">
        <x:v>TWD</x:v>
      </x:c>
      <x:c r="L585" s="20" t="n">
        <x:v>46112</x:v>
      </x:c>
      <x:c r="M585" s="20" t="n">
        <x:v>46112</x:v>
      </x:c>
      <x:c r="N585" t="str">
        <x:v>否</x:v>
      </x:c>
      <x:c r="O585" t="str">
        <x:v>重要</x:v>
      </x:c>
      <x:c r="P585" t="str">
        <x:v>部分出貨</x:v>
      </x:c>
    </x:row>
    <x:row r="586" ht="20" customHeight="1">
      <x:c r="A586" t="str">
        <x:v>SO00585-01</x:v>
      </x:c>
      <x:c r="B586" t="str">
        <x:v>SO00585</x:v>
      </x:c>
      <x:c r="C586" t="str">
        <x:v>Q00918</x:v>
      </x:c>
      <x:c r="D586" t="str">
        <x:v>AUT-001</x:v>
      </x:c>
      <x:c r="E586" t="str">
        <x:v>S01</x:v>
      </x:c>
      <x:c r="F586" t="str">
        <x:v>AUTO-FL-B</x:v>
      </x:c>
      <x:c r="G586" t="str">
        <x:v>汽車精密零組件</x:v>
      </x:c>
      <x:c r="H586" s="20" t="n">
        <x:v>46103</x:v>
      </x:c>
      <x:c r="I586" t="n">
        <x:v>7000</x:v>
      </x:c>
      <x:c r="J586" t="n">
        <x:v>1385.1</x:v>
      </x:c>
      <x:c r="K586" t="str">
        <x:v>TWD</x:v>
      </x:c>
      <x:c r="L586" s="20" t="n">
        <x:v>46121</x:v>
      </x:c>
      <x:c r="M586" s="20" t="n">
        <x:v>46121</x:v>
      </x:c>
      <x:c r="N586" t="str">
        <x:v>否</x:v>
      </x:c>
      <x:c r="O586" t="str">
        <x:v>VIP</x:v>
      </x:c>
      <x:c r="P586" t="str">
        <x:v>部分出貨</x:v>
      </x:c>
    </x:row>
    <x:row r="587" ht="20" customHeight="1">
      <x:c r="A587" t="str">
        <x:v>SO00586-01</x:v>
      </x:c>
      <x:c r="B587" t="str">
        <x:v>SO00586</x:v>
      </x:c>
      <x:c r="C587" t="str">
        <x:v>Q00920</x:v>
      </x:c>
      <x:c r="D587" t="str">
        <x:v>AFT-001</x:v>
      </x:c>
      <x:c r="E587" t="str">
        <x:v>S05</x:v>
      </x:c>
      <x:c r="F587" t="str">
        <x:v>AUTO-FL-B</x:v>
      </x:c>
      <x:c r="G587" t="str">
        <x:v>汽車精密零組件</x:v>
      </x:c>
      <x:c r="H587" s="20" t="n">
        <x:v>46106</x:v>
      </x:c>
      <x:c r="I587" t="n">
        <x:v>13000</x:v>
      </x:c>
      <x:c r="J587" t="n">
        <x:v>1510.77</x:v>
      </x:c>
      <x:c r="K587" t="str">
        <x:v>TWD</x:v>
      </x:c>
      <x:c r="L587" s="20" t="n">
        <x:v>46124</x:v>
      </x:c>
      <x:c r="M587" s="20" t="n">
        <x:v>46124</x:v>
      </x:c>
      <x:c r="N587" t="str">
        <x:v>否</x:v>
      </x:c>
      <x:c r="O587" t="str">
        <x:v>重要</x:v>
      </x:c>
      <x:c r="P587" t="str">
        <x:v>部分出貨</x:v>
      </x:c>
    </x:row>
    <x:row r="588" ht="20" customHeight="1">
      <x:c r="A588" t="str">
        <x:v>SO00587-01</x:v>
      </x:c>
      <x:c r="B588" t="str">
        <x:v>SO00587</x:v>
      </x:c>
      <x:c r="C588" t="str">
        <x:v>Q00921</x:v>
      </x:c>
      <x:c r="D588" t="str">
        <x:v>SEM-010</x:v>
      </x:c>
      <x:c r="E588" t="str">
        <x:v>S01</x:v>
      </x:c>
      <x:c r="F588" t="str">
        <x:v>PM-VAC-B</x:v>
      </x:c>
      <x:c r="G588" t="str">
        <x:v>精密金屬加工件</x:v>
      </x:c>
      <x:c r="H588" s="20" t="n">
        <x:v>46093</x:v>
      </x:c>
      <x:c r="I588" t="n">
        <x:v>500</x:v>
      </x:c>
      <x:c r="J588" t="n">
        <x:v>21877.69</x:v>
      </x:c>
      <x:c r="K588" t="str">
        <x:v>TWD</x:v>
      </x:c>
      <x:c r="L588" s="20" t="n">
        <x:v>46123</x:v>
      </x:c>
      <x:c r="M588" s="20" t="n">
        <x:v>46128</x:v>
      </x:c>
      <x:c r="N588" t="str">
        <x:v>否</x:v>
      </x:c>
      <x:c r="O588" t="str">
        <x:v>一般</x:v>
      </x:c>
      <x:c r="P588" t="str">
        <x:v>部分出貨</x:v>
      </x:c>
    </x:row>
    <x:row r="589" ht="20" customHeight="1">
      <x:c r="A589" t="str">
        <x:v>SO00588-01</x:v>
      </x:c>
      <x:c r="B589" t="str">
        <x:v>SO00588</x:v>
      </x:c>
      <x:c r="C589" t="str">
        <x:v>Q00923</x:v>
      </x:c>
      <x:c r="D589" t="str">
        <x:v>IAT-003</x:v>
      </x:c>
      <x:c r="E589" t="str">
        <x:v>S04</x:v>
      </x:c>
      <x:c r="F589" t="str">
        <x:v>AUTO-BS-B</x:v>
      </x:c>
      <x:c r="G589" t="str">
        <x:v>汽車精密零組件</x:v>
      </x:c>
      <x:c r="H589" s="20" t="n">
        <x:v>46092</x:v>
      </x:c>
      <x:c r="I589" t="n">
        <x:v>5000</x:v>
      </x:c>
      <x:c r="J589" t="n">
        <x:v>907.91</x:v>
      </x:c>
      <x:c r="K589" t="str">
        <x:v>TWD</x:v>
      </x:c>
      <x:c r="L589" s="20" t="n">
        <x:v>46108</x:v>
      </x:c>
      <x:c r="M589" s="20" t="n">
        <x:v>46108</x:v>
      </x:c>
      <x:c r="N589" t="str">
        <x:v>否</x:v>
      </x:c>
      <x:c r="O589" t="str">
        <x:v>重要</x:v>
      </x:c>
      <x:c r="P589" t="str">
        <x:v>部分出貨</x:v>
      </x:c>
    </x:row>
    <x:row r="590" ht="20" customHeight="1">
      <x:c r="A590" t="str">
        <x:v>SO00589-01</x:v>
      </x:c>
      <x:c r="B590" t="str">
        <x:v>SO00589</x:v>
      </x:c>
      <x:c r="C590" t="str">
        <x:v>Q00927</x:v>
      </x:c>
      <x:c r="D590" t="str">
        <x:v>AUT-003</x:v>
      </x:c>
      <x:c r="E590" t="str">
        <x:v>S03</x:v>
      </x:c>
      <x:c r="F590" t="str">
        <x:v>MECH-CON-B</x:v>
      </x:c>
      <x:c r="G590" t="str">
        <x:v>機電／自動化模組</x:v>
      </x:c>
      <x:c r="H590" s="20" t="n">
        <x:v>46129</x:v>
      </x:c>
      <x:c r="I590" t="n">
        <x:v>50</x:v>
      </x:c>
      <x:c r="J590" t="n">
        <x:v>161259.34</x:v>
      </x:c>
      <x:c r="K590" t="str">
        <x:v>TWD</x:v>
      </x:c>
      <x:c r="L590" s="20" t="n">
        <x:v>46167</x:v>
      </x:c>
      <x:c r="M590" s="20" t="n">
        <x:v>46174</x:v>
      </x:c>
      <x:c r="N590" t="str">
        <x:v>是</x:v>
      </x:c>
      <x:c r="O590" t="str">
        <x:v>VIP</x:v>
      </x:c>
      <x:c r="P590" t="str">
        <x:v>已出貨</x:v>
      </x:c>
    </x:row>
    <x:row r="591" ht="20" customHeight="1">
      <x:c r="A591" t="str">
        <x:v>SO00590-01</x:v>
      </x:c>
      <x:c r="B591" t="str">
        <x:v>SO00590</x:v>
      </x:c>
      <x:c r="C591" t="str">
        <x:v>Q00929</x:v>
      </x:c>
      <x:c r="D591" t="str">
        <x:v>EMS-007</x:v>
      </x:c>
      <x:c r="E591" t="str">
        <x:v>S04</x:v>
      </x:c>
      <x:c r="F591" t="str">
        <x:v>PM-BRG-B</x:v>
      </x:c>
      <x:c r="G591" t="str">
        <x:v>精密金屬加工件</x:v>
      </x:c>
      <x:c r="H591" s="20" t="n">
        <x:v>46147</x:v>
      </x:c>
      <x:c r="I591" t="n">
        <x:v>500</x:v>
      </x:c>
      <x:c r="J591" t="n">
        <x:v>7974.12</x:v>
      </x:c>
      <x:c r="K591" t="str">
        <x:v>TWD</x:v>
      </x:c>
      <x:c r="L591" s="20" t="n">
        <x:v>46172</x:v>
      </x:c>
      <x:c r="M591" s="20" t="n">
        <x:v>46172</x:v>
      </x:c>
      <x:c r="N591" t="str">
        <x:v>否</x:v>
      </x:c>
      <x:c r="O591" t="str">
        <x:v>一般</x:v>
      </x:c>
      <x:c r="P591" t="str">
        <x:v>部分出貨</x:v>
      </x:c>
    </x:row>
    <x:row r="592" ht="20" customHeight="1">
      <x:c r="A592" t="str">
        <x:v>SO00591-01</x:v>
      </x:c>
      <x:c r="B592" t="str">
        <x:v>SO00591</x:v>
      </x:c>
      <x:c r="C592" t="str">
        <x:v>Q00930</x:v>
      </x:c>
      <x:c r="D592" t="str">
        <x:v>IAT-010</x:v>
      </x:c>
      <x:c r="E592" t="str">
        <x:v>S04</x:v>
      </x:c>
      <x:c r="F592" t="str">
        <x:v>AUTO-BS-A</x:v>
      </x:c>
      <x:c r="G592" t="str">
        <x:v>汽車精密零組件</x:v>
      </x:c>
      <x:c r="H592" s="20" t="n">
        <x:v>46122</x:v>
      </x:c>
      <x:c r="I592" t="n">
        <x:v>13000</x:v>
      </x:c>
      <x:c r="J592" t="n">
        <x:v>777.58</x:v>
      </x:c>
      <x:c r="K592" t="str">
        <x:v>TWD</x:v>
      </x:c>
      <x:c r="L592" s="20" t="n">
        <x:v>46136</x:v>
      </x:c>
      <x:c r="M592" s="20" t="n">
        <x:v>46137</x:v>
      </x:c>
      <x:c r="N592" t="str">
        <x:v>否</x:v>
      </x:c>
      <x:c r="O592" t="str">
        <x:v>重要</x:v>
      </x:c>
      <x:c r="P592" t="str">
        <x:v>部分出貨</x:v>
      </x:c>
    </x:row>
    <x:row r="593" ht="20" customHeight="1">
      <x:c r="A593" t="str">
        <x:v>SO00592-01</x:v>
      </x:c>
      <x:c r="B593" t="str">
        <x:v>SO00592</x:v>
      </x:c>
      <x:c r="C593" t="str">
        <x:v>Q00931</x:v>
      </x:c>
      <x:c r="D593" t="str">
        <x:v>AUT-002</x:v>
      </x:c>
      <x:c r="E593" t="str">
        <x:v>S04</x:v>
      </x:c>
      <x:c r="F593" t="str">
        <x:v>AUTO-KN-A</x:v>
      </x:c>
      <x:c r="G593" t="str">
        <x:v>汽車精密零組件</x:v>
      </x:c>
      <x:c r="H593" s="20" t="n">
        <x:v>46129</x:v>
      </x:c>
      <x:c r="I593" t="n">
        <x:v>7000</x:v>
      </x:c>
      <x:c r="J593" t="n">
        <x:v>3165.62</x:v>
      </x:c>
      <x:c r="K593" t="str">
        <x:v>TWD</x:v>
      </x:c>
      <x:c r="L593" s="20" t="n">
        <x:v>46154</x:v>
      </x:c>
      <x:c r="M593" s="20" t="n">
        <x:v>46154</x:v>
      </x:c>
      <x:c r="N593" t="str">
        <x:v>是</x:v>
      </x:c>
      <x:c r="O593" t="str">
        <x:v>重要</x:v>
      </x:c>
      <x:c r="P593" t="str">
        <x:v>部分出貨</x:v>
      </x:c>
    </x:row>
    <x:row r="594" ht="20" customHeight="1">
      <x:c r="A594" t="str">
        <x:v>SO00593-01</x:v>
      </x:c>
      <x:c r="B594" t="str">
        <x:v>SO00593</x:v>
      </x:c>
      <x:c r="C594" t="str">
        <x:v>Q00932</x:v>
      </x:c>
      <x:c r="D594" t="str">
        <x:v>IAT-008</x:v>
      </x:c>
      <x:c r="E594" t="str">
        <x:v>S01</x:v>
      </x:c>
      <x:c r="F594" t="str">
        <x:v>MECH-CON-A</x:v>
      </x:c>
      <x:c r="G594" t="str">
        <x:v>機電／自動化模組</x:v>
      </x:c>
      <x:c r="H594" s="20" t="n">
        <x:v>46151</x:v>
      </x:c>
      <x:c r="I594" t="n">
        <x:v>40</x:v>
      </x:c>
      <x:c r="J594" t="n">
        <x:v>113393.09</x:v>
      </x:c>
      <x:c r="K594" t="str">
        <x:v>TWD</x:v>
      </x:c>
      <x:c r="L594" s="20" t="n">
        <x:v>46190</x:v>
      </x:c>
      <x:c r="M594" s="20" t="n">
        <x:v>46190</x:v>
      </x:c>
      <x:c r="N594" t="str">
        <x:v>否</x:v>
      </x:c>
      <x:c r="O594" t="str">
        <x:v>重要</x:v>
      </x:c>
      <x:c r="P594" t="str">
        <x:v>部分出貨</x:v>
      </x:c>
    </x:row>
    <x:row r="595" ht="20" customHeight="1">
      <x:c r="A595" t="str">
        <x:v>SO00594-01</x:v>
      </x:c>
      <x:c r="B595" t="str">
        <x:v>SO00594</x:v>
      </x:c>
      <x:c r="C595" t="str">
        <x:v>Q00933</x:v>
      </x:c>
      <x:c r="D595" t="str">
        <x:v>AUT-014</x:v>
      </x:c>
      <x:c r="E595" t="str">
        <x:v>S06</x:v>
      </x:c>
      <x:c r="F595" t="str">
        <x:v>AUTO-BS-B</x:v>
      </x:c>
      <x:c r="G595" t="str">
        <x:v>汽車精密零組件</x:v>
      </x:c>
      <x:c r="H595" s="20" t="n">
        <x:v>46147</x:v>
      </x:c>
      <x:c r="I595" t="n">
        <x:v>7000</x:v>
      </x:c>
      <x:c r="J595" t="n">
        <x:v>934.57</x:v>
      </x:c>
      <x:c r="K595" t="str">
        <x:v>TWD</x:v>
      </x:c>
      <x:c r="L595" s="20" t="n">
        <x:v>46159</x:v>
      </x:c>
      <x:c r="M595" s="20" t="n">
        <x:v>46162</x:v>
      </x:c>
      <x:c r="N595" t="str">
        <x:v>是</x:v>
      </x:c>
      <x:c r="O595" t="str">
        <x:v>重要</x:v>
      </x:c>
      <x:c r="P595" t="str">
        <x:v>部分出貨</x:v>
      </x:c>
    </x:row>
    <x:row r="596" ht="20" customHeight="1">
      <x:c r="A596" t="str">
        <x:v>SO00595-01</x:v>
      </x:c>
      <x:c r="B596" t="str">
        <x:v>SO00595</x:v>
      </x:c>
      <x:c r="C596" t="str">
        <x:v>Q00937</x:v>
      </x:c>
      <x:c r="D596" t="str">
        <x:v>AUT-006</x:v>
      </x:c>
      <x:c r="E596" t="str">
        <x:v>S03</x:v>
      </x:c>
      <x:c r="F596" t="str">
        <x:v>PM-BRG-B</x:v>
      </x:c>
      <x:c r="G596" t="str">
        <x:v>精密金屬加工件</x:v>
      </x:c>
      <x:c r="H596" s="20" t="n">
        <x:v>46138</x:v>
      </x:c>
      <x:c r="I596" t="n">
        <x:v>1600</x:v>
      </x:c>
      <x:c r="J596" t="n">
        <x:v>7967.94</x:v>
      </x:c>
      <x:c r="K596" t="str">
        <x:v>TWD</x:v>
      </x:c>
      <x:c r="L596" s="20" t="n">
        <x:v>46162</x:v>
      </x:c>
      <x:c r="M596" s="20" t="n">
        <x:v>46162</x:v>
      </x:c>
      <x:c r="N596" t="str">
        <x:v>是</x:v>
      </x:c>
      <x:c r="O596" t="str">
        <x:v>一般</x:v>
      </x:c>
      <x:c r="P596" t="str">
        <x:v>部分出貨</x:v>
      </x:c>
    </x:row>
    <x:row r="597" ht="20" customHeight="1">
      <x:c r="A597" t="str">
        <x:v>SO00596-01</x:v>
      </x:c>
      <x:c r="B597" t="str">
        <x:v>SO00596</x:v>
      </x:c>
      <x:c r="C597" t="str">
        <x:v>Q00938</x:v>
      </x:c>
      <x:c r="D597" t="str">
        <x:v>AFT-001</x:v>
      </x:c>
      <x:c r="E597" t="str">
        <x:v>S05</x:v>
      </x:c>
      <x:c r="F597" t="str">
        <x:v>AUTO-FL-A</x:v>
      </x:c>
      <x:c r="G597" t="str">
        <x:v>汽車精密零組件</x:v>
      </x:c>
      <x:c r="H597" s="20" t="n">
        <x:v>46125</x:v>
      </x:c>
      <x:c r="I597" t="n">
        <x:v>3000</x:v>
      </x:c>
      <x:c r="J597" t="n">
        <x:v>1313.77</x:v>
      </x:c>
      <x:c r="K597" t="str">
        <x:v>TWD</x:v>
      </x:c>
      <x:c r="L597" s="20" t="n">
        <x:v>46140</x:v>
      </x:c>
      <x:c r="M597" s="20" t="n">
        <x:v>46142</x:v>
      </x:c>
      <x:c r="N597" t="str">
        <x:v>否</x:v>
      </x:c>
      <x:c r="O597" t="str">
        <x:v>重要</x:v>
      </x:c>
      <x:c r="P597" t="str">
        <x:v>部分出貨</x:v>
      </x:c>
    </x:row>
    <x:row r="598" ht="20" customHeight="1">
      <x:c r="A598" t="str">
        <x:v>SO00597-01</x:v>
      </x:c>
      <x:c r="B598" t="str">
        <x:v>SO00597</x:v>
      </x:c>
      <x:c r="C598" t="str">
        <x:v>Q00943</x:v>
      </x:c>
      <x:c r="D598" t="str">
        <x:v>AFT-007</x:v>
      </x:c>
      <x:c r="E598" t="str">
        <x:v>S04</x:v>
      </x:c>
      <x:c r="F598" t="str">
        <x:v>PM-ALB-A</x:v>
      </x:c>
      <x:c r="G598" t="str">
        <x:v>精密金屬加工件</x:v>
      </x:c>
      <x:c r="H598" s="20" t="n">
        <x:v>46140</x:v>
      </x:c>
      <x:c r="I598" t="n">
        <x:v>500</x:v>
      </x:c>
      <x:c r="J598" t="n">
        <x:v>11534.89</x:v>
      </x:c>
      <x:c r="K598" t="str">
        <x:v>TWD</x:v>
      </x:c>
      <x:c r="L598" s="20" t="n">
        <x:v>46162</x:v>
      </x:c>
      <x:c r="M598" s="20" t="n">
        <x:v>46163</x:v>
      </x:c>
      <x:c r="N598" t="str">
        <x:v>否</x:v>
      </x:c>
      <x:c r="O598" t="str">
        <x:v>一般</x:v>
      </x:c>
      <x:c r="P598" t="str">
        <x:v>部分出貨</x:v>
      </x:c>
    </x:row>
    <x:row r="599" ht="20" customHeight="1">
      <x:c r="A599" t="str">
        <x:v>SO00598-01</x:v>
      </x:c>
      <x:c r="B599" t="str">
        <x:v>SO00598</x:v>
      </x:c>
      <x:c r="C599" t="str">
        <x:v>Q00944</x:v>
      </x:c>
      <x:c r="D599" t="str">
        <x:v>SEM-007</x:v>
      </x:c>
      <x:c r="E599" t="str">
        <x:v>S03</x:v>
      </x:c>
      <x:c r="F599" t="str">
        <x:v>MECH-STG-A</x:v>
      </x:c>
      <x:c r="G599" t="str">
        <x:v>機電／自動化模組</x:v>
      </x:c>
      <x:c r="H599" s="20" t="n">
        <x:v>46129</x:v>
      </x:c>
      <x:c r="I599" t="n">
        <x:v>10</x:v>
      </x:c>
      <x:c r="J599" t="n">
        <x:v>143230.4</x:v>
      </x:c>
      <x:c r="K599" t="str">
        <x:v>TWD</x:v>
      </x:c>
      <x:c r="L599" s="20" t="n">
        <x:v>46170</x:v>
      </x:c>
      <x:c r="M599" s="20" t="n">
        <x:v>46170</x:v>
      </x:c>
      <x:c r="N599" t="str">
        <x:v>否</x:v>
      </x:c>
      <x:c r="O599" t="str">
        <x:v>重要</x:v>
      </x:c>
      <x:c r="P599" t="str">
        <x:v>已出貨</x:v>
      </x:c>
    </x:row>
    <x:row r="600" ht="20" customHeight="1">
      <x:c r="A600" t="str">
        <x:v>SO00599-01</x:v>
      </x:c>
      <x:c r="B600" t="str">
        <x:v>SO00599</x:v>
      </x:c>
      <x:c r="C600" t="str">
        <x:v>Q00945</x:v>
      </x:c>
      <x:c r="D600" t="str">
        <x:v>SEM-002</x:v>
      </x:c>
      <x:c r="E600" t="str">
        <x:v>S02</x:v>
      </x:c>
      <x:c r="F600" t="str">
        <x:v>SEMI-CHB-B</x:v>
      </x:c>
      <x:c r="G600" t="str">
        <x:v>半導體設備零組件</x:v>
      </x:c>
      <x:c r="H600" s="20" t="n">
        <x:v>46151</x:v>
      </x:c>
      <x:c r="I600" t="n">
        <x:v>40</x:v>
      </x:c>
      <x:c r="J600" t="n">
        <x:v>133613.79</x:v>
      </x:c>
      <x:c r="K600" t="str">
        <x:v>TWD</x:v>
      </x:c>
      <x:c r="L600" s="20" t="n">
        <x:v>46207</x:v>
      </x:c>
      <x:c r="M600" s="20" t="n">
        <x:v>46207</x:v>
      </x:c>
      <x:c r="N600" t="str">
        <x:v>否</x:v>
      </x:c>
      <x:c r="O600" t="str">
        <x:v>重要</x:v>
      </x:c>
      <x:c r="P600" t="str">
        <x:v>部分出貨</x:v>
      </x:c>
    </x:row>
    <x:row r="601" ht="20" customHeight="1">
      <x:c r="A601" t="str">
        <x:v>SO00600-01</x:v>
      </x:c>
      <x:c r="B601" t="str">
        <x:v>SO00600</x:v>
      </x:c>
      <x:c r="C601" t="str">
        <x:v>Q00947</x:v>
      </x:c>
      <x:c r="D601" t="str">
        <x:v>AFT-007</x:v>
      </x:c>
      <x:c r="E601" t="str">
        <x:v>S04</x:v>
      </x:c>
      <x:c r="F601" t="str">
        <x:v>PM-VAC-B</x:v>
      </x:c>
      <x:c r="G601" t="str">
        <x:v>精密金屬加工件</x:v>
      </x:c>
      <x:c r="H601" s="20" t="n">
        <x:v>46127</x:v>
      </x:c>
      <x:c r="I601" t="n">
        <x:v>300</x:v>
      </x:c>
      <x:c r="J601" t="n">
        <x:v>21892.36</x:v>
      </x:c>
      <x:c r="K601" t="str">
        <x:v>TWD</x:v>
      </x:c>
      <x:c r="L601" s="20" t="n">
        <x:v>46160</x:v>
      </x:c>
      <x:c r="M601" s="20" t="n">
        <x:v>46164</x:v>
      </x:c>
      <x:c r="N601" t="str">
        <x:v>否</x:v>
      </x:c>
      <x:c r="O601" t="str">
        <x:v>一般</x:v>
      </x:c>
      <x:c r="P601" t="str">
        <x:v>部分出貨</x:v>
      </x:c>
    </x:row>
    <x:row r="602" ht="20" customHeight="1">
      <x:c r="A602" t="str">
        <x:v>SO00601-01</x:v>
      </x:c>
      <x:c r="B602" t="str">
        <x:v>SO00601</x:v>
      </x:c>
      <x:c r="C602" t="str">
        <x:v>Q00948</x:v>
      </x:c>
      <x:c r="D602" t="str">
        <x:v>SEM-008</x:v>
      </x:c>
      <x:c r="E602" t="str">
        <x:v>S04</x:v>
      </x:c>
      <x:c r="F602" t="str">
        <x:v>SEMI-WH-A</x:v>
      </x:c>
      <x:c r="G602" t="str">
        <x:v>半導體設備零組件</x:v>
      </x:c>
      <x:c r="H602" s="20" t="n">
        <x:v>46142</x:v>
      </x:c>
      <x:c r="I602" t="n">
        <x:v>120</x:v>
      </x:c>
      <x:c r="J602" t="n">
        <x:v>109348.39</x:v>
      </x:c>
      <x:c r="K602" t="str">
        <x:v>TWD</x:v>
      </x:c>
      <x:c r="L602" s="20" t="n">
        <x:v>46193</x:v>
      </x:c>
      <x:c r="M602" s="20" t="n">
        <x:v>46193</x:v>
      </x:c>
      <x:c r="N602" t="str">
        <x:v>否</x:v>
      </x:c>
      <x:c r="O602" t="str">
        <x:v>VIP</x:v>
      </x:c>
      <x:c r="P602" t="str">
        <x:v>部分出貨</x:v>
      </x:c>
    </x:row>
    <x:row r="603" ht="20" customHeight="1">
      <x:c r="A603" t="str">
        <x:v>SO00602-01</x:v>
      </x:c>
      <x:c r="B603" t="str">
        <x:v>SO00602</x:v>
      </x:c>
      <x:c r="C603" t="str">
        <x:v>Q00950</x:v>
      </x:c>
      <x:c r="D603" t="str">
        <x:v>IAT-005</x:v>
      </x:c>
      <x:c r="E603" t="str">
        <x:v>S02</x:v>
      </x:c>
      <x:c r="F603" t="str">
        <x:v>PM-ALB-A</x:v>
      </x:c>
      <x:c r="G603" t="str">
        <x:v>精密金屬加工件</x:v>
      </x:c>
      <x:c r="H603" s="20" t="n">
        <x:v>46129</x:v>
      </x:c>
      <x:c r="I603" t="n">
        <x:v>1200</x:v>
      </x:c>
      <x:c r="J603" t="n">
        <x:v>10421.35</x:v>
      </x:c>
      <x:c r="K603" t="str">
        <x:v>TWD</x:v>
      </x:c>
      <x:c r="L603" s="20" t="n">
        <x:v>46147</x:v>
      </x:c>
      <x:c r="M603" s="20" t="n">
        <x:v>46155</x:v>
      </x:c>
      <x:c r="N603" t="str">
        <x:v>是</x:v>
      </x:c>
      <x:c r="O603" t="str">
        <x:v>一般</x:v>
      </x:c>
      <x:c r="P603" t="str">
        <x:v>部分出貨</x:v>
      </x:c>
    </x:row>
    <x:row r="604" ht="20" customHeight="1">
      <x:c r="A604" t="str">
        <x:v>SO00603-01</x:v>
      </x:c>
      <x:c r="B604" t="str">
        <x:v>SO00603</x:v>
      </x:c>
      <x:c r="C604" t="str">
        <x:v>Q00952</x:v>
      </x:c>
      <x:c r="D604" t="str">
        <x:v>AUT-006</x:v>
      </x:c>
      <x:c r="E604" t="str">
        <x:v>S03</x:v>
      </x:c>
      <x:c r="F604" t="str">
        <x:v>PM-BRG-B</x:v>
      </x:c>
      <x:c r="G604" t="str">
        <x:v>精密金屬加工件</x:v>
      </x:c>
      <x:c r="H604" s="20" t="n">
        <x:v>46174</x:v>
      </x:c>
      <x:c r="I604" t="n">
        <x:v>1600</x:v>
      </x:c>
      <x:c r="J604" t="n">
        <x:v>7792.8</x:v>
      </x:c>
      <x:c r="K604" t="str">
        <x:v>TWD</x:v>
      </x:c>
      <x:c r="L604" s="20" t="n">
        <x:v>46192</x:v>
      </x:c>
      <x:c r="M604" s="20" t="n">
        <x:v>46197</x:v>
      </x:c>
      <x:c r="N604" t="str">
        <x:v>是</x:v>
      </x:c>
      <x:c r="O604" t="str">
        <x:v>一般</x:v>
      </x:c>
      <x:c r="P604" t="str">
        <x:v>待料</x:v>
      </x:c>
    </x:row>
    <x:row r="605" ht="20" customHeight="1">
      <x:c r="A605" t="str">
        <x:v>SO00604-01</x:v>
      </x:c>
      <x:c r="B605" t="str">
        <x:v>SO00604</x:v>
      </x:c>
      <x:c r="C605" t="str">
        <x:v>Q00953</x:v>
      </x:c>
      <x:c r="D605" t="str">
        <x:v>IAT-004</x:v>
      </x:c>
      <x:c r="E605" t="str">
        <x:v>S05</x:v>
      </x:c>
      <x:c r="F605" t="str">
        <x:v>AUTO-BRK-B</x:v>
      </x:c>
      <x:c r="G605" t="str">
        <x:v>汽車精密零組件</x:v>
      </x:c>
      <x:c r="H605" s="20" t="n">
        <x:v>46173</x:v>
      </x:c>
      <x:c r="I605" t="n">
        <x:v>5000</x:v>
      </x:c>
      <x:c r="J605" t="n">
        <x:v>2140.86</x:v>
      </x:c>
      <x:c r="K605" t="str">
        <x:v>TWD</x:v>
      </x:c>
      <x:c r="L605" s="20" t="n">
        <x:v>46190</x:v>
      </x:c>
      <x:c r="M605" s="20" t="n">
        <x:v>46193</x:v>
      </x:c>
      <x:c r="N605" t="str">
        <x:v>否</x:v>
      </x:c>
      <x:c r="O605" t="str">
        <x:v>重要</x:v>
      </x:c>
      <x:c r="P605" t="str">
        <x:v>待料</x:v>
      </x:c>
    </x:row>
    <x:row r="606" ht="20" customHeight="1">
      <x:c r="A606" t="str">
        <x:v>SO00605-01</x:v>
      </x:c>
      <x:c r="B606" t="str">
        <x:v>SO00605</x:v>
      </x:c>
      <x:c r="C606" t="str">
        <x:v>Q00957</x:v>
      </x:c>
      <x:c r="D606" t="str">
        <x:v>SEM-006</x:v>
      </x:c>
      <x:c r="E606" t="str">
        <x:v>S06</x:v>
      </x:c>
      <x:c r="F606" t="str">
        <x:v>PM-ALB-B</x:v>
      </x:c>
      <x:c r="G606" t="str">
        <x:v>精密金屬加工件</x:v>
      </x:c>
      <x:c r="H606" s="20" t="n">
        <x:v>46180</x:v>
      </x:c>
      <x:c r="I606" t="n">
        <x:v>800</x:v>
      </x:c>
      <x:c r="J606" t="n">
        <x:v>15127.21</x:v>
      </x:c>
      <x:c r="K606" t="str">
        <x:v>TWD</x:v>
      </x:c>
      <x:c r="L606" s="20" t="n">
        <x:v>46213</x:v>
      </x:c>
      <x:c r="M606" s="20" t="n">
        <x:v>46213</x:v>
      </x:c>
      <x:c r="N606" t="str">
        <x:v>否</x:v>
      </x:c>
      <x:c r="O606" t="str">
        <x:v>重要</x:v>
      </x:c>
      <x:c r="P606" t="str">
        <x:v>待料</x:v>
      </x:c>
    </x:row>
    <x:row r="607" ht="20" customHeight="1">
      <x:c r="A607" t="str">
        <x:v>SO00606-01</x:v>
      </x:c>
      <x:c r="B607" t="str">
        <x:v>SO00606</x:v>
      </x:c>
      <x:c r="C607" t="str">
        <x:v>Q00958</x:v>
      </x:c>
      <x:c r="D607" t="str">
        <x:v>AFT-005</x:v>
      </x:c>
      <x:c r="E607" t="str">
        <x:v>S05</x:v>
      </x:c>
      <x:c r="F607" t="str">
        <x:v>AUTO-BRK-A</x:v>
      </x:c>
      <x:c r="G607" t="str">
        <x:v>汽車精密零組件</x:v>
      </x:c>
      <x:c r="H607" s="20" t="n">
        <x:v>46147</x:v>
      </x:c>
      <x:c r="I607" t="n">
        <x:v>3000</x:v>
      </x:c>
      <x:c r="J607" t="n">
        <x:v>1723.09</x:v>
      </x:c>
      <x:c r="K607" t="str">
        <x:v>TWD</x:v>
      </x:c>
      <x:c r="L607" s="20" t="n">
        <x:v>46160</x:v>
      </x:c>
      <x:c r="M607" s="20" t="n">
        <x:v>46165</x:v>
      </x:c>
      <x:c r="N607" t="str">
        <x:v>是</x:v>
      </x:c>
      <x:c r="O607" t="str">
        <x:v>VIP</x:v>
      </x:c>
      <x:c r="P607" t="str">
        <x:v>部分出貨</x:v>
      </x:c>
    </x:row>
    <x:row r="608" ht="20" customHeight="1">
      <x:c r="A608" t="str">
        <x:v>SO00607-01</x:v>
      </x:c>
      <x:c r="B608" t="str">
        <x:v>SO00607</x:v>
      </x:c>
      <x:c r="C608" t="str">
        <x:v>Q00962</x:v>
      </x:c>
      <x:c r="D608" t="str">
        <x:v>EMS-003</x:v>
      </x:c>
      <x:c r="E608" t="str">
        <x:v>S05</x:v>
      </x:c>
      <x:c r="F608" t="str">
        <x:v>AUTO-FL-A</x:v>
      </x:c>
      <x:c r="G608" t="str">
        <x:v>汽車精密零組件</x:v>
      </x:c>
      <x:c r="H608" s="20" t="n">
        <x:v>46163</x:v>
      </x:c>
      <x:c r="I608" t="n">
        <x:v>10000</x:v>
      </x:c>
      <x:c r="J608" t="n">
        <x:v>1329.43</x:v>
      </x:c>
      <x:c r="K608" t="str">
        <x:v>TWD</x:v>
      </x:c>
      <x:c r="L608" s="20" t="n">
        <x:v>46180</x:v>
      </x:c>
      <x:c r="M608" s="20" t="n">
        <x:v>46180</x:v>
      </x:c>
      <x:c r="N608" t="str">
        <x:v>否</x:v>
      </x:c>
      <x:c r="O608" t="str">
        <x:v>一般</x:v>
      </x:c>
      <x:c r="P608" t="str">
        <x:v>部分出貨</x:v>
      </x:c>
    </x:row>
    <x:row r="609" ht="20" customHeight="1">
      <x:c r="A609" t="str">
        <x:v>SO00608-01</x:v>
      </x:c>
      <x:c r="B609" t="str">
        <x:v>SO00608</x:v>
      </x:c>
      <x:c r="C609" t="str">
        <x:v>Q00965</x:v>
      </x:c>
      <x:c r="D609" t="str">
        <x:v>IAT-006</x:v>
      </x:c>
      <x:c r="E609" t="str">
        <x:v>S01</x:v>
      </x:c>
      <x:c r="F609" t="str">
        <x:v>AUTO-FL-A</x:v>
      </x:c>
      <x:c r="G609" t="str">
        <x:v>汽車精密零組件</x:v>
      </x:c>
      <x:c r="H609" s="20" t="n">
        <x:v>46172</x:v>
      </x:c>
      <x:c r="I609" t="n">
        <x:v>10000</x:v>
      </x:c>
      <x:c r="J609" t="n">
        <x:v>1308.38</x:v>
      </x:c>
      <x:c r="K609" t="str">
        <x:v>TWD</x:v>
      </x:c>
      <x:c r="L609" s="20" t="n">
        <x:v>46186</x:v>
      </x:c>
      <x:c r="M609" s="20" t="n">
        <x:v>46188</x:v>
      </x:c>
      <x:c r="N609" t="str">
        <x:v>否</x:v>
      </x:c>
      <x:c r="O609" t="str">
        <x:v>重要</x:v>
      </x:c>
      <x:c r="P609" t="str">
        <x:v>待料</x:v>
      </x:c>
    </x:row>
    <x:row r="610" ht="20" customHeight="1">
      <x:c r="A610" t="str">
        <x:v>SO00609-01</x:v>
      </x:c>
      <x:c r="B610" t="str">
        <x:v>SO00609</x:v>
      </x:c>
      <x:c r="C610" t="str">
        <x:v>Q00966</x:v>
      </x:c>
      <x:c r="D610" t="str">
        <x:v>AUT-012</x:v>
      </x:c>
      <x:c r="E610" t="str">
        <x:v>S06</x:v>
      </x:c>
      <x:c r="F610" t="str">
        <x:v>PM-SUS-A</x:v>
      </x:c>
      <x:c r="G610" t="str">
        <x:v>精密金屬加工件</x:v>
      </x:c>
      <x:c r="H610" s="20" t="n">
        <x:v>46168</x:v>
      </x:c>
      <x:c r="I610" t="n">
        <x:v>1200</x:v>
      </x:c>
      <x:c r="J610" t="n">
        <x:v>9504.54</x:v>
      </x:c>
      <x:c r="K610" t="str">
        <x:v>TWD</x:v>
      </x:c>
      <x:c r="L610" s="20" t="n">
        <x:v>46194</x:v>
      </x:c>
      <x:c r="M610" s="20" t="n">
        <x:v>46194</x:v>
      </x:c>
      <x:c r="N610" t="str">
        <x:v>否</x:v>
      </x:c>
      <x:c r="O610" t="str">
        <x:v>VIP</x:v>
      </x:c>
      <x:c r="P610" t="str">
        <x:v>待料</x:v>
      </x:c>
    </x:row>
    <x:row r="611" ht="20" customHeight="1">
      <x:c r="A611" t="str">
        <x:v>SO00610-01</x:v>
      </x:c>
      <x:c r="B611" t="str">
        <x:v>SO00610</x:v>
      </x:c>
      <x:c r="C611" t="str">
        <x:v>Q00967</x:v>
      </x:c>
      <x:c r="D611" t="str">
        <x:v>SEM-010</x:v>
      </x:c>
      <x:c r="E611" t="str">
        <x:v>S01</x:v>
      </x:c>
      <x:c r="F611" t="str">
        <x:v>MECH-CON-B</x:v>
      </x:c>
      <x:c r="G611" t="str">
        <x:v>機電／自動化模組</x:v>
      </x:c>
      <x:c r="H611" s="20" t="n">
        <x:v>46171</x:v>
      </x:c>
      <x:c r="I611" t="n">
        <x:v>20</x:v>
      </x:c>
      <x:c r="J611" t="n">
        <x:v>144628.02</x:v>
      </x:c>
      <x:c r="K611" t="str">
        <x:v>TWD</x:v>
      </x:c>
      <x:c r="L611" s="20" t="n">
        <x:v>46207</x:v>
      </x:c>
      <x:c r="M611" s="20" t="n">
        <x:v>46219</x:v>
      </x:c>
      <x:c r="N611" t="str">
        <x:v>是</x:v>
      </x:c>
      <x:c r="O611" t="str">
        <x:v>一般</x:v>
      </x:c>
      <x:c r="P611" t="str">
        <x:v>待排程</x:v>
      </x:c>
    </x:row>
    <x:row r="612" ht="20" customHeight="1">
      <x:c r="A612" t="str">
        <x:v>SO00611-01</x:v>
      </x:c>
      <x:c r="B612" t="str">
        <x:v>SO00611</x:v>
      </x:c>
      <x:c r="C612" t="str">
        <x:v>Q00969</x:v>
      </x:c>
      <x:c r="D612" t="str">
        <x:v>SEM-006</x:v>
      </x:c>
      <x:c r="E612" t="str">
        <x:v>S06</x:v>
      </x:c>
      <x:c r="F612" t="str">
        <x:v>PM-ALB-B</x:v>
      </x:c>
      <x:c r="G612" t="str">
        <x:v>精密金屬加工件</x:v>
      </x:c>
      <x:c r="H612" s="20" t="n">
        <x:v>46165</x:v>
      </x:c>
      <x:c r="I612" t="n">
        <x:v>1200</x:v>
      </x:c>
      <x:c r="J612" t="n">
        <x:v>15990.35</x:v>
      </x:c>
      <x:c r="K612" t="str">
        <x:v>TWD</x:v>
      </x:c>
      <x:c r="L612" s="20" t="n">
        <x:v>46199</x:v>
      </x:c>
      <x:c r="M612" s="20" t="n">
        <x:v>46199</x:v>
      </x:c>
      <x:c r="N612" t="str">
        <x:v>否</x:v>
      </x:c>
      <x:c r="O612" t="str">
        <x:v>重要</x:v>
      </x:c>
      <x:c r="P612" t="str">
        <x:v>部分出貨</x:v>
      </x:c>
    </x:row>
    <x:row r="613" ht="20" customHeight="1">
      <x:c r="A613" t="str">
        <x:v>SO00612-01</x:v>
      </x:c>
      <x:c r="B613" t="str">
        <x:v>SO00612</x:v>
      </x:c>
      <x:c r="C613" t="str">
        <x:v>Q00973</x:v>
      </x:c>
      <x:c r="D613" t="str">
        <x:v>EMS-005</x:v>
      </x:c>
      <x:c r="E613" t="str">
        <x:v>S01</x:v>
      </x:c>
      <x:c r="F613" t="str">
        <x:v>SEMI-CHB-B</x:v>
      </x:c>
      <x:c r="G613" t="str">
        <x:v>半導體設備零組件</x:v>
      </x:c>
      <x:c r="H613" s="20" t="n">
        <x:v>46161</x:v>
      </x:c>
      <x:c r="I613" t="n">
        <x:v>40</x:v>
      </x:c>
      <x:c r="J613" t="n">
        <x:v>143267.02</x:v>
      </x:c>
      <x:c r="K613" t="str">
        <x:v>TWD</x:v>
      </x:c>
      <x:c r="L613" s="20" t="n">
        <x:v>46213</x:v>
      </x:c>
      <x:c r="M613" s="20" t="n">
        <x:v>46213</x:v>
      </x:c>
      <x:c r="N613" t="str">
        <x:v>否</x:v>
      </x:c>
      <x:c r="O613" t="str">
        <x:v>VIP</x:v>
      </x:c>
      <x:c r="P613" t="str">
        <x:v>部分出貨</x:v>
      </x:c>
    </x:row>
    <x:row r="614" ht="20" customHeight="1">
      <x:c r="A614" t="str">
        <x:v>SO00613-01</x:v>
      </x:c>
      <x:c r="B614" t="str">
        <x:v>SO00613</x:v>
      </x:c>
      <x:c r="C614" t="str">
        <x:v>Q00974</x:v>
      </x:c>
      <x:c r="D614" t="str">
        <x:v>AFT-008</x:v>
      </x:c>
      <x:c r="E614" t="str">
        <x:v>S04</x:v>
      </x:c>
      <x:c r="F614" t="str">
        <x:v>AUTO-BS-A</x:v>
      </x:c>
      <x:c r="G614" t="str">
        <x:v>汽車精密零組件</x:v>
      </x:c>
      <x:c r="H614" s="20" t="n">
        <x:v>46171</x:v>
      </x:c>
      <x:c r="I614" t="n">
        <x:v>10000</x:v>
      </x:c>
      <x:c r="J614" t="n">
        <x:v>756.48</x:v>
      </x:c>
      <x:c r="K614" t="str">
        <x:v>TWD</x:v>
      </x:c>
      <x:c r="L614" s="20" t="n">
        <x:v>46184</x:v>
      </x:c>
      <x:c r="M614" s="20" t="n">
        <x:v>46185</x:v>
      </x:c>
      <x:c r="N614" t="str">
        <x:v>否</x:v>
      </x:c>
      <x:c r="O614" t="str">
        <x:v>重要</x:v>
      </x:c>
      <x:c r="P614" t="str">
        <x:v>待排程</x:v>
      </x:c>
    </x:row>
    <x:row r="615" ht="20" customHeight="1">
      <x:c r="A615" t="str">
        <x:v>SO00614-01</x:v>
      </x:c>
      <x:c r="B615" t="str">
        <x:v>SO00614</x:v>
      </x:c>
      <x:c r="C615" t="str">
        <x:v>Q00976</x:v>
      </x:c>
      <x:c r="D615" t="str">
        <x:v>EMS-001</x:v>
      </x:c>
      <x:c r="E615" t="str">
        <x:v>S02</x:v>
      </x:c>
      <x:c r="F615" t="str">
        <x:v>PM-ALB-B</x:v>
      </x:c>
      <x:c r="G615" t="str">
        <x:v>精密金屬加工件</x:v>
      </x:c>
      <x:c r="H615" s="20" t="n">
        <x:v>46153</x:v>
      </x:c>
      <x:c r="I615" t="n">
        <x:v>1600</x:v>
      </x:c>
      <x:c r="J615" t="n">
        <x:v>15910.05</x:v>
      </x:c>
      <x:c r="K615" t="str">
        <x:v>TWD</x:v>
      </x:c>
      <x:c r="L615" s="20" t="n">
        <x:v>46184</x:v>
      </x:c>
      <x:c r="M615" s="20" t="n">
        <x:v>46184</x:v>
      </x:c>
      <x:c r="N615" t="str">
        <x:v>否</x:v>
      </x:c>
      <x:c r="O615" t="str">
        <x:v>一般</x:v>
      </x:c>
      <x:c r="P615" t="str">
        <x:v>部分出貨</x:v>
      </x:c>
    </x:row>
    <x:row r="616" ht="20" customHeight="1">
      <x:c r="A616" t="str">
        <x:v>SO00615-01</x:v>
      </x:c>
      <x:c r="B616" t="str">
        <x:v>SO00615</x:v>
      </x:c>
      <x:c r="C616" t="str">
        <x:v>Q00977</x:v>
      </x:c>
      <x:c r="D616" t="str">
        <x:v>EMS-003</x:v>
      </x:c>
      <x:c r="E616" t="str">
        <x:v>S05</x:v>
      </x:c>
      <x:c r="F616" t="str">
        <x:v>AUTO-BRK-A</x:v>
      </x:c>
      <x:c r="G616" t="str">
        <x:v>汽車精密零組件</x:v>
      </x:c>
      <x:c r="H616" s="20" t="n">
        <x:v>46184</x:v>
      </x:c>
      <x:c r="I616" t="n">
        <x:v>7000</x:v>
      </x:c>
      <x:c r="J616" t="n">
        <x:v>1646.19</x:v>
      </x:c>
      <x:c r="K616" t="str">
        <x:v>TWD</x:v>
      </x:c>
      <x:c r="L616" s="20" t="n">
        <x:v>46202</x:v>
      </x:c>
      <x:c r="M616" s="20" t="n">
        <x:v>46202</x:v>
      </x:c>
      <x:c r="N616" t="str">
        <x:v>否</x:v>
      </x:c>
      <x:c r="O616" t="str">
        <x:v>一般</x:v>
      </x:c>
      <x:c r="P616" t="str">
        <x:v>待料</x:v>
      </x:c>
    </x:row>
    <x:row r="617" ht="20" customHeight="1">
      <x:c r="A617" t="str">
        <x:v>SO00616-01</x:v>
      </x:c>
      <x:c r="B617" t="str">
        <x:v>SO00616</x:v>
      </x:c>
      <x:c r="C617" t="str">
        <x:v>Q00979</x:v>
      </x:c>
      <x:c r="D617" t="str">
        <x:v>AUT-007</x:v>
      </x:c>
      <x:c r="E617" t="str">
        <x:v>S04</x:v>
      </x:c>
      <x:c r="F617" t="str">
        <x:v>PM-VAC-B</x:v>
      </x:c>
      <x:c r="G617" t="str">
        <x:v>精密金屬加工件</x:v>
      </x:c>
      <x:c r="H617" s="20" t="n">
        <x:v>46167</x:v>
      </x:c>
      <x:c r="I617" t="n">
        <x:v>1600</x:v>
      </x:c>
      <x:c r="J617" t="n">
        <x:v>21855.58</x:v>
      </x:c>
      <x:c r="K617" t="str">
        <x:v>TWD</x:v>
      </x:c>
      <x:c r="L617" s="20" t="n">
        <x:v>46198</x:v>
      </x:c>
      <x:c r="M617" s="20" t="n">
        <x:v>46201</x:v>
      </x:c>
      <x:c r="N617" t="str">
        <x:v>否</x:v>
      </x:c>
      <x:c r="O617" t="str">
        <x:v>一般</x:v>
      </x:c>
      <x:c r="P617" t="str">
        <x:v>部分出貨</x:v>
      </x:c>
    </x:row>
    <x:row r="618" ht="20" customHeight="1">
      <x:c r="A618" t="str">
        <x:v>SO00617-01</x:v>
      </x:c>
      <x:c r="B618" t="str">
        <x:v>SO00617</x:v>
      </x:c>
      <x:c r="C618" t="str">
        <x:v>Q00982</x:v>
      </x:c>
      <x:c r="D618" t="str">
        <x:v>SEM-006</x:v>
      </x:c>
      <x:c r="E618" t="str">
        <x:v>S06</x:v>
      </x:c>
      <x:c r="F618" t="str">
        <x:v>SEMI-CHB-A</x:v>
      </x:c>
      <x:c r="G618" t="str">
        <x:v>半導體設備零組件</x:v>
      </x:c>
      <x:c r="H618" s="20" t="n">
        <x:v>46183</x:v>
      </x:c>
      <x:c r="I618" t="n">
        <x:v>160</x:v>
      </x:c>
      <x:c r="J618" t="n">
        <x:v>95858.18</x:v>
      </x:c>
      <x:c r="K618" t="str">
        <x:v>TWD</x:v>
      </x:c>
      <x:c r="L618" s="20" t="n">
        <x:v>46221</x:v>
      </x:c>
      <x:c r="M618" s="20" t="n">
        <x:v>46226</x:v>
      </x:c>
      <x:c r="N618" t="str">
        <x:v>是</x:v>
      </x:c>
      <x:c r="O618" t="str">
        <x:v>重要</x:v>
      </x:c>
      <x:c r="P618" t="str">
        <x:v>待料</x:v>
      </x:c>
    </x:row>
    <x:row r="619" ht="20" customHeight="1">
      <x:c r="A619" t="str">
        <x:v>SO00618-01</x:v>
      </x:c>
      <x:c r="B619" t="str">
        <x:v>SO00618</x:v>
      </x:c>
      <x:c r="C619" t="str">
        <x:v>Q00983</x:v>
      </x:c>
      <x:c r="D619" t="str">
        <x:v>AUT-013</x:v>
      </x:c>
      <x:c r="E619" t="str">
        <x:v>S01</x:v>
      </x:c>
      <x:c r="F619" t="str">
        <x:v>MECH-CON-A</x:v>
      </x:c>
      <x:c r="G619" t="str">
        <x:v>機電／自動化模組</x:v>
      </x:c>
      <x:c r="H619" s="20" t="n">
        <x:v>46166</x:v>
      </x:c>
      <x:c r="I619" t="n">
        <x:v>20</x:v>
      </x:c>
      <x:c r="J619" t="n">
        <x:v>104778.86</x:v>
      </x:c>
      <x:c r="K619" t="str">
        <x:v>TWD</x:v>
      </x:c>
      <x:c r="L619" s="20" t="n">
        <x:v>46195</x:v>
      </x:c>
      <x:c r="M619" s="20" t="n">
        <x:v>46203</x:v>
      </x:c>
      <x:c r="N619" t="str">
        <x:v>否</x:v>
      </x:c>
      <x:c r="O619" t="str">
        <x:v>重要</x:v>
      </x:c>
      <x:c r="P619" t="str">
        <x:v>待排程</x:v>
      </x:c>
    </x:row>
    <x:row r="620" ht="20" customHeight="1">
      <x:c r="A620" t="str">
        <x:v>SO00619-01</x:v>
      </x:c>
      <x:c r="B620" t="str">
        <x:v>SO00619</x:v>
      </x:c>
      <x:c r="C620" t="str">
        <x:v>Q00984</x:v>
      </x:c>
      <x:c r="D620" t="str">
        <x:v>EMS-003</x:v>
      </x:c>
      <x:c r="E620" t="str">
        <x:v>S05</x:v>
      </x:c>
      <x:c r="F620" t="str">
        <x:v>AUTO-BS-B</x:v>
      </x:c>
      <x:c r="G620" t="str">
        <x:v>汽車精密零組件</x:v>
      </x:c>
      <x:c r="H620" s="20" t="n">
        <x:v>46213</x:v>
      </x:c>
      <x:c r="I620" t="n">
        <x:v>5000</x:v>
      </x:c>
      <x:c r="J620" t="n">
        <x:v>912.59</x:v>
      </x:c>
      <x:c r="K620" t="str">
        <x:v>TWD</x:v>
      </x:c>
      <x:c r="L620" s="20" t="n">
        <x:v>46228</x:v>
      </x:c>
      <x:c r="M620" s="20" t="n">
        <x:v>46229</x:v>
      </x:c>
      <x:c r="N620" t="str">
        <x:v>否</x:v>
      </x:c>
      <x:c r="O620" t="str">
        <x:v>一般</x:v>
      </x:c>
      <x:c r="P620" t="str">
        <x:v>待料</x:v>
      </x:c>
    </x:row>
    <x:row r="621" ht="20" customHeight="1">
      <x:c r="A621" t="str">
        <x:v>SO00620-01</x:v>
      </x:c>
      <x:c r="B621" t="str">
        <x:v>SO00620</x:v>
      </x:c>
      <x:c r="C621" t="str">
        <x:v>Q00985</x:v>
      </x:c>
      <x:c r="D621" t="str">
        <x:v>AUT-012</x:v>
      </x:c>
      <x:c r="E621" t="str">
        <x:v>S06</x:v>
      </x:c>
      <x:c r="F621" t="str">
        <x:v>AUTO-KN-B</x:v>
      </x:c>
      <x:c r="G621" t="str">
        <x:v>汽車精密零組件</x:v>
      </x:c>
      <x:c r="H621" s="20" t="n">
        <x:v>46208</x:v>
      </x:c>
      <x:c r="I621" t="n">
        <x:v>7000</x:v>
      </x:c>
      <x:c r="J621" t="n">
        <x:v>3612.17</x:v>
      </x:c>
      <x:c r="K621" t="str">
        <x:v>TWD</x:v>
      </x:c>
      <x:c r="L621" s="20" t="n">
        <x:v>46231</x:v>
      </x:c>
      <x:c r="M621" s="20" t="n">
        <x:v>46234</x:v>
      </x:c>
      <x:c r="N621" t="str">
        <x:v>否</x:v>
      </x:c>
      <x:c r="O621" t="str">
        <x:v>VIP</x:v>
      </x:c>
      <x:c r="P621" t="str">
        <x:v>待料</x:v>
      </x:c>
    </x:row>
    <x:row r="622" ht="20" customHeight="1">
      <x:c r="A622" t="str">
        <x:v>SO00621-01</x:v>
      </x:c>
      <x:c r="B622" t="str">
        <x:v>SO00621</x:v>
      </x:c>
      <x:c r="C622" t="str">
        <x:v>Q00986</x:v>
      </x:c>
      <x:c r="D622" t="str">
        <x:v>EMS-005</x:v>
      </x:c>
      <x:c r="E622" t="str">
        <x:v>S01</x:v>
      </x:c>
      <x:c r="F622" t="str">
        <x:v>PM-SUS-A</x:v>
      </x:c>
      <x:c r="G622" t="str">
        <x:v>精密金屬加工件</x:v>
      </x:c>
      <x:c r="H622" s="20" t="n">
        <x:v>46200</x:v>
      </x:c>
      <x:c r="I622" t="n">
        <x:v>1600</x:v>
      </x:c>
      <x:c r="J622" t="n">
        <x:v>10911.05</x:v>
      </x:c>
      <x:c r="K622" t="str">
        <x:v>TWD</x:v>
      </x:c>
      <x:c r="L622" s="20" t="n">
        <x:v>46217</x:v>
      </x:c>
      <x:c r="M622" s="20" t="n">
        <x:v>46223</x:v>
      </x:c>
      <x:c r="N622" t="str">
        <x:v>是</x:v>
      </x:c>
      <x:c r="O622" t="str">
        <x:v>VIP</x:v>
      </x:c>
      <x:c r="P622" t="str">
        <x:v>待料</x:v>
      </x:c>
    </x:row>
    <x:row r="623" ht="20" customHeight="1">
      <x:c r="A623" t="str">
        <x:v>SO00622-01</x:v>
      </x:c>
      <x:c r="B623" t="str">
        <x:v>SO00622</x:v>
      </x:c>
      <x:c r="C623" t="str">
        <x:v>Q00987</x:v>
      </x:c>
      <x:c r="D623" t="str">
        <x:v>AFT-007</x:v>
      </x:c>
      <x:c r="E623" t="str">
        <x:v>S04</x:v>
      </x:c>
      <x:c r="F623" t="str">
        <x:v>PM-SUS-B</x:v>
      </x:c>
      <x:c r="G623" t="str">
        <x:v>精密金屬加工件</x:v>
      </x:c>
      <x:c r="H623" s="20" t="n">
        <x:v>46192</x:v>
      </x:c>
      <x:c r="I623" t="n">
        <x:v>500</x:v>
      </x:c>
      <x:c r="J623" t="n">
        <x:v>15257.77</x:v>
      </x:c>
      <x:c r="K623" t="str">
        <x:v>TWD</x:v>
      </x:c>
      <x:c r="L623" s="20" t="n">
        <x:v>46218</x:v>
      </x:c>
      <x:c r="M623" s="20" t="n">
        <x:v>46219</x:v>
      </x:c>
      <x:c r="N623" t="str">
        <x:v>否</x:v>
      </x:c>
      <x:c r="O623" t="str">
        <x:v>一般</x:v>
      </x:c>
      <x:c r="P623" t="str">
        <x:v>待排程</x:v>
      </x:c>
    </x:row>
    <x:row r="624" ht="20" customHeight="1">
      <x:c r="A624" t="str">
        <x:v>SO00623-01</x:v>
      </x:c>
      <x:c r="B624" t="str">
        <x:v>SO00623</x:v>
      </x:c>
      <x:c r="C624" t="str">
        <x:v>Q00989</x:v>
      </x:c>
      <x:c r="D624" t="str">
        <x:v>AUT-007</x:v>
      </x:c>
      <x:c r="E624" t="str">
        <x:v>S04</x:v>
      </x:c>
      <x:c r="F624" t="str">
        <x:v>MECH-CON-B</x:v>
      </x:c>
      <x:c r="G624" t="str">
        <x:v>機電／自動化模組</x:v>
      </x:c>
      <x:c r="H624" s="20" t="n">
        <x:v>46195</x:v>
      </x:c>
      <x:c r="I624" t="n">
        <x:v>20</x:v>
      </x:c>
      <x:c r="J624" t="n">
        <x:v>150429.53</x:v>
      </x:c>
      <x:c r="K624" t="str">
        <x:v>TWD</x:v>
      </x:c>
      <x:c r="L624" s="20" t="n">
        <x:v>46245</x:v>
      </x:c>
      <x:c r="M624" s="20" t="n">
        <x:v>46245</x:v>
      </x:c>
      <x:c r="N624" t="str">
        <x:v>否</x:v>
      </x:c>
      <x:c r="O624" t="str">
        <x:v>一般</x:v>
      </x:c>
      <x:c r="P624" t="str">
        <x:v>待料</x:v>
      </x:c>
    </x:row>
    <x:row r="625" ht="20" customHeight="1">
      <x:c r="A625" t="str">
        <x:v>SO00624-01</x:v>
      </x:c>
      <x:c r="B625" t="str">
        <x:v>SO00624</x:v>
      </x:c>
      <x:c r="C625" t="str">
        <x:v>Q00991</x:v>
      </x:c>
      <x:c r="D625" t="str">
        <x:v>IAT-004</x:v>
      </x:c>
      <x:c r="E625" t="str">
        <x:v>S05</x:v>
      </x:c>
      <x:c r="F625" t="str">
        <x:v>AUTO-FL-A</x:v>
      </x:c>
      <x:c r="G625" t="str">
        <x:v>汽車精密零組件</x:v>
      </x:c>
      <x:c r="H625" s="20" t="n">
        <x:v>46200</x:v>
      </x:c>
      <x:c r="I625" t="n">
        <x:v>10000</x:v>
      </x:c>
      <x:c r="J625" t="n">
        <x:v>1183.12</x:v>
      </x:c>
      <x:c r="K625" t="str">
        <x:v>TWD</x:v>
      </x:c>
      <x:c r="L625" s="20" t="n">
        <x:v>46215</x:v>
      </x:c>
      <x:c r="M625" s="20" t="n">
        <x:v>46215</x:v>
      </x:c>
      <x:c r="N625" t="str">
        <x:v>否</x:v>
      </x:c>
      <x:c r="O625" t="str">
        <x:v>重要</x:v>
      </x:c>
      <x:c r="P625" t="str">
        <x:v>待料</x:v>
      </x:c>
    </x:row>
    <x:row r="626" ht="20" customHeight="1">
      <x:c r="A626" t="str">
        <x:v>SO00625-01</x:v>
      </x:c>
      <x:c r="B626" t="str">
        <x:v>SO00625</x:v>
      </x:c>
      <x:c r="C626" t="str">
        <x:v>Q00992</x:v>
      </x:c>
      <x:c r="D626" t="str">
        <x:v>EMS-001</x:v>
      </x:c>
      <x:c r="E626" t="str">
        <x:v>S02</x:v>
      </x:c>
      <x:c r="F626" t="str">
        <x:v>AUTO-BS-A</x:v>
      </x:c>
      <x:c r="G626" t="str">
        <x:v>汽車精密零組件</x:v>
      </x:c>
      <x:c r="H626" s="20" t="n">
        <x:v>46206</x:v>
      </x:c>
      <x:c r="I626" t="n">
        <x:v>5000</x:v>
      </x:c>
      <x:c r="J626" t="n">
        <x:v>768.11</x:v>
      </x:c>
      <x:c r="K626" t="str">
        <x:v>TWD</x:v>
      </x:c>
      <x:c r="L626" s="20" t="n">
        <x:v>46216</x:v>
      </x:c>
      <x:c r="M626" s="20" t="n">
        <x:v>46219</x:v>
      </x:c>
      <x:c r="N626" t="str">
        <x:v>是</x:v>
      </x:c>
      <x:c r="O626" t="str">
        <x:v>一般</x:v>
      </x:c>
      <x:c r="P626" t="str">
        <x:v>待料</x:v>
      </x:c>
    </x:row>
    <x:row r="627" ht="20" customHeight="1">
      <x:c r="A627" t="str">
        <x:v>SO00626-01</x:v>
      </x:c>
      <x:c r="B627" t="str">
        <x:v>SO00626</x:v>
      </x:c>
      <x:c r="C627" t="str">
        <x:v>Q00993</x:v>
      </x:c>
      <x:c r="D627" t="str">
        <x:v>IAT-001</x:v>
      </x:c>
      <x:c r="E627" t="str">
        <x:v>S05</x:v>
      </x:c>
      <x:c r="F627" t="str">
        <x:v>PM-SUS-B</x:v>
      </x:c>
      <x:c r="G627" t="str">
        <x:v>精密金屬加工件</x:v>
      </x:c>
      <x:c r="H627" s="20" t="n">
        <x:v>46205</x:v>
      </x:c>
      <x:c r="I627" t="n">
        <x:v>800</x:v>
      </x:c>
      <x:c r="J627" t="n">
        <x:v>14653.33</x:v>
      </x:c>
      <x:c r="K627" t="str">
        <x:v>TWD</x:v>
      </x:c>
      <x:c r="L627" s="20" t="n">
        <x:v>46228</x:v>
      </x:c>
      <x:c r="M627" s="20" t="n">
        <x:v>46233</x:v>
      </x:c>
      <x:c r="N627" t="str">
        <x:v>否</x:v>
      </x:c>
      <x:c r="O627" t="str">
        <x:v>一般</x:v>
      </x:c>
      <x:c r="P627" t="str">
        <x:v>待料</x:v>
      </x:c>
    </x:row>
    <x:row r="628" ht="20" customHeight="1">
      <x:c r="A628" t="str">
        <x:v>SO00627-01</x:v>
      </x:c>
      <x:c r="B628" t="str">
        <x:v>SO00627</x:v>
      </x:c>
      <x:c r="C628" t="str">
        <x:v>Q00994</x:v>
      </x:c>
      <x:c r="D628" t="str">
        <x:v>IAT-006</x:v>
      </x:c>
      <x:c r="E628" t="str">
        <x:v>S01</x:v>
      </x:c>
      <x:c r="F628" t="str">
        <x:v>PM-VAC-A</x:v>
      </x:c>
      <x:c r="G628" t="str">
        <x:v>精密金屬加工件</x:v>
      </x:c>
      <x:c r="H628" s="20" t="n">
        <x:v>46191</x:v>
      </x:c>
      <x:c r="I628" t="n">
        <x:v>1600</x:v>
      </x:c>
      <x:c r="J628" t="n">
        <x:v>15839.04</x:v>
      </x:c>
      <x:c r="K628" t="str">
        <x:v>TWD</x:v>
      </x:c>
      <x:c r="L628" s="20" t="n">
        <x:v>46223</x:v>
      </x:c>
      <x:c r="M628" s="20" t="n">
        <x:v>46223</x:v>
      </x:c>
      <x:c r="N628" t="str">
        <x:v>否</x:v>
      </x:c>
      <x:c r="O628" t="str">
        <x:v>重要</x:v>
      </x:c>
      <x:c r="P628" t="str">
        <x:v>待料</x:v>
      </x:c>
    </x:row>
    <x:row r="629" ht="20" customHeight="1">
      <x:c r="A629" t="str">
        <x:v>SO00628-01</x:v>
      </x:c>
      <x:c r="B629" t="str">
        <x:v>SO00628</x:v>
      </x:c>
      <x:c r="C629" t="str">
        <x:v>Q00995</x:v>
      </x:c>
      <x:c r="D629" t="str">
        <x:v>AUT-005</x:v>
      </x:c>
      <x:c r="E629" t="str">
        <x:v>S04</x:v>
      </x:c>
      <x:c r="F629" t="str">
        <x:v>AUTO-BS-A</x:v>
      </x:c>
      <x:c r="G629" t="str">
        <x:v>汽車精密零組件</x:v>
      </x:c>
      <x:c r="H629" s="20" t="n">
        <x:v>46178</x:v>
      </x:c>
      <x:c r="I629" t="n">
        <x:v>10000</x:v>
      </x:c>
      <x:c r="J629" t="n">
        <x:v>767.33</x:v>
      </x:c>
      <x:c r="K629" t="str">
        <x:v>TWD</x:v>
      </x:c>
      <x:c r="L629" s="20" t="n">
        <x:v>46190</x:v>
      </x:c>
      <x:c r="M629" s="20" t="n">
        <x:v>46192</x:v>
      </x:c>
      <x:c r="N629" t="str">
        <x:v>否</x:v>
      </x:c>
      <x:c r="O629" t="str">
        <x:v>VIP</x:v>
      </x:c>
      <x:c r="P629" t="str">
        <x:v>待料</x:v>
      </x:c>
    </x:row>
    <x:row r="630" ht="20" customHeight="1">
      <x:c r="A630" t="str">
        <x:v>SO00629-01</x:v>
      </x:c>
      <x:c r="B630" t="str">
        <x:v>SO00629</x:v>
      </x:c>
      <x:c r="C630" t="str">
        <x:v>Q00996</x:v>
      </x:c>
      <x:c r="D630" t="str">
        <x:v>SEM-002</x:v>
      </x:c>
      <x:c r="E630" t="str">
        <x:v>S02</x:v>
      </x:c>
      <x:c r="F630" t="str">
        <x:v>MECH-CON-A</x:v>
      </x:c>
      <x:c r="G630" t="str">
        <x:v>機電／自動化模組</x:v>
      </x:c>
      <x:c r="H630" s="20" t="n">
        <x:v>46213</x:v>
      </x:c>
      <x:c r="I630" t="n">
        <x:v>20</x:v>
      </x:c>
      <x:c r="J630" t="n">
        <x:v>112437.55</x:v>
      </x:c>
      <x:c r="K630" t="str">
        <x:v>TWD</x:v>
      </x:c>
      <x:c r="L630" s="20" t="n">
        <x:v>46241</x:v>
      </x:c>
      <x:c r="M630" s="20" t="n">
        <x:v>46248</x:v>
      </x:c>
      <x:c r="N630" t="str">
        <x:v>是</x:v>
      </x:c>
      <x:c r="O630" t="str">
        <x:v>重要</x:v>
      </x:c>
      <x:c r="P630" t="str">
        <x:v>待排程</x:v>
      </x:c>
    </x:row>
    <x:row r="631" ht="20" customHeight="1">
      <x:c r="A631" t="str">
        <x:v>SO00630-01</x:v>
      </x:c>
      <x:c r="B631" t="str">
        <x:v>SO00630</x:v>
      </x:c>
      <x:c r="C631" t="str">
        <x:v>Q00997</x:v>
      </x:c>
      <x:c r="D631" t="str">
        <x:v>AFT-007</x:v>
      </x:c>
      <x:c r="E631" t="str">
        <x:v>S04</x:v>
      </x:c>
      <x:c r="F631" t="str">
        <x:v>AUTO-BRK-A</x:v>
      </x:c>
      <x:c r="G631" t="str">
        <x:v>汽車精密零組件</x:v>
      </x:c>
      <x:c r="H631" s="20" t="n">
        <x:v>46203</x:v>
      </x:c>
      <x:c r="I631" t="n">
        <x:v>10000</x:v>
      </x:c>
      <x:c r="J631" t="n">
        <x:v>1797.39</x:v>
      </x:c>
      <x:c r="K631" t="str">
        <x:v>TWD</x:v>
      </x:c>
      <x:c r="L631" s="20" t="n">
        <x:v>46222</x:v>
      </x:c>
      <x:c r="M631" s="20" t="n">
        <x:v>46222</x:v>
      </x:c>
      <x:c r="N631" t="str">
        <x:v>否</x:v>
      </x:c>
      <x:c r="O631" t="str">
        <x:v>一般</x:v>
      </x:c>
      <x:c r="P631" t="str">
        <x:v>待料</x:v>
      </x:c>
    </x:row>
    <x:row r="632" ht="20" customHeight="1">
      <x:c r="A632" t="str">
        <x:v>SO00631-01</x:v>
      </x:c>
      <x:c r="B632" t="str">
        <x:v>SO00631</x:v>
      </x:c>
      <x:c r="C632" t="str">
        <x:v>Q00998</x:v>
      </x:c>
      <x:c r="D632" t="str">
        <x:v>AFT-007</x:v>
      </x:c>
      <x:c r="E632" t="str">
        <x:v>S04</x:v>
      </x:c>
      <x:c r="F632" t="str">
        <x:v>AUTO-BS-B</x:v>
      </x:c>
      <x:c r="G632" t="str">
        <x:v>汽車精密零組件</x:v>
      </x:c>
      <x:c r="H632" s="20" t="n">
        <x:v>46187</x:v>
      </x:c>
      <x:c r="I632" t="n">
        <x:v>7000</x:v>
      </x:c>
      <x:c r="J632" t="n">
        <x:v>913.63</x:v>
      </x:c>
      <x:c r="K632" t="str">
        <x:v>TWD</x:v>
      </x:c>
      <x:c r="L632" s="20" t="n">
        <x:v>46199</x:v>
      </x:c>
      <x:c r="M632" s="20" t="n">
        <x:v>46202</x:v>
      </x:c>
      <x:c r="N632" t="str">
        <x:v>是</x:v>
      </x:c>
      <x:c r="O632" t="str">
        <x:v>一般</x:v>
      </x:c>
      <x:c r="P632" t="str">
        <x:v>待料</x:v>
      </x:c>
    </x:row>
    <x:row r="633" ht="20" customHeight="1">
      <x:c r="A633" t="str">
        <x:v>SO00632-01</x:v>
      </x:c>
      <x:c r="B633" t="str">
        <x:v>SO00632</x:v>
      </x:c>
      <x:c r="C633" t="str">
        <x:v>Q01000</x:v>
      </x:c>
      <x:c r="D633" t="str">
        <x:v>EMS-005</x:v>
      </x:c>
      <x:c r="E633" t="str">
        <x:v>S01</x:v>
      </x:c>
      <x:c r="F633" t="str">
        <x:v>AUTO-BRK-A</x:v>
      </x:c>
      <x:c r="G633" t="str">
        <x:v>汽車精密零組件</x:v>
      </x:c>
      <x:c r="H633" s="20" t="n">
        <x:v>46191</x:v>
      </x:c>
      <x:c r="I633" t="n">
        <x:v>7000</x:v>
      </x:c>
      <x:c r="J633" t="n">
        <x:v>1768.59</x:v>
      </x:c>
      <x:c r="K633" t="str">
        <x:v>TWD</x:v>
      </x:c>
      <x:c r="L633" s="20" t="n">
        <x:v>46206</x:v>
      </x:c>
      <x:c r="M633" s="20" t="n">
        <x:v>46209</x:v>
      </x:c>
      <x:c r="N633" t="str">
        <x:v>否</x:v>
      </x:c>
      <x:c r="O633" t="str">
        <x:v>VIP</x:v>
      </x:c>
      <x:c r="P633" t="str">
        <x:v>待料</x:v>
      </x:c>
    </x:row>
    <x:row r="634" ht="20" customHeight="1">
      <x:c r="A634" t="str">
        <x:v>SO00633-01</x:v>
      </x:c>
      <x:c r="B634" t="str">
        <x:v>SO00633</x:v>
      </x:c>
      <x:c r="C634" t="str">
        <x:v>Q01001</x:v>
      </x:c>
      <x:c r="D634" t="str">
        <x:v>EMS-003</x:v>
      </x:c>
      <x:c r="E634" t="str">
        <x:v>S05</x:v>
      </x:c>
      <x:c r="F634" t="str">
        <x:v>MECH-STG-B</x:v>
      </x:c>
      <x:c r="G634" t="str">
        <x:v>機電／自動化模組</x:v>
      </x:c>
      <x:c r="H634" s="20" t="n">
        <x:v>46200</x:v>
      </x:c>
      <x:c r="I634" t="n">
        <x:v>10</x:v>
      </x:c>
      <x:c r="J634" t="n">
        <x:v>196190.3</x:v>
      </x:c>
      <x:c r="K634" t="str">
        <x:v>TWD</x:v>
      </x:c>
      <x:c r="L634" s="20" t="n">
        <x:v>46244</x:v>
      </x:c>
      <x:c r="M634" s="20" t="n">
        <x:v>46253</x:v>
      </x:c>
      <x:c r="N634" t="str">
        <x:v>否</x:v>
      </x:c>
      <x:c r="O634" t="str">
        <x:v>一般</x:v>
      </x:c>
      <x:c r="P634" t="str">
        <x:v>待排程</x:v>
      </x:c>
    </x:row>
    <x:row r="635" ht="20" customHeight="1">
      <x:c r="A635" t="str">
        <x:v>SO00634-01</x:v>
      </x:c>
      <x:c r="B635" t="str">
        <x:v>SO00634</x:v>
      </x:c>
      <x:c r="C635" t="str">
        <x:v>Q01002</x:v>
      </x:c>
      <x:c r="D635" t="str">
        <x:v>AFT-005</x:v>
      </x:c>
      <x:c r="E635" t="str">
        <x:v>S05</x:v>
      </x:c>
      <x:c r="F635" t="str">
        <x:v>AUTO-KN-A</x:v>
      </x:c>
      <x:c r="G635" t="str">
        <x:v>汽車精密零組件</x:v>
      </x:c>
      <x:c r="H635" s="20" t="n">
        <x:v>46202</x:v>
      </x:c>
      <x:c r="I635" t="n">
        <x:v>5000</x:v>
      </x:c>
      <x:c r="J635" t="n">
        <x:v>3226.85</x:v>
      </x:c>
      <x:c r="K635" t="str">
        <x:v>TWD</x:v>
      </x:c>
      <x:c r="L635" s="20" t="n">
        <x:v>46220</x:v>
      </x:c>
      <x:c r="M635" s="20" t="n">
        <x:v>46226</x:v>
      </x:c>
      <x:c r="N635" t="str">
        <x:v>是</x:v>
      </x:c>
      <x:c r="O635" t="str">
        <x:v>VIP</x:v>
      </x:c>
      <x:c r="P635" t="str">
        <x:v>待料</x:v>
      </x:c>
    </x:row>
    <x:row r="636" ht="20" customHeight="1">
      <x:c r="A636" t="str">
        <x:v>SO00635-01</x:v>
      </x:c>
      <x:c r="B636" t="str">
        <x:v>SO00635</x:v>
      </x:c>
      <x:c r="C636" t="str">
        <x:v>Q01004</x:v>
      </x:c>
      <x:c r="D636" t="str">
        <x:v>EMS-006</x:v>
      </x:c>
      <x:c r="E636" t="str">
        <x:v>S03</x:v>
      </x:c>
      <x:c r="F636" t="str">
        <x:v>SEMI-WH-A</x:v>
      </x:c>
      <x:c r="G636" t="str">
        <x:v>半導體設備零組件</x:v>
      </x:c>
      <x:c r="H636" s="20" t="n">
        <x:v>46214</x:v>
      </x:c>
      <x:c r="I636" t="n">
        <x:v>160</x:v>
      </x:c>
      <x:c r="J636" t="n">
        <x:v>116086.59</x:v>
      </x:c>
      <x:c r="K636" t="str">
        <x:v>TWD</x:v>
      </x:c>
      <x:c r="L636" s="20" t="n">
        <x:v>46260</x:v>
      </x:c>
      <x:c r="M636" s="20" t="n">
        <x:v>46265</x:v>
      </x:c>
      <x:c r="N636" t="str">
        <x:v>否</x:v>
      </x:c>
      <x:c r="O636" t="str">
        <x:v>重要</x:v>
      </x:c>
      <x:c r="P636" t="str">
        <x:v>待料</x:v>
      </x:c>
    </x:row>
    <x:row r="637" ht="20" customHeight="1">
      <x:c r="A637" t="str">
        <x:v>SO00636-01</x:v>
      </x:c>
      <x:c r="B637" t="str">
        <x:v>SO00636</x:v>
      </x:c>
      <x:c r="C637" t="str">
        <x:v>Q01005</x:v>
      </x:c>
      <x:c r="D637" t="str">
        <x:v>EMS-005</x:v>
      </x:c>
      <x:c r="E637" t="str">
        <x:v>S01</x:v>
      </x:c>
      <x:c r="F637" t="str">
        <x:v>AUTO-FL-B</x:v>
      </x:c>
      <x:c r="G637" t="str">
        <x:v>汽車精密零組件</x:v>
      </x:c>
      <x:c r="H637" s="20" t="n">
        <x:v>46185</x:v>
      </x:c>
      <x:c r="I637" t="n">
        <x:v>7000</x:v>
      </x:c>
      <x:c r="J637" t="n">
        <x:v>1601.82</x:v>
      </x:c>
      <x:c r="K637" t="str">
        <x:v>TWD</x:v>
      </x:c>
      <x:c r="L637" s="20" t="n">
        <x:v>46198</x:v>
      </x:c>
      <x:c r="M637" s="20" t="n">
        <x:v>46202</x:v>
      </x:c>
      <x:c r="N637" t="str">
        <x:v>是</x:v>
      </x:c>
      <x:c r="O637" t="str">
        <x:v>VIP</x:v>
      </x:c>
      <x:c r="P637" t="str">
        <x:v>待料</x:v>
      </x:c>
    </x:row>
    <x:row r="638" ht="20" customHeight="1">
      <x:c r="A638" t="str">
        <x:v>SO00637-01</x:v>
      </x:c>
      <x:c r="B638" t="str">
        <x:v>SO00637</x:v>
      </x:c>
      <x:c r="C638" t="str">
        <x:v>Q01008</x:v>
      </x:c>
      <x:c r="D638" t="str">
        <x:v>IAT-007</x:v>
      </x:c>
      <x:c r="E638" t="str">
        <x:v>S04</x:v>
      </x:c>
      <x:c r="F638" t="str">
        <x:v>PM-ALB-A</x:v>
      </x:c>
      <x:c r="G638" t="str">
        <x:v>精密金屬加工件</x:v>
      </x:c>
      <x:c r="H638" s="20" t="n">
        <x:v>46187</x:v>
      </x:c>
      <x:c r="I638" t="n">
        <x:v>1200</x:v>
      </x:c>
      <x:c r="J638" t="n">
        <x:v>11498.57</x:v>
      </x:c>
      <x:c r="K638" t="str">
        <x:v>TWD</x:v>
      </x:c>
      <x:c r="L638" s="20" t="n">
        <x:v>46209</x:v>
      </x:c>
      <x:c r="M638" s="20" t="n">
        <x:v>46213</x:v>
      </x:c>
      <x:c r="N638" t="str">
        <x:v>是</x:v>
      </x:c>
      <x:c r="O638" t="str">
        <x:v>重要</x:v>
      </x:c>
      <x:c r="P638" t="str">
        <x:v>待料</x:v>
      </x:c>
    </x:row>
    <x:row r="639" ht="20" customHeight="1">
      <x:c r="A639" t="str">
        <x:v>SO00638-01</x:v>
      </x:c>
      <x:c r="B639" t="str">
        <x:v>SO00638</x:v>
      </x:c>
      <x:c r="C639" t="str">
        <x:v>Q01009</x:v>
      </x:c>
      <x:c r="D639" t="str">
        <x:v>IAT-008</x:v>
      </x:c>
      <x:c r="E639" t="str">
        <x:v>S01</x:v>
      </x:c>
      <x:c r="F639" t="str">
        <x:v>SEMI-WH-A</x:v>
      </x:c>
      <x:c r="G639" t="str">
        <x:v>半導體設備零組件</x:v>
      </x:c>
      <x:c r="H639" s="20" t="n">
        <x:v>46205</x:v>
      </x:c>
      <x:c r="I639" t="n">
        <x:v>120</x:v>
      </x:c>
      <x:c r="J639" t="n">
        <x:v>108984.63</x:v>
      </x:c>
      <x:c r="K639" t="str">
        <x:v>TWD</x:v>
      </x:c>
      <x:c r="L639" s="20" t="n">
        <x:v>46258</x:v>
      </x:c>
      <x:c r="M639" s="20" t="n">
        <x:v>46258</x:v>
      </x:c>
      <x:c r="N639" t="str">
        <x:v>否</x:v>
      </x:c>
      <x:c r="O639" t="str">
        <x:v>重要</x:v>
      </x:c>
      <x:c r="P639" t="str">
        <x:v>待料</x:v>
      </x:c>
    </x:row>
    <x:row r="640" ht="20" customHeight="1">
      <x:c r="A640" t="str">
        <x:v>SO00639-01</x:v>
      </x:c>
      <x:c r="B640" t="str">
        <x:v>SO00639</x:v>
      </x:c>
      <x:c r="C640" t="str">
        <x:v>Q01010</x:v>
      </x:c>
      <x:c r="D640" t="str">
        <x:v>AUT-007</x:v>
      </x:c>
      <x:c r="E640" t="str">
        <x:v>S04</x:v>
      </x:c>
      <x:c r="F640" t="str">
        <x:v>MECH-STG-B</x:v>
      </x:c>
      <x:c r="G640" t="str">
        <x:v>機電／自動化模組</x:v>
      </x:c>
      <x:c r="H640" s="20" t="n">
        <x:v>46179</x:v>
      </x:c>
      <x:c r="I640" t="n">
        <x:v>10</x:v>
      </x:c>
      <x:c r="J640" t="n">
        <x:v>199738.84</x:v>
      </x:c>
      <x:c r="K640" t="str">
        <x:v>TWD</x:v>
      </x:c>
      <x:c r="L640" s="20" t="n">
        <x:v>46235</x:v>
      </x:c>
      <x:c r="M640" s="20" t="n">
        <x:v>46235</x:v>
      </x:c>
      <x:c r="N640" t="str">
        <x:v>否</x:v>
      </x:c>
      <x:c r="O640" t="str">
        <x:v>一般</x:v>
      </x:c>
      <x:c r="P640" t="str">
        <x:v>待排程</x:v>
      </x:c>
    </x:row>
    <x:row r="641" ht="20" customHeight="1">
      <x:c r="A641" t="str">
        <x:v>SO00640-01</x:v>
      </x:c>
      <x:c r="B641" t="str">
        <x:v>SO00640</x:v>
      </x:c>
      <x:c r="C641" t="str">
        <x:v>Q01012</x:v>
      </x:c>
      <x:c r="D641" t="str">
        <x:v>EMS-004</x:v>
      </x:c>
      <x:c r="E641" t="str">
        <x:v>S03</x:v>
      </x:c>
      <x:c r="F641" t="str">
        <x:v>MECH-STG-A</x:v>
      </x:c>
      <x:c r="G641" t="str">
        <x:v>機電／自動化模組</x:v>
      </x:c>
      <x:c r="H641" s="20" t="n">
        <x:v>46235</x:v>
      </x:c>
      <x:c r="I641" t="n">
        <x:v>20</x:v>
      </x:c>
      <x:c r="J641" t="n">
        <x:v>143182.8</x:v>
      </x:c>
      <x:c r="K641" t="str">
        <x:v>TWD</x:v>
      </x:c>
      <x:c r="L641" s="20" t="n">
        <x:v>46274</x:v>
      </x:c>
      <x:c r="M641" s="20" t="n">
        <x:v>46274</x:v>
      </x:c>
      <x:c r="N641" t="str">
        <x:v>否</x:v>
      </x:c>
      <x:c r="O641" t="str">
        <x:v>VIP</x:v>
      </x:c>
      <x:c r="P641" t="str">
        <x:v>待排程</x:v>
      </x:c>
    </x:row>
    <x:row r="642" ht="20" customHeight="1">
      <x:c r="A642" t="str">
        <x:v>SO00641-01</x:v>
      </x:c>
      <x:c r="B642" t="str">
        <x:v>SO00641</x:v>
      </x:c>
      <x:c r="C642" t="str">
        <x:v>Q01013</x:v>
      </x:c>
      <x:c r="D642" t="str">
        <x:v>AFT-001</x:v>
      </x:c>
      <x:c r="E642" t="str">
        <x:v>S05</x:v>
      </x:c>
      <x:c r="F642" t="str">
        <x:v>PM-BRG-B</x:v>
      </x:c>
      <x:c r="G642" t="str">
        <x:v>精密金屬加工件</x:v>
      </x:c>
      <x:c r="H642" s="20" t="n">
        <x:v>46240</x:v>
      </x:c>
      <x:c r="I642" t="n">
        <x:v>1600</x:v>
      </x:c>
      <x:c r="J642" t="n">
        <x:v>7231.66</x:v>
      </x:c>
      <x:c r="K642" t="str">
        <x:v>TWD</x:v>
      </x:c>
      <x:c r="L642" s="20" t="n">
        <x:v>46257</x:v>
      </x:c>
      <x:c r="M642" s="20" t="n">
        <x:v>46261</x:v>
      </x:c>
      <x:c r="N642" t="str">
        <x:v>是</x:v>
      </x:c>
      <x:c r="O642" t="str">
        <x:v>重要</x:v>
      </x:c>
      <x:c r="P642" t="str">
        <x:v>待料</x:v>
      </x:c>
    </x:row>
    <x:row r="643" ht="20" customHeight="1">
      <x:c r="A643" t="str">
        <x:v>SO00642-01</x:v>
      </x:c>
      <x:c r="B643" t="str">
        <x:v>SO00642</x:v>
      </x:c>
      <x:c r="C643" t="str">
        <x:v>Q01014</x:v>
      </x:c>
      <x:c r="D643" t="str">
        <x:v>AFT-002</x:v>
      </x:c>
      <x:c r="E643" t="str">
        <x:v>S04</x:v>
      </x:c>
      <x:c r="F643" t="str">
        <x:v>AUTO-MH-B</x:v>
      </x:c>
      <x:c r="G643" t="str">
        <x:v>汽車精密零組件</x:v>
      </x:c>
      <x:c r="H643" s="20" t="n">
        <x:v>46236</x:v>
      </x:c>
      <x:c r="I643" t="n">
        <x:v>7000</x:v>
      </x:c>
      <x:c r="J643" t="n">
        <x:v>3034.34</x:v>
      </x:c>
      <x:c r="K643" t="str">
        <x:v>TWD</x:v>
      </x:c>
      <x:c r="L643" s="20" t="n">
        <x:v>46260</x:v>
      </x:c>
      <x:c r="M643" s="20" t="n">
        <x:v>46260</x:v>
      </x:c>
      <x:c r="N643" t="str">
        <x:v>否</x:v>
      </x:c>
      <x:c r="O643" t="str">
        <x:v>一般</x:v>
      </x:c>
      <x:c r="P643" t="str">
        <x:v>待料</x:v>
      </x:c>
    </x:row>
    <x:row r="644" ht="20" customHeight="1">
      <x:c r="A644" t="str">
        <x:v>SO00643-01</x:v>
      </x:c>
      <x:c r="B644" t="str">
        <x:v>SO00643</x:v>
      </x:c>
      <x:c r="C644" t="str">
        <x:v>Q01015</x:v>
      </x:c>
      <x:c r="D644" t="str">
        <x:v>EMS-003</x:v>
      </x:c>
      <x:c r="E644" t="str">
        <x:v>S05</x:v>
      </x:c>
      <x:c r="F644" t="str">
        <x:v>MECH-CON-A</x:v>
      </x:c>
      <x:c r="G644" t="str">
        <x:v>機電／自動化模組</x:v>
      </x:c>
      <x:c r="H644" s="20" t="n">
        <x:v>46239</x:v>
      </x:c>
      <x:c r="I644" t="n">
        <x:v>40</x:v>
      </x:c>
      <x:c r="J644" t="n">
        <x:v>116319.54</x:v>
      </x:c>
      <x:c r="K644" t="str">
        <x:v>TWD</x:v>
      </x:c>
      <x:c r="L644" s="20" t="n">
        <x:v>46278</x:v>
      </x:c>
      <x:c r="M644" s="20" t="n">
        <x:v>46278</x:v>
      </x:c>
      <x:c r="N644" t="str">
        <x:v>否</x:v>
      </x:c>
      <x:c r="O644" t="str">
        <x:v>一般</x:v>
      </x:c>
      <x:c r="P644" t="str">
        <x:v>待排程</x:v>
      </x:c>
    </x:row>
    <x:row r="645" ht="20" customHeight="1">
      <x:c r="A645" t="str">
        <x:v>SO00644-01</x:v>
      </x:c>
      <x:c r="B645" t="str">
        <x:v>SO00644</x:v>
      </x:c>
      <x:c r="C645" t="str">
        <x:v>Q01016</x:v>
      </x:c>
      <x:c r="D645" t="str">
        <x:v>EMS-004</x:v>
      </x:c>
      <x:c r="E645" t="str">
        <x:v>S03</x:v>
      </x:c>
      <x:c r="F645" t="str">
        <x:v>SEMI-WH-A</x:v>
      </x:c>
      <x:c r="G645" t="str">
        <x:v>半導體設備零組件</x:v>
      </x:c>
      <x:c r="H645" s="20" t="n">
        <x:v>46231</x:v>
      </x:c>
      <x:c r="I645" t="n">
        <x:v>80</x:v>
      </x:c>
      <x:c r="J645" t="n">
        <x:v>116235.56</x:v>
      </x:c>
      <x:c r="K645" t="str">
        <x:v>TWD</x:v>
      </x:c>
      <x:c r="L645" s="20" t="n">
        <x:v>46268</x:v>
      </x:c>
      <x:c r="M645" s="20" t="n">
        <x:v>46280</x:v>
      </x:c>
      <x:c r="N645" t="str">
        <x:v>是</x:v>
      </x:c>
      <x:c r="O645" t="str">
        <x:v>VIP</x:v>
      </x:c>
      <x:c r="P645" t="str">
        <x:v>待料</x:v>
      </x:c>
    </x:row>
    <x:row r="646" ht="20" customHeight="1">
      <x:c r="A646" t="str">
        <x:v>SO00645-01</x:v>
      </x:c>
      <x:c r="B646" t="str">
        <x:v>SO00645</x:v>
      </x:c>
      <x:c r="C646" t="str">
        <x:v>Q01017</x:v>
      </x:c>
      <x:c r="D646" t="str">
        <x:v>EMS-003</x:v>
      </x:c>
      <x:c r="E646" t="str">
        <x:v>S05</x:v>
      </x:c>
      <x:c r="F646" t="str">
        <x:v>PM-ALB-A</x:v>
      </x:c>
      <x:c r="G646" t="str">
        <x:v>精密金屬加工件</x:v>
      </x:c>
      <x:c r="H646" s="20" t="n">
        <x:v>46228</x:v>
      </x:c>
      <x:c r="I646" t="n">
        <x:v>500</x:v>
      </x:c>
      <x:c r="J646" t="n">
        <x:v>11260.72</x:v>
      </x:c>
      <x:c r="K646" t="str">
        <x:v>TWD</x:v>
      </x:c>
      <x:c r="L646" s="20" t="n">
        <x:v>46255</x:v>
      </x:c>
      <x:c r="M646" s="20" t="n">
        <x:v>46255</x:v>
      </x:c>
      <x:c r="N646" t="str">
        <x:v>否</x:v>
      </x:c>
      <x:c r="O646" t="str">
        <x:v>一般</x:v>
      </x:c>
      <x:c r="P646" t="str">
        <x:v>待料</x:v>
      </x:c>
    </x:row>
    <x:row r="647" ht="20" customHeight="1">
      <x:c r="A647" t="str">
        <x:v>SO00646-01</x:v>
      </x:c>
      <x:c r="B647" t="str">
        <x:v>SO00646</x:v>
      </x:c>
      <x:c r="C647" t="str">
        <x:v>Q01018</x:v>
      </x:c>
      <x:c r="D647" t="str">
        <x:v>AUT-004</x:v>
      </x:c>
      <x:c r="E647" t="str">
        <x:v>S03</x:v>
      </x:c>
      <x:c r="F647" t="str">
        <x:v>AUTO-KN-A</x:v>
      </x:c>
      <x:c r="G647" t="str">
        <x:v>汽車精密零組件</x:v>
      </x:c>
      <x:c r="H647" s="20" t="n">
        <x:v>46212</x:v>
      </x:c>
      <x:c r="I647" t="n">
        <x:v>3000</x:v>
      </x:c>
      <x:c r="J647" t="n">
        <x:v>3080.33</x:v>
      </x:c>
      <x:c r="K647" t="str">
        <x:v>TWD</x:v>
      </x:c>
      <x:c r="L647" s="20" t="n">
        <x:v>46233</x:v>
      </x:c>
      <x:c r="M647" s="20" t="n">
        <x:v>46234</x:v>
      </x:c>
      <x:c r="N647" t="str">
        <x:v>否</x:v>
      </x:c>
      <x:c r="O647" t="str">
        <x:v>VIP</x:v>
      </x:c>
      <x:c r="P647" t="str">
        <x:v>待料</x:v>
      </x:c>
    </x:row>
    <x:row r="648" ht="20" customHeight="1">
      <x:c r="A648" t="str">
        <x:v>SO00647-01</x:v>
      </x:c>
      <x:c r="B648" t="str">
        <x:v>SO00647</x:v>
      </x:c>
      <x:c r="C648" t="str">
        <x:v>Q01019</x:v>
      </x:c>
      <x:c r="D648" t="str">
        <x:v>AUT-004</x:v>
      </x:c>
      <x:c r="E648" t="str">
        <x:v>S03</x:v>
      </x:c>
      <x:c r="F648" t="str">
        <x:v>PM-BRG-B</x:v>
      </x:c>
      <x:c r="G648" t="str">
        <x:v>精密金屬加工件</x:v>
      </x:c>
      <x:c r="H648" s="20" t="n">
        <x:v>46218</x:v>
      </x:c>
      <x:c r="I648" t="n">
        <x:v>1600</x:v>
      </x:c>
      <x:c r="J648" t="n">
        <x:v>8241.46</x:v>
      </x:c>
      <x:c r="K648" t="str">
        <x:v>TWD</x:v>
      </x:c>
      <x:c r="L648" s="20" t="n">
        <x:v>46239</x:v>
      </x:c>
      <x:c r="M648" s="20" t="n">
        <x:v>46241</x:v>
      </x:c>
      <x:c r="N648" t="str">
        <x:v>是</x:v>
      </x:c>
      <x:c r="O648" t="str">
        <x:v>VIP</x:v>
      </x:c>
      <x:c r="P648" t="str">
        <x:v>待料</x:v>
      </x:c>
    </x:row>
    <x:row r="649" ht="20" customHeight="1">
      <x:c r="A649" t="str">
        <x:v>SO00648-01</x:v>
      </x:c>
      <x:c r="B649" t="str">
        <x:v>SO00648</x:v>
      </x:c>
      <x:c r="C649" t="str">
        <x:v>Q01020</x:v>
      </x:c>
      <x:c r="D649" t="str">
        <x:v>IAT-001</x:v>
      </x:c>
      <x:c r="E649" t="str">
        <x:v>S05</x:v>
      </x:c>
      <x:c r="F649" t="str">
        <x:v>AUTO-MH-A</x:v>
      </x:c>
      <x:c r="G649" t="str">
        <x:v>汽車精密零組件</x:v>
      </x:c>
      <x:c r="H649" s="20" t="n">
        <x:v>46218</x:v>
      </x:c>
      <x:c r="I649" t="n">
        <x:v>3000</x:v>
      </x:c>
      <x:c r="J649" t="n">
        <x:v>2641.89</x:v>
      </x:c>
      <x:c r="K649" t="str">
        <x:v>TWD</x:v>
      </x:c>
      <x:c r="L649" s="20" t="n">
        <x:v>46236</x:v>
      </x:c>
      <x:c r="M649" s="20" t="n">
        <x:v>46240</x:v>
      </x:c>
      <x:c r="N649" t="str">
        <x:v>是</x:v>
      </x:c>
      <x:c r="O649" t="str">
        <x:v>一般</x:v>
      </x:c>
      <x:c r="P649" t="str">
        <x:v>待料</x:v>
      </x:c>
    </x:row>
    <x:row r="650" ht="20" customHeight="1">
      <x:c r="A650" t="str">
        <x:v>SO00649-01</x:v>
      </x:c>
      <x:c r="B650" t="str">
        <x:v>SO00649</x:v>
      </x:c>
      <x:c r="C650" t="str">
        <x:v>Q01021</x:v>
      </x:c>
      <x:c r="D650" t="str">
        <x:v>IAT-004</x:v>
      </x:c>
      <x:c r="E650" t="str">
        <x:v>S05</x:v>
      </x:c>
      <x:c r="F650" t="str">
        <x:v>AUTO-FL-A</x:v>
      </x:c>
      <x:c r="G650" t="str">
        <x:v>汽車精密零組件</x:v>
      </x:c>
      <x:c r="H650" s="20" t="n">
        <x:v>46228</x:v>
      </x:c>
      <x:c r="I650" t="n">
        <x:v>13000</x:v>
      </x:c>
      <x:c r="J650" t="n">
        <x:v>1333.87</x:v>
      </x:c>
      <x:c r="K650" t="str">
        <x:v>TWD</x:v>
      </x:c>
      <x:c r="L650" s="20" t="n">
        <x:v>46243</x:v>
      </x:c>
      <x:c r="M650" s="20" t="n">
        <x:v>46244</x:v>
      </x:c>
      <x:c r="N650" t="str">
        <x:v>否</x:v>
      </x:c>
      <x:c r="O650" t="str">
        <x:v>重要</x:v>
      </x:c>
      <x:c r="P650" t="str">
        <x:v>待料</x:v>
      </x:c>
    </x:row>
    <x:row r="651" ht="20" customHeight="1">
      <x:c r="A651" t="str">
        <x:v>SO00650-01</x:v>
      </x:c>
      <x:c r="B651" t="str">
        <x:v>SO00650</x:v>
      </x:c>
      <x:c r="C651" t="str">
        <x:v>Q01023</x:v>
      </x:c>
      <x:c r="D651" t="str">
        <x:v>EMS-001</x:v>
      </x:c>
      <x:c r="E651" t="str">
        <x:v>S02</x:v>
      </x:c>
      <x:c r="F651" t="str">
        <x:v>PM-SUS-A</x:v>
      </x:c>
      <x:c r="G651" t="str">
        <x:v>精密金屬加工件</x:v>
      </x:c>
      <x:c r="H651" s="20" t="n">
        <x:v>46228</x:v>
      </x:c>
      <x:c r="I651" t="n">
        <x:v>300</x:v>
      </x:c>
      <x:c r="J651" t="n">
        <x:v>10315.97</x:v>
      </x:c>
      <x:c r="K651" t="str">
        <x:v>TWD</x:v>
      </x:c>
      <x:c r="L651" s="20" t="n">
        <x:v>46248</x:v>
      </x:c>
      <x:c r="M651" s="20" t="n">
        <x:v>46250</x:v>
      </x:c>
      <x:c r="N651" t="str">
        <x:v>否</x:v>
      </x:c>
      <x:c r="O651" t="str">
        <x:v>一般</x:v>
      </x:c>
      <x:c r="P651" t="str">
        <x:v>待料</x:v>
      </x:c>
    </x:row>
    <x:row r="652" ht="20" customHeight="1">
      <x:c r="A652" t="str">
        <x:v>SO00651-01</x:v>
      </x:c>
      <x:c r="B652" t="str">
        <x:v>SO00651</x:v>
      </x:c>
      <x:c r="C652" t="str">
        <x:v>Q01024</x:v>
      </x:c>
      <x:c r="D652" t="str">
        <x:v>AUT-002</x:v>
      </x:c>
      <x:c r="E652" t="str">
        <x:v>S04</x:v>
      </x:c>
      <x:c r="F652" t="str">
        <x:v>MECH-STG-A</x:v>
      </x:c>
      <x:c r="G652" t="str">
        <x:v>機電／自動化模組</x:v>
      </x:c>
      <x:c r="H652" s="20" t="n">
        <x:v>46225</x:v>
      </x:c>
      <x:c r="I652" t="n">
        <x:v>50</x:v>
      </x:c>
      <x:c r="J652" t="n">
        <x:v>144650.83</x:v>
      </x:c>
      <x:c r="K652" t="str">
        <x:v>TWD</x:v>
      </x:c>
      <x:c r="L652" s="20" t="n">
        <x:v>46254</x:v>
      </x:c>
      <x:c r="M652" s="20" t="n">
        <x:v>46265</x:v>
      </x:c>
      <x:c r="N652" t="str">
        <x:v>是</x:v>
      </x:c>
      <x:c r="O652" t="str">
        <x:v>重要</x:v>
      </x:c>
      <x:c r="P652" t="str">
        <x:v>待排程</x:v>
      </x:c>
    </x:row>
    <x:row r="653" ht="20" customHeight="1">
      <x:c r="A653" t="str">
        <x:v>SO00652-01</x:v>
      </x:c>
      <x:c r="B653" t="str">
        <x:v>SO00652</x:v>
      </x:c>
      <x:c r="C653" t="str">
        <x:v>Q01025</x:v>
      </x:c>
      <x:c r="D653" t="str">
        <x:v>AUT-012</x:v>
      </x:c>
      <x:c r="E653" t="str">
        <x:v>S06</x:v>
      </x:c>
      <x:c r="F653" t="str">
        <x:v>AUTO-BRK-A</x:v>
      </x:c>
      <x:c r="G653" t="str">
        <x:v>汽車精密零組件</x:v>
      </x:c>
      <x:c r="H653" s="20" t="n">
        <x:v>46235</x:v>
      </x:c>
      <x:c r="I653" t="n">
        <x:v>3000</x:v>
      </x:c>
      <x:c r="J653" t="n">
        <x:v>1660.32</x:v>
      </x:c>
      <x:c r="K653" t="str">
        <x:v>TWD</x:v>
      </x:c>
      <x:c r="L653" s="20" t="n">
        <x:v>46250</x:v>
      </x:c>
      <x:c r="M653" s="20" t="n">
        <x:v>46253</x:v>
      </x:c>
      <x:c r="N653" t="str">
        <x:v>否</x:v>
      </x:c>
      <x:c r="O653" t="str">
        <x:v>VIP</x:v>
      </x:c>
      <x:c r="P653" t="str">
        <x:v>待料</x:v>
      </x:c>
    </x:row>
    <x:row r="654" ht="20" customHeight="1">
      <x:c r="A654" t="str">
        <x:v>SO00653-01</x:v>
      </x:c>
      <x:c r="B654" t="str">
        <x:v>SO00653</x:v>
      </x:c>
      <x:c r="C654" t="str">
        <x:v>Q01026</x:v>
      </x:c>
      <x:c r="D654" t="str">
        <x:v>SEM-005</x:v>
      </x:c>
      <x:c r="E654" t="str">
        <x:v>S06</x:v>
      </x:c>
      <x:c r="F654" t="str">
        <x:v>SEMI-WH-A</x:v>
      </x:c>
      <x:c r="G654" t="str">
        <x:v>半導體設備零組件</x:v>
      </x:c>
      <x:c r="H654" s="20" t="n">
        <x:v>46229</x:v>
      </x:c>
      <x:c r="I654" t="n">
        <x:v>120</x:v>
      </x:c>
      <x:c r="J654" t="n">
        <x:v>102560.17</x:v>
      </x:c>
      <x:c r="K654" t="str">
        <x:v>TWD</x:v>
      </x:c>
      <x:c r="L654" s="20" t="n">
        <x:v>46281</x:v>
      </x:c>
      <x:c r="M654" s="20" t="n">
        <x:v>46281</x:v>
      </x:c>
      <x:c r="N654" t="str">
        <x:v>是</x:v>
      </x:c>
      <x:c r="O654" t="str">
        <x:v>重要</x:v>
      </x:c>
      <x:c r="P654" t="str">
        <x:v>待料</x:v>
      </x:c>
    </x:row>
    <x:row r="655" ht="20" customHeight="1">
      <x:c r="A655" t="str">
        <x:v>SO00654-01</x:v>
      </x:c>
      <x:c r="B655" t="str">
        <x:v>SO00654</x:v>
      </x:c>
      <x:c r="C655" t="str">
        <x:v>Q01027</x:v>
      </x:c>
      <x:c r="D655" t="str">
        <x:v>AUT-011</x:v>
      </x:c>
      <x:c r="E655" t="str">
        <x:v>S02</x:v>
      </x:c>
      <x:c r="F655" t="str">
        <x:v>PM-VAC-B</x:v>
      </x:c>
      <x:c r="G655" t="str">
        <x:v>精密金屬加工件</x:v>
      </x:c>
      <x:c r="H655" s="20" t="n">
        <x:v>46239</x:v>
      </x:c>
      <x:c r="I655" t="n">
        <x:v>800</x:v>
      </x:c>
      <x:c r="J655" t="n">
        <x:v>23087.39</x:v>
      </x:c>
      <x:c r="K655" t="str">
        <x:v>TWD</x:v>
      </x:c>
      <x:c r="L655" s="20" t="n">
        <x:v>46274</x:v>
      </x:c>
      <x:c r="M655" s="20" t="n">
        <x:v>46274</x:v>
      </x:c>
      <x:c r="N655" t="str">
        <x:v>否</x:v>
      </x:c>
      <x:c r="O655" t="str">
        <x:v>重要</x:v>
      </x:c>
      <x:c r="P655" t="str">
        <x:v>待料</x:v>
      </x:c>
    </x:row>
    <x:row r="656" ht="20" customHeight="1">
      <x:c r="A656" t="str">
        <x:v>SO00655-01</x:v>
      </x:c>
      <x:c r="B656" t="str">
        <x:v>SO00655</x:v>
      </x:c>
      <x:c r="C656" t="str">
        <x:v>Q01029</x:v>
      </x:c>
      <x:c r="D656" t="str">
        <x:v>AUT-013</x:v>
      </x:c>
      <x:c r="E656" t="str">
        <x:v>S01</x:v>
      </x:c>
      <x:c r="F656" t="str">
        <x:v>PM-SUS-B</x:v>
      </x:c>
      <x:c r="G656" t="str">
        <x:v>精密金屬加工件</x:v>
      </x:c>
      <x:c r="H656" s="20" t="n">
        <x:v>46232</x:v>
      </x:c>
      <x:c r="I656" t="n">
        <x:v>1200</x:v>
      </x:c>
      <x:c r="J656" t="n">
        <x:v>13456.78</x:v>
      </x:c>
      <x:c r="K656" t="str">
        <x:v>TWD</x:v>
      </x:c>
      <x:c r="L656" s="20" t="n">
        <x:v>46254</x:v>
      </x:c>
      <x:c r="M656" s="20" t="n">
        <x:v>46260</x:v>
      </x:c>
      <x:c r="N656" t="str">
        <x:v>是</x:v>
      </x:c>
      <x:c r="O656" t="str">
        <x:v>重要</x:v>
      </x:c>
      <x:c r="P656" t="str">
        <x:v>待料</x:v>
      </x:c>
    </x:row>
    <x:row r="657" ht="20" customHeight="1">
      <x:c r="A657" t="str">
        <x:v>SO00656-01</x:v>
      </x:c>
      <x:c r="B657" t="str">
        <x:v>SO00656</x:v>
      </x:c>
      <x:c r="C657" t="str">
        <x:v>Q01031</x:v>
      </x:c>
      <x:c r="D657" t="str">
        <x:v>EMS-008</x:v>
      </x:c>
      <x:c r="E657" t="str">
        <x:v>S02</x:v>
      </x:c>
      <x:c r="F657" t="str">
        <x:v>AUTO-KN-B</x:v>
      </x:c>
      <x:c r="G657" t="str">
        <x:v>汽車精密零組件</x:v>
      </x:c>
      <x:c r="H657" s="20" t="n">
        <x:v>46226</x:v>
      </x:c>
      <x:c r="I657" t="n">
        <x:v>10000</x:v>
      </x:c>
      <x:c r="J657" t="n">
        <x:v>3785.13</x:v>
      </x:c>
      <x:c r="K657" t="str">
        <x:v>TWD</x:v>
      </x:c>
      <x:c r="L657" s="20" t="n">
        <x:v>46249</x:v>
      </x:c>
      <x:c r="M657" s="20" t="n">
        <x:v>46250</x:v>
      </x:c>
      <x:c r="N657" t="str">
        <x:v>否</x:v>
      </x:c>
      <x:c r="O657" t="str">
        <x:v>重要</x:v>
      </x:c>
      <x:c r="P657" t="str">
        <x:v>待料</x:v>
      </x:c>
    </x:row>
    <x:row r="658" ht="20" customHeight="1">
      <x:c r="A658" t="str">
        <x:v>SO00657-01</x:v>
      </x:c>
      <x:c r="B658" t="str">
        <x:v>SO00657</x:v>
      </x:c>
      <x:c r="C658" t="str">
        <x:v>Q01032</x:v>
      </x:c>
      <x:c r="D658" t="str">
        <x:v>AUT-002</x:v>
      </x:c>
      <x:c r="E658" t="str">
        <x:v>S04</x:v>
      </x:c>
      <x:c r="F658" t="str">
        <x:v>AUTO-MH-A</x:v>
      </x:c>
      <x:c r="G658" t="str">
        <x:v>汽車精密零組件</x:v>
      </x:c>
      <x:c r="H658" s="20" t="n">
        <x:v>46232</x:v>
      </x:c>
      <x:c r="I658" t="n">
        <x:v>13000</x:v>
      </x:c>
      <x:c r="J658" t="n">
        <x:v>2411.9</x:v>
      </x:c>
      <x:c r="K658" t="str">
        <x:v>TWD</x:v>
      </x:c>
      <x:c r="L658" s="20" t="n">
        <x:v>46248</x:v>
      </x:c>
      <x:c r="M658" s="20" t="n">
        <x:v>46255</x:v>
      </x:c>
      <x:c r="N658" t="str">
        <x:v>是</x:v>
      </x:c>
      <x:c r="O658" t="str">
        <x:v>重要</x:v>
      </x:c>
      <x:c r="P658" t="str">
        <x:v>待料</x:v>
      </x:c>
    </x:row>
    <x:row r="659" ht="20" customHeight="1">
      <x:c r="A659" t="str">
        <x:v>SO00658-01</x:v>
      </x:c>
      <x:c r="B659" t="str">
        <x:v>SO00658</x:v>
      </x:c>
      <x:c r="C659" t="str">
        <x:v>Q01033</x:v>
      </x:c>
      <x:c r="D659" t="str">
        <x:v>AUT-013</x:v>
      </x:c>
      <x:c r="E659" t="str">
        <x:v>S01</x:v>
      </x:c>
      <x:c r="F659" t="str">
        <x:v>AUTO-KN-B</x:v>
      </x:c>
      <x:c r="G659" t="str">
        <x:v>汽車精密零組件</x:v>
      </x:c>
      <x:c r="H659" s="20" t="n">
        <x:v>46242</x:v>
      </x:c>
      <x:c r="I659" t="n">
        <x:v>7000</x:v>
      </x:c>
      <x:c r="J659" t="n">
        <x:v>3818.8</x:v>
      </x:c>
      <x:c r="K659" t="str">
        <x:v>TWD</x:v>
      </x:c>
      <x:c r="L659" s="20" t="n">
        <x:v>46271</x:v>
      </x:c>
      <x:c r="M659" s="20" t="n">
        <x:v>46271</x:v>
      </x:c>
      <x:c r="N659" t="str">
        <x:v>否</x:v>
      </x:c>
      <x:c r="O659" t="str">
        <x:v>重要</x:v>
      </x:c>
      <x:c r="P659" t="str">
        <x:v>待料</x:v>
      </x:c>
    </x:row>
    <x:row r="660" ht="20" customHeight="1">
      <x:c r="A660" t="str">
        <x:v>SO00659-01</x:v>
      </x:c>
      <x:c r="B660" t="str">
        <x:v>SO00659</x:v>
      </x:c>
      <x:c r="C660" t="str">
        <x:v>Q01036</x:v>
      </x:c>
      <x:c r="D660" t="str">
        <x:v>AUT-012</x:v>
      </x:c>
      <x:c r="E660" t="str">
        <x:v>S06</x:v>
      </x:c>
      <x:c r="F660" t="str">
        <x:v>AUTO-BS-B</x:v>
      </x:c>
      <x:c r="G660" t="str">
        <x:v>汽車精密零組件</x:v>
      </x:c>
      <x:c r="H660" s="20" t="n">
        <x:v>46222</x:v>
      </x:c>
      <x:c r="I660" t="n">
        <x:v>7000</x:v>
      </x:c>
      <x:c r="J660" t="n">
        <x:v>909.33</x:v>
      </x:c>
      <x:c r="K660" t="str">
        <x:v>TWD</x:v>
      </x:c>
      <x:c r="L660" s="20" t="n">
        <x:v>46240</x:v>
      </x:c>
      <x:c r="M660" s="20" t="n">
        <x:v>46240</x:v>
      </x:c>
      <x:c r="N660" t="str">
        <x:v>否</x:v>
      </x:c>
      <x:c r="O660" t="str">
        <x:v>VIP</x:v>
      </x:c>
      <x:c r="P660" t="str">
        <x:v>待料</x:v>
      </x:c>
    </x:row>
    <x:row r="661" ht="20" customHeight="1">
      <x:c r="A661" t="str">
        <x:v>SO00660-01</x:v>
      </x:c>
      <x:c r="B661" t="str">
        <x:v>SO00660</x:v>
      </x:c>
      <x:c r="C661" t="str">
        <x:v>Q01037</x:v>
      </x:c>
      <x:c r="D661" t="str">
        <x:v>AUT-005</x:v>
      </x:c>
      <x:c r="E661" t="str">
        <x:v>S04</x:v>
      </x:c>
      <x:c r="F661" t="str">
        <x:v>AUTO-BRK-A</x:v>
      </x:c>
      <x:c r="G661" t="str">
        <x:v>汽車精密零組件</x:v>
      </x:c>
      <x:c r="H661" s="20" t="n">
        <x:v>46266</x:v>
      </x:c>
      <x:c r="I661" t="n">
        <x:v>13000</x:v>
      </x:c>
      <x:c r="J661" t="n">
        <x:v>1848.66</x:v>
      </x:c>
      <x:c r="K661" t="str">
        <x:v>TWD</x:v>
      </x:c>
      <x:c r="L661" s="20" t="n">
        <x:v>46279</x:v>
      </x:c>
      <x:c r="M661" s="20" t="n">
        <x:v>46285</x:v>
      </x:c>
      <x:c r="N661" t="str">
        <x:v>是</x:v>
      </x:c>
      <x:c r="O661" t="str">
        <x:v>VIP</x:v>
      </x:c>
      <x:c r="P661" t="str">
        <x:v>待料</x:v>
      </x:c>
    </x:row>
    <x:row r="662" ht="20" customHeight="1">
      <x:c r="A662" t="str">
        <x:v>SO00661-01</x:v>
      </x:c>
      <x:c r="B662" t="str">
        <x:v>SO00661</x:v>
      </x:c>
      <x:c r="C662" t="str">
        <x:v>Q01038</x:v>
      </x:c>
      <x:c r="D662" t="str">
        <x:v>EMS-002</x:v>
      </x:c>
      <x:c r="E662" t="str">
        <x:v>S05</x:v>
      </x:c>
      <x:c r="F662" t="str">
        <x:v>AUTO-MH-A</x:v>
      </x:c>
      <x:c r="G662" t="str">
        <x:v>汽車精密零組件</x:v>
      </x:c>
      <x:c r="H662" s="20" t="n">
        <x:v>46267</x:v>
      </x:c>
      <x:c r="I662" t="n">
        <x:v>13000</x:v>
      </x:c>
      <x:c r="J662" t="n">
        <x:v>2574.39</x:v>
      </x:c>
      <x:c r="K662" t="str">
        <x:v>TWD</x:v>
      </x:c>
      <x:c r="L662" s="20" t="n">
        <x:v>46284</x:v>
      </x:c>
      <x:c r="M662" s="20" t="n">
        <x:v>46289</x:v>
      </x:c>
      <x:c r="N662" t="str">
        <x:v>是</x:v>
      </x:c>
      <x:c r="O662" t="str">
        <x:v>重要</x:v>
      </x:c>
      <x:c r="P662" t="str">
        <x:v>待料</x:v>
      </x:c>
    </x:row>
    <x:row r="663" ht="20" customHeight="1">
      <x:c r="A663" t="str">
        <x:v>SO00662-01</x:v>
      </x:c>
      <x:c r="B663" t="str">
        <x:v>SO00662</x:v>
      </x:c>
      <x:c r="C663" t="str">
        <x:v>Q01039</x:v>
      </x:c>
      <x:c r="D663" t="str">
        <x:v>SEM-003</x:v>
      </x:c>
      <x:c r="E663" t="str">
        <x:v>S02</x:v>
      </x:c>
      <x:c r="F663" t="str">
        <x:v>PM-SUS-B</x:v>
      </x:c>
      <x:c r="G663" t="str">
        <x:v>精密金屬加工件</x:v>
      </x:c>
      <x:c r="H663" s="20" t="n">
        <x:v>46250</x:v>
      </x:c>
      <x:c r="I663" t="n">
        <x:v>500</x:v>
      </x:c>
      <x:c r="J663" t="n">
        <x:v>13328.93</x:v>
      </x:c>
      <x:c r="K663" t="str">
        <x:v>TWD</x:v>
      </x:c>
      <x:c r="L663" s="20" t="n">
        <x:v>46271</x:v>
      </x:c>
      <x:c r="M663" s="20" t="n">
        <x:v>46279</x:v>
      </x:c>
      <x:c r="N663" t="str">
        <x:v>是</x:v>
      </x:c>
      <x:c r="O663" t="str">
        <x:v>重要</x:v>
      </x:c>
      <x:c r="P663" t="str">
        <x:v>待料</x:v>
      </x:c>
    </x:row>
    <x:row r="664" ht="20" customHeight="1">
      <x:c r="A664" t="str">
        <x:v>SO00663-01</x:v>
      </x:c>
      <x:c r="B664" t="str">
        <x:v>SO00663</x:v>
      </x:c>
      <x:c r="C664" t="str">
        <x:v>Q01041</x:v>
      </x:c>
      <x:c r="D664" t="str">
        <x:v>SEM-007</x:v>
      </x:c>
      <x:c r="E664" t="str">
        <x:v>S03</x:v>
      </x:c>
      <x:c r="F664" t="str">
        <x:v>MECH-CON-A</x:v>
      </x:c>
      <x:c r="G664" t="str">
        <x:v>機電／自動化模組</x:v>
      </x:c>
      <x:c r="H664" s="20" t="n">
        <x:v>46273</x:v>
      </x:c>
      <x:c r="I664" t="n">
        <x:v>20</x:v>
      </x:c>
      <x:c r="J664" t="n">
        <x:v>113103.06</x:v>
      </x:c>
      <x:c r="K664" t="str">
        <x:v>TWD</x:v>
      </x:c>
      <x:c r="L664" s="20" t="n">
        <x:v>46299</x:v>
      </x:c>
      <x:c r="M664" s="20" t="n">
        <x:v>46306</x:v>
      </x:c>
      <x:c r="N664" t="str">
        <x:v>是</x:v>
      </x:c>
      <x:c r="O664" t="str">
        <x:v>重要</x:v>
      </x:c>
      <x:c r="P664" t="str">
        <x:v>待料</x:v>
      </x:c>
    </x:row>
    <x:row r="665" ht="20" customHeight="1">
      <x:c r="A665" t="str">
        <x:v>SO00664-01</x:v>
      </x:c>
      <x:c r="B665" t="str">
        <x:v>SO00664</x:v>
      </x:c>
      <x:c r="C665" t="str">
        <x:v>Q01042</x:v>
      </x:c>
      <x:c r="D665" t="str">
        <x:v>SEM-007</x:v>
      </x:c>
      <x:c r="E665" t="str">
        <x:v>S03</x:v>
      </x:c>
      <x:c r="F665" t="str">
        <x:v>PM-VAC-B</x:v>
      </x:c>
      <x:c r="G665" t="str">
        <x:v>精密金屬加工件</x:v>
      </x:c>
      <x:c r="H665" s="20" t="n">
        <x:v>46261</x:v>
      </x:c>
      <x:c r="I665" t="n">
        <x:v>800</x:v>
      </x:c>
      <x:c r="J665" t="n">
        <x:v>22876.77</x:v>
      </x:c>
      <x:c r="K665" t="str">
        <x:v>TWD</x:v>
      </x:c>
      <x:c r="L665" s="20" t="n">
        <x:v>46286</x:v>
      </x:c>
      <x:c r="M665" s="20" t="n">
        <x:v>46297</x:v>
      </x:c>
      <x:c r="N665" t="str">
        <x:v>是</x:v>
      </x:c>
      <x:c r="O665" t="str">
        <x:v>重要</x:v>
      </x:c>
      <x:c r="P665" t="str">
        <x:v>待料</x:v>
      </x:c>
    </x:row>
    <x:row r="666" ht="20" customHeight="1">
      <x:c r="A666" t="str">
        <x:v>SO00665-01</x:v>
      </x:c>
      <x:c r="B666" t="str">
        <x:v>SO00665</x:v>
      </x:c>
      <x:c r="C666" t="str">
        <x:v>Q01043</x:v>
      </x:c>
      <x:c r="D666" t="str">
        <x:v>AUT-004</x:v>
      </x:c>
      <x:c r="E666" t="str">
        <x:v>S03</x:v>
      </x:c>
      <x:c r="F666" t="str">
        <x:v>AUTO-BS-A</x:v>
      </x:c>
      <x:c r="G666" t="str">
        <x:v>汽車精密零組件</x:v>
      </x:c>
      <x:c r="H666" s="20" t="n">
        <x:v>46252</x:v>
      </x:c>
      <x:c r="I666" t="n">
        <x:v>10000</x:v>
      </x:c>
      <x:c r="J666" t="n">
        <x:v>721.14</x:v>
      </x:c>
      <x:c r="K666" t="str">
        <x:v>TWD</x:v>
      </x:c>
      <x:c r="L666" s="20" t="n">
        <x:v>46262</x:v>
      </x:c>
      <x:c r="M666" s="20" t="n">
        <x:v>46265</x:v>
      </x:c>
      <x:c r="N666" t="str">
        <x:v>是</x:v>
      </x:c>
      <x:c r="O666" t="str">
        <x:v>VIP</x:v>
      </x:c>
      <x:c r="P666" t="str">
        <x:v>待料</x:v>
      </x:c>
    </x:row>
    <x:row r="667" ht="20" customHeight="1">
      <x:c r="A667" t="str">
        <x:v>SO00666-01</x:v>
      </x:c>
      <x:c r="B667" t="str">
        <x:v>SO00666</x:v>
      </x:c>
      <x:c r="C667" t="str">
        <x:v>Q01044</x:v>
      </x:c>
      <x:c r="D667" t="str">
        <x:v>AFT-005</x:v>
      </x:c>
      <x:c r="E667" t="str">
        <x:v>S05</x:v>
      </x:c>
      <x:c r="F667" t="str">
        <x:v>PM-VAC-A</x:v>
      </x:c>
      <x:c r="G667" t="str">
        <x:v>精密金屬加工件</x:v>
      </x:c>
      <x:c r="H667" s="20" t="n">
        <x:v>46250</x:v>
      </x:c>
      <x:c r="I667" t="n">
        <x:v>800</x:v>
      </x:c>
      <x:c r="J667" t="n">
        <x:v>16418.03</x:v>
      </x:c>
      <x:c r="K667" t="str">
        <x:v>TWD</x:v>
      </x:c>
      <x:c r="L667" s="20" t="n">
        <x:v>46273</x:v>
      </x:c>
      <x:c r="M667" s="20" t="n">
        <x:v>46281</x:v>
      </x:c>
      <x:c r="N667" t="str">
        <x:v>是</x:v>
      </x:c>
      <x:c r="O667" t="str">
        <x:v>VIP</x:v>
      </x:c>
      <x:c r="P667" t="str">
        <x:v>待料</x:v>
      </x:c>
    </x:row>
    <x:row r="668" ht="20" customHeight="1">
      <x:c r="A668" t="str">
        <x:v>SO00667-01</x:v>
      </x:c>
      <x:c r="B668" t="str">
        <x:v>SO00667</x:v>
      </x:c>
      <x:c r="C668" t="str">
        <x:v>Q01045</x:v>
      </x:c>
      <x:c r="D668" t="str">
        <x:v>EMS-005</x:v>
      </x:c>
      <x:c r="E668" t="str">
        <x:v>S01</x:v>
      </x:c>
      <x:c r="F668" t="str">
        <x:v>AUTO-BRK-A</x:v>
      </x:c>
      <x:c r="G668" t="str">
        <x:v>汽車精密零組件</x:v>
      </x:c>
      <x:c r="H668" s="20" t="n">
        <x:v>46263</x:v>
      </x:c>
      <x:c r="I668" t="n">
        <x:v>10000</x:v>
      </x:c>
      <x:c r="J668" t="n">
        <x:v>1702.71</x:v>
      </x:c>
      <x:c r="K668" t="str">
        <x:v>TWD</x:v>
      </x:c>
      <x:c r="L668" s="20" t="n">
        <x:v>46281</x:v>
      </x:c>
      <x:c r="M668" s="20" t="n">
        <x:v>46281</x:v>
      </x:c>
      <x:c r="N668" t="str">
        <x:v>否</x:v>
      </x:c>
      <x:c r="O668" t="str">
        <x:v>VIP</x:v>
      </x:c>
      <x:c r="P668" t="str">
        <x:v>待料</x:v>
      </x:c>
    </x:row>
    <x:row r="669" ht="20" customHeight="1">
      <x:c r="A669" t="str">
        <x:v>SO00668-01</x:v>
      </x:c>
      <x:c r="B669" t="str">
        <x:v>SO00668</x:v>
      </x:c>
      <x:c r="C669" t="str">
        <x:v>Q01046</x:v>
      </x:c>
      <x:c r="D669" t="str">
        <x:v>IAT-002</x:v>
      </x:c>
      <x:c r="E669" t="str">
        <x:v>S01</x:v>
      </x:c>
      <x:c r="F669" t="str">
        <x:v>AUTO-FL-A</x:v>
      </x:c>
      <x:c r="G669" t="str">
        <x:v>汽車精密零組件</x:v>
      </x:c>
      <x:c r="H669" s="20" t="n">
        <x:v>46262</x:v>
      </x:c>
      <x:c r="I669" t="n">
        <x:v>13000</x:v>
      </x:c>
      <x:c r="J669" t="n">
        <x:v>1255.22</x:v>
      </x:c>
      <x:c r="K669" t="str">
        <x:v>TWD</x:v>
      </x:c>
      <x:c r="L669" s="20" t="n">
        <x:v>46279</x:v>
      </x:c>
      <x:c r="M669" s="20" t="n">
        <x:v>46279</x:v>
      </x:c>
      <x:c r="N669" t="str">
        <x:v>否</x:v>
      </x:c>
      <x:c r="O669" t="str">
        <x:v>一般</x:v>
      </x:c>
      <x:c r="P669" t="str">
        <x:v>待料</x:v>
      </x:c>
    </x:row>
    <x:row r="670" ht="20" customHeight="1">
      <x:c r="A670" t="str">
        <x:v>SO00669-01</x:v>
      </x:c>
      <x:c r="B670" t="str">
        <x:v>SO00669</x:v>
      </x:c>
      <x:c r="C670" t="str">
        <x:v>Q01047</x:v>
      </x:c>
      <x:c r="D670" t="str">
        <x:v>AUT-009</x:v>
      </x:c>
      <x:c r="E670" t="str">
        <x:v>S04</x:v>
      </x:c>
      <x:c r="F670" t="str">
        <x:v>AUTO-MH-A</x:v>
      </x:c>
      <x:c r="G670" t="str">
        <x:v>汽車精密零組件</x:v>
      </x:c>
      <x:c r="H670" s="20" t="n">
        <x:v>46255</x:v>
      </x:c>
      <x:c r="I670" t="n">
        <x:v>5000</x:v>
      </x:c>
      <x:c r="J670" t="n">
        <x:v>2368.57</x:v>
      </x:c>
      <x:c r="K670" t="str">
        <x:v>TWD</x:v>
      </x:c>
      <x:c r="L670" s="20" t="n">
        <x:v>46277</x:v>
      </x:c>
      <x:c r="M670" s="20" t="n">
        <x:v>46278</x:v>
      </x:c>
      <x:c r="N670" t="str">
        <x:v>否</x:v>
      </x:c>
      <x:c r="O670" t="str">
        <x:v>重要</x:v>
      </x:c>
      <x:c r="P670" t="str">
        <x:v>待料</x:v>
      </x:c>
    </x:row>
    <x:row r="671" ht="20" customHeight="1">
      <x:c r="A671" t="str">
        <x:v>SO00670-01</x:v>
      </x:c>
      <x:c r="B671" t="str">
        <x:v>SO00670</x:v>
      </x:c>
      <x:c r="C671" t="str">
        <x:v>Q01049</x:v>
      </x:c>
      <x:c r="D671" t="str">
        <x:v>EMS-008</x:v>
      </x:c>
      <x:c r="E671" t="str">
        <x:v>S02</x:v>
      </x:c>
      <x:c r="F671" t="str">
        <x:v>AUTO-KN-A</x:v>
      </x:c>
      <x:c r="G671" t="str">
        <x:v>汽車精密零組件</x:v>
      </x:c>
      <x:c r="H671" s="20" t="n">
        <x:v>46259</x:v>
      </x:c>
      <x:c r="I671" t="n">
        <x:v>5000</x:v>
      </x:c>
      <x:c r="J671" t="n">
        <x:v>3198.82</x:v>
      </x:c>
      <x:c r="K671" t="str">
        <x:v>TWD</x:v>
      </x:c>
      <x:c r="L671" s="20" t="n">
        <x:v>46280</x:v>
      </x:c>
      <x:c r="M671" s="20" t="n">
        <x:v>46281</x:v>
      </x:c>
      <x:c r="N671" t="str">
        <x:v>否</x:v>
      </x:c>
      <x:c r="O671" t="str">
        <x:v>重要</x:v>
      </x:c>
      <x:c r="P671" t="str">
        <x:v>待料</x:v>
      </x:c>
    </x:row>
    <x:row r="672" ht="20" customHeight="1">
      <x:c r="A672" t="str">
        <x:v>SO00671-01</x:v>
      </x:c>
      <x:c r="B672" t="str">
        <x:v>SO00671</x:v>
      </x:c>
      <x:c r="C672" t="str">
        <x:v>Q01050</x:v>
      </x:c>
      <x:c r="D672" t="str">
        <x:v>SEM-010</x:v>
      </x:c>
      <x:c r="E672" t="str">
        <x:v>S01</x:v>
      </x:c>
      <x:c r="F672" t="str">
        <x:v>PM-VAC-B</x:v>
      </x:c>
      <x:c r="G672" t="str">
        <x:v>精密金屬加工件</x:v>
      </x:c>
      <x:c r="H672" s="20" t="n">
        <x:v>46264</x:v>
      </x:c>
      <x:c r="I672" t="n">
        <x:v>800</x:v>
      </x:c>
      <x:c r="J672" t="n">
        <x:v>22253.98</x:v>
      </x:c>
      <x:c r="K672" t="str">
        <x:v>TWD</x:v>
      </x:c>
      <x:c r="L672" s="20" t="n">
        <x:v>46298</x:v>
      </x:c>
      <x:c r="M672" s="20" t="n">
        <x:v>46300</x:v>
      </x:c>
      <x:c r="N672" t="str">
        <x:v>否</x:v>
      </x:c>
      <x:c r="O672" t="str">
        <x:v>一般</x:v>
      </x:c>
      <x:c r="P672" t="str">
        <x:v>待料</x:v>
      </x:c>
    </x:row>
    <x:row r="673" ht="20" customHeight="1">
      <x:c r="A673" t="str">
        <x:v>SO00672-01</x:v>
      </x:c>
      <x:c r="B673" t="str">
        <x:v>SO00672</x:v>
      </x:c>
      <x:c r="C673" t="str">
        <x:v>Q01052</x:v>
      </x:c>
      <x:c r="D673" t="str">
        <x:v>EMS-008</x:v>
      </x:c>
      <x:c r="E673" t="str">
        <x:v>S02</x:v>
      </x:c>
      <x:c r="F673" t="str">
        <x:v>AUTO-BRK-A</x:v>
      </x:c>
      <x:c r="G673" t="str">
        <x:v>汽車精密零組件</x:v>
      </x:c>
      <x:c r="H673" s="20" t="n">
        <x:v>46263</x:v>
      </x:c>
      <x:c r="I673" t="n">
        <x:v>7000</x:v>
      </x:c>
      <x:c r="J673" t="n">
        <x:v>1732.57</x:v>
      </x:c>
      <x:c r="K673" t="str">
        <x:v>TWD</x:v>
      </x:c>
      <x:c r="L673" s="20" t="n">
        <x:v>46282</x:v>
      </x:c>
      <x:c r="M673" s="20" t="n">
        <x:v>46282</x:v>
      </x:c>
      <x:c r="N673" t="str">
        <x:v>否</x:v>
      </x:c>
      <x:c r="O673" t="str">
        <x:v>重要</x:v>
      </x:c>
      <x:c r="P673" t="str">
        <x:v>待料</x:v>
      </x:c>
    </x:row>
    <x:row r="674" ht="20" customHeight="1">
      <x:c r="A674" t="str">
        <x:v>SO00673-01</x:v>
      </x:c>
      <x:c r="B674" t="str">
        <x:v>SO00673</x:v>
      </x:c>
      <x:c r="C674" t="str">
        <x:v>Q01053</x:v>
      </x:c>
      <x:c r="D674" t="str">
        <x:v>IAT-007</x:v>
      </x:c>
      <x:c r="E674" t="str">
        <x:v>S04</x:v>
      </x:c>
      <x:c r="F674" t="str">
        <x:v>MECH-CON-B</x:v>
      </x:c>
      <x:c r="G674" t="str">
        <x:v>機電／自動化模組</x:v>
      </x:c>
      <x:c r="H674" s="20" t="n">
        <x:v>46257</x:v>
      </x:c>
      <x:c r="I674" t="n">
        <x:v>10</x:v>
      </x:c>
      <x:c r="J674" t="n">
        <x:v>150422.75</x:v>
      </x:c>
      <x:c r="K674" t="str">
        <x:v>TWD</x:v>
      </x:c>
      <x:c r="L674" s="20" t="n">
        <x:v>46307</x:v>
      </x:c>
      <x:c r="M674" s="20" t="n">
        <x:v>46307</x:v>
      </x:c>
      <x:c r="N674" t="str">
        <x:v>否</x:v>
      </x:c>
      <x:c r="O674" t="str">
        <x:v>重要</x:v>
      </x:c>
      <x:c r="P674" t="str">
        <x:v>待料</x:v>
      </x:c>
    </x:row>
    <x:row r="675" ht="20" customHeight="1">
      <x:c r="A675" t="str">
        <x:v>SO00674-01</x:v>
      </x:c>
      <x:c r="B675" t="str">
        <x:v>SO00674</x:v>
      </x:c>
      <x:c r="C675" t="str">
        <x:v>Q01055</x:v>
      </x:c>
      <x:c r="D675" t="str">
        <x:v>SEM-001</x:v>
      </x:c>
      <x:c r="E675" t="str">
        <x:v>S01</x:v>
      </x:c>
      <x:c r="F675" t="str">
        <x:v>PM-BRG-A</x:v>
      </x:c>
      <x:c r="G675" t="str">
        <x:v>精密金屬加工件</x:v>
      </x:c>
      <x:c r="H675" s="20" t="n">
        <x:v>46248</x:v>
      </x:c>
      <x:c r="I675" t="n">
        <x:v>300</x:v>
      </x:c>
      <x:c r="J675" t="n">
        <x:v>6944.23</x:v>
      </x:c>
      <x:c r="K675" t="str">
        <x:v>TWD</x:v>
      </x:c>
      <x:c r="L675" s="20" t="n">
        <x:v>46262</x:v>
      </x:c>
      <x:c r="M675" s="20" t="n">
        <x:v>46269</x:v>
      </x:c>
      <x:c r="N675" t="str">
        <x:v>是</x:v>
      </x:c>
      <x:c r="O675" t="str">
        <x:v>重要</x:v>
      </x:c>
      <x:c r="P675" t="str">
        <x:v>待料</x:v>
      </x:c>
    </x:row>
    <x:row r="676" ht="20" customHeight="1">
      <x:c r="A676" t="str">
        <x:v>SO00675-01</x:v>
      </x:c>
      <x:c r="B676" t="str">
        <x:v>SO00675</x:v>
      </x:c>
      <x:c r="C676" t="str">
        <x:v>Q01057</x:v>
      </x:c>
      <x:c r="D676" t="str">
        <x:v>AUT-001</x:v>
      </x:c>
      <x:c r="E676" t="str">
        <x:v>S01</x:v>
      </x:c>
      <x:c r="F676" t="str">
        <x:v>AUTO-MH-A</x:v>
      </x:c>
      <x:c r="G676" t="str">
        <x:v>汽車精密零組件</x:v>
      </x:c>
      <x:c r="H676" s="20" t="n">
        <x:v>46262</x:v>
      </x:c>
      <x:c r="I676" t="n">
        <x:v>3000</x:v>
      </x:c>
      <x:c r="J676" t="n">
        <x:v>2545.53</x:v>
      </x:c>
      <x:c r="K676" t="str">
        <x:v>TWD</x:v>
      </x:c>
      <x:c r="L676" s="20" t="n">
        <x:v>46282</x:v>
      </x:c>
      <x:c r="M676" s="20" t="n">
        <x:v>46283</x:v>
      </x:c>
      <x:c r="N676" t="str">
        <x:v>否</x:v>
      </x:c>
      <x:c r="O676" t="str">
        <x:v>VIP</x:v>
      </x:c>
      <x:c r="P676" t="str">
        <x:v>待料</x:v>
      </x:c>
    </x:row>
    <x:row r="677" ht="20" customHeight="1">
      <x:c r="A677" t="str">
        <x:v>SO00676-01</x:v>
      </x:c>
      <x:c r="B677" t="str">
        <x:v>SO00676</x:v>
      </x:c>
      <x:c r="C677" t="str">
        <x:v>Q01058</x:v>
      </x:c>
      <x:c r="D677" t="str">
        <x:v>SEM-002</x:v>
      </x:c>
      <x:c r="E677" t="str">
        <x:v>S02</x:v>
      </x:c>
      <x:c r="F677" t="str">
        <x:v>PM-SUS-B</x:v>
      </x:c>
      <x:c r="G677" t="str">
        <x:v>精密金屬加工件</x:v>
      </x:c>
      <x:c r="H677" s="20" t="n">
        <x:v>46252</x:v>
      </x:c>
      <x:c r="I677" t="n">
        <x:v>500</x:v>
      </x:c>
      <x:c r="J677" t="n">
        <x:v>13987.19</x:v>
      </x:c>
      <x:c r="K677" t="str">
        <x:v>TWD</x:v>
      </x:c>
      <x:c r="L677" s="20" t="n">
        <x:v>46278</x:v>
      </x:c>
      <x:c r="M677" s="20" t="n">
        <x:v>46278</x:v>
      </x:c>
      <x:c r="N677" t="str">
        <x:v>否</x:v>
      </x:c>
      <x:c r="O677" t="str">
        <x:v>重要</x:v>
      </x:c>
      <x:c r="P677" t="str">
        <x:v>待料</x:v>
      </x:c>
    </x:row>
    <x:row r="678" ht="20" customHeight="1">
      <x:c r="A678" t="str">
        <x:v>SO00677-01</x:v>
      </x:c>
      <x:c r="B678" t="str">
        <x:v>SO00677</x:v>
      </x:c>
      <x:c r="C678" t="str">
        <x:v>Q01060</x:v>
      </x:c>
      <x:c r="D678" t="str">
        <x:v>EMS-002</x:v>
      </x:c>
      <x:c r="E678" t="str">
        <x:v>S05</x:v>
      </x:c>
      <x:c r="F678" t="str">
        <x:v>AUTO-KN-A</x:v>
      </x:c>
      <x:c r="G678" t="str">
        <x:v>汽車精密零組件</x:v>
      </x:c>
      <x:c r="H678" s="20" t="n">
        <x:v>46264</x:v>
      </x:c>
      <x:c r="I678" t="n">
        <x:v>13000</x:v>
      </x:c>
      <x:c r="J678" t="n">
        <x:v>3243.31</x:v>
      </x:c>
      <x:c r="K678" t="str">
        <x:v>TWD</x:v>
      </x:c>
      <x:c r="L678" s="20" t="n">
        <x:v>46283</x:v>
      </x:c>
      <x:c r="M678" s="20" t="n">
        <x:v>46288</x:v>
      </x:c>
      <x:c r="N678" t="str">
        <x:v>是</x:v>
      </x:c>
      <x:c r="O678" t="str">
        <x:v>重要</x:v>
      </x:c>
      <x:c r="P678" t="str">
        <x:v>待料</x:v>
      </x:c>
    </x:row>
    <x:row r="679" ht="20" customHeight="1">
      <x:c r="A679" t="str">
        <x:v>SO00678-01</x:v>
      </x:c>
      <x:c r="B679" t="str">
        <x:v>SO00678</x:v>
      </x:c>
      <x:c r="C679" t="str">
        <x:v>Q01064</x:v>
      </x:c>
      <x:c r="D679" t="str">
        <x:v>IAT-006</x:v>
      </x:c>
      <x:c r="E679" t="str">
        <x:v>S01</x:v>
      </x:c>
      <x:c r="F679" t="str">
        <x:v>PM-BRG-A</x:v>
      </x:c>
      <x:c r="G679" t="str">
        <x:v>精密金屬加工件</x:v>
      </x:c>
      <x:c r="H679" s="20" t="n">
        <x:v>46257</x:v>
      </x:c>
      <x:c r="I679" t="n">
        <x:v>300</x:v>
      </x:c>
      <x:c r="J679" t="n">
        <x:v>6679.45</x:v>
      </x:c>
      <x:c r="K679" t="str">
        <x:v>TWD</x:v>
      </x:c>
      <x:c r="L679" s="20" t="n">
        <x:v>46272</x:v>
      </x:c>
      <x:c r="M679" s="20" t="n">
        <x:v>46277</x:v>
      </x:c>
      <x:c r="N679" t="str">
        <x:v>是</x:v>
      </x:c>
      <x:c r="O679" t="str">
        <x:v>重要</x:v>
      </x:c>
      <x:c r="P679" t="str">
        <x:v>待料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0" customHeight="1">
      <x:c r="A1" s="14" t="str">
        <x:v>採購明細ID</x:v>
      </x:c>
      <x:c r="B1" s="14" t="str">
        <x:v>物料ID</x:v>
      </x:c>
      <x:c r="C1" s="14" t="str">
        <x:v>供應商ID</x:v>
      </x:c>
      <x:c r="D1" s="14" t="str">
        <x:v>採購日期</x:v>
      </x:c>
      <x:c r="E1" s="14" t="str">
        <x:v>採購數量</x:v>
      </x:c>
      <x:c r="F1" s="14" t="str">
        <x:v>採購單價_TWD</x:v>
      </x:c>
      <x:c r="G1" s="14" t="str">
        <x:v>承諾到料日</x:v>
      </x:c>
      <x:c r="H1" s="14" t="str">
        <x:v>實際到料日</x:v>
      </x:c>
      <x:c r="I1" s="14" t="str">
        <x:v>實收數量</x:v>
      </x:c>
      <x:c r="J1" s="14" t="str">
        <x:v>需求來源</x:v>
      </x:c>
      <x:c r="K1" s="14" t="str">
        <x:v>關聯工單ID</x:v>
      </x:c>
      <x:c r="L1" s="14" t="str">
        <x:v>狀態</x:v>
      </x:c>
    </x:row>
    <x:row r="2" ht="20" customHeight="1">
      <x:c r="A2" t="str">
        <x:v>PO000001</x:v>
      </x:c>
      <x:c r="B2" t="str">
        <x:v>MAT-PKG-01</x:v>
      </x:c>
      <x:c r="C2" t="str">
        <x:v>SUP01</x:v>
      </x:c>
      <x:c r="D2" s="20" t="n">
        <x:v>45414</x:v>
      </x:c>
      <x:c r="E2" t="n">
        <x:v>359451.92</x:v>
      </x:c>
      <x:c r="F2" t="n">
        <x:v>33.56</x:v>
      </x:c>
      <x:c r="G2" s="20" t="n">
        <x:v>45419</x:v>
      </x:c>
      <x:c r="H2" s="20" t="n">
        <x:v>45420</x:v>
      </x:c>
      <x:c r="I2" t="n">
        <x:v>358487.39</x:v>
      </x:c>
      <x:c r="J2" t="str">
        <x:v>補庫</x:v>
      </x:c>
      <x:c r="K2"/>
      <x:c r="L2" t="str">
        <x:v>已收貨</x:v>
      </x:c>
    </x:row>
    <x:row r="3" ht="20" customHeight="1">
      <x:c r="A3" t="str">
        <x:v>PO000002</x:v>
      </x:c>
      <x:c r="B3" t="str">
        <x:v>MAT-PKG-01</x:v>
      </x:c>
      <x:c r="C3" t="str">
        <x:v>SUP01</x:v>
      </x:c>
      <x:c r="D3" s="20" t="n">
        <x:v>45895</x:v>
      </x:c>
      <x:c r="E3" t="n">
        <x:v>214989.28</x:v>
      </x:c>
      <x:c r="F3" t="n">
        <x:v>34.85</x:v>
      </x:c>
      <x:c r="G3" s="20" t="n">
        <x:v>45900</x:v>
      </x:c>
      <x:c r="H3" s="20" t="n">
        <x:v>45900</x:v>
      </x:c>
      <x:c r="I3" t="n">
        <x:v>211740.78</x:v>
      </x:c>
      <x:c r="J3" t="str">
        <x:v>需求預測</x:v>
      </x:c>
      <x:c r="K3"/>
      <x:c r="L3" t="str">
        <x:v>已收貨</x:v>
      </x:c>
    </x:row>
    <x:row r="4" ht="20" customHeight="1">
      <x:c r="A4" t="str">
        <x:v>PO000003</x:v>
      </x:c>
      <x:c r="B4" t="str">
        <x:v>MAT-PKG-01</x:v>
      </x:c>
      <x:c r="C4" t="str">
        <x:v>SUP01</x:v>
      </x:c>
      <x:c r="D4" s="20" t="n">
        <x:v>45623</x:v>
      </x:c>
      <x:c r="E4" t="n">
        <x:v>325739.37</x:v>
      </x:c>
      <x:c r="F4" t="n">
        <x:v>34.38</x:v>
      </x:c>
      <x:c r="G4" s="20" t="n">
        <x:v>45628</x:v>
      </x:c>
      <x:c r="H4" s="20" t="n">
        <x:v>45628</x:v>
      </x:c>
      <x:c r="I4" t="n">
        <x:v>322098.17</x:v>
      </x:c>
      <x:c r="J4" t="str">
        <x:v>補庫</x:v>
      </x:c>
      <x:c r="K4"/>
      <x:c r="L4" t="str">
        <x:v>已收貨</x:v>
      </x:c>
    </x:row>
    <x:row r="5" ht="20" customHeight="1">
      <x:c r="A5" t="str">
        <x:v>PO000004</x:v>
      </x:c>
      <x:c r="B5" t="str">
        <x:v>MAT-BOLT-01</x:v>
      </x:c>
      <x:c r="C5" t="str">
        <x:v>SUP02</x:v>
      </x:c>
      <x:c r="D5" s="20" t="n">
        <x:v>46196</x:v>
      </x:c>
      <x:c r="E5" t="n">
        <x:v>98165.28</x:v>
      </x:c>
      <x:c r="F5" t="n">
        <x:v>95.1</x:v>
      </x:c>
      <x:c r="G5" s="20" t="n">
        <x:v>46203</x:v>
      </x:c>
      <x:c r="H5" s="20" t="n">
        <x:v>46203</x:v>
      </x:c>
      <x:c r="I5" t="n">
        <x:v>98007.5</x:v>
      </x:c>
      <x:c r="J5" t="str">
        <x:v>生產需求</x:v>
      </x:c>
      <x:c r="K5"/>
      <x:c r="L5" t="str">
        <x:v>已收貨</x:v>
      </x:c>
    </x:row>
    <x:row r="6" ht="20" customHeight="1">
      <x:c r="A6" t="str">
        <x:v>PO000005</x:v>
      </x:c>
      <x:c r="B6" t="str">
        <x:v>MAT-BOLT-01</x:v>
      </x:c>
      <x:c r="C6" t="str">
        <x:v>SUP02</x:v>
      </x:c>
      <x:c r="D6" s="20" t="n">
        <x:v>46205</x:v>
      </x:c>
      <x:c r="E6" t="n">
        <x:v>121937.18</x:v>
      </x:c>
      <x:c r="F6" t="n">
        <x:v>101.33</x:v>
      </x:c>
      <x:c r="G6" s="20" t="n">
        <x:v>46212</x:v>
      </x:c>
      <x:c r="H6" s="20" t="n">
        <x:v>46212</x:v>
      </x:c>
      <x:c r="I6" t="n">
        <x:v>120699.88</x:v>
      </x:c>
      <x:c r="J6" t="str">
        <x:v>需求預測</x:v>
      </x:c>
      <x:c r="K6"/>
      <x:c r="L6" t="str">
        <x:v>已收貨</x:v>
      </x:c>
    </x:row>
    <x:row r="7" ht="20" customHeight="1">
      <x:c r="A7" t="str">
        <x:v>PO000006</x:v>
      </x:c>
      <x:c r="B7" t="str">
        <x:v>MAT-BOLT-01</x:v>
      </x:c>
      <x:c r="C7" t="str">
        <x:v>SUP02</x:v>
      </x:c>
      <x:c r="D7" s="20" t="n">
        <x:v>45974</x:v>
      </x:c>
      <x:c r="E7" t="n">
        <x:v>126040.23</x:v>
      </x:c>
      <x:c r="F7" t="n">
        <x:v>90.31</x:v>
      </x:c>
      <x:c r="G7" s="20" t="n">
        <x:v>45981</x:v>
      </x:c>
      <x:c r="H7" s="20" t="n">
        <x:v>45982</x:v>
      </x:c>
      <x:c r="I7" t="n">
        <x:v>125778.75</x:v>
      </x:c>
      <x:c r="J7" t="str">
        <x:v>補庫</x:v>
      </x:c>
      <x:c r="K7"/>
      <x:c r="L7" t="str">
        <x:v>已收貨</x:v>
      </x:c>
    </x:row>
    <x:row r="8" ht="20" customHeight="1">
      <x:c r="A8" t="str">
        <x:v>PO000007</x:v>
      </x:c>
      <x:c r="B8" t="str">
        <x:v>MAT-BOLT-01</x:v>
      </x:c>
      <x:c r="C8" t="str">
        <x:v>SUP02</x:v>
      </x:c>
      <x:c r="D8" s="20" t="n">
        <x:v>45611</x:v>
      </x:c>
      <x:c r="E8" t="n">
        <x:v>120165.02</x:v>
      </x:c>
      <x:c r="F8" t="n">
        <x:v>91.53</x:v>
      </x:c>
      <x:c r="G8" s="20" t="n">
        <x:v>45618</x:v>
      </x:c>
      <x:c r="H8" s="20" t="n">
        <x:v>45622</x:v>
      </x:c>
      <x:c r="I8" t="n">
        <x:v>118335.12</x:v>
      </x:c>
      <x:c r="J8" t="str">
        <x:v>需求預測</x:v>
      </x:c>
      <x:c r="K8"/>
      <x:c r="L8" t="str">
        <x:v>已收貨</x:v>
      </x:c>
    </x:row>
    <x:row r="9" ht="20" customHeight="1">
      <x:c r="A9" t="str">
        <x:v>PO000008</x:v>
      </x:c>
      <x:c r="B9" t="str">
        <x:v>MAT-BOLT-01</x:v>
      </x:c>
      <x:c r="C9" t="str">
        <x:v>SUP02</x:v>
      </x:c>
      <x:c r="D9" s="20" t="n">
        <x:v>46161</x:v>
      </x:c>
      <x:c r="E9" t="n">
        <x:v>121420.55</x:v>
      </x:c>
      <x:c r="F9" t="n">
        <x:v>96.86</x:v>
      </x:c>
      <x:c r="G9" s="20" t="n">
        <x:v>46168</x:v>
      </x:c>
      <x:c r="H9" s="20" t="n">
        <x:v>46169</x:v>
      </x:c>
      <x:c r="I9" t="n">
        <x:v>119316.39</x:v>
      </x:c>
      <x:c r="J9" t="str">
        <x:v>生產需求</x:v>
      </x:c>
      <x:c r="K9"/>
      <x:c r="L9" t="str">
        <x:v>已收貨</x:v>
      </x:c>
    </x:row>
    <x:row r="10" ht="20" customHeight="1">
      <x:c r="A10" t="str">
        <x:v>PO000009</x:v>
      </x:c>
      <x:c r="B10" t="str">
        <x:v>MAT-BOLT-01</x:v>
      </x:c>
      <x:c r="C10" t="str">
        <x:v>SUP02</x:v>
      </x:c>
      <x:c r="D10" s="20" t="n">
        <x:v>46096</x:v>
      </x:c>
      <x:c r="E10" t="n">
        <x:v>77031</x:v>
      </x:c>
      <x:c r="F10" t="n">
        <x:v>91.11</x:v>
      </x:c>
      <x:c r="G10" s="20" t="n">
        <x:v>46103</x:v>
      </x:c>
      <x:c r="H10" s="20" t="n">
        <x:v>46103</x:v>
      </x:c>
      <x:c r="I10" t="n">
        <x:v>76097.28</x:v>
      </x:c>
      <x:c r="J10" t="str">
        <x:v>需求預測</x:v>
      </x:c>
      <x:c r="K10"/>
      <x:c r="L10" t="str">
        <x:v>已收貨</x:v>
      </x:c>
    </x:row>
    <x:row r="11" ht="20" customHeight="1">
      <x:c r="A11" t="str">
        <x:v>PO000010</x:v>
      </x:c>
      <x:c r="B11" t="str">
        <x:v>MAT-BOLT-01</x:v>
      </x:c>
      <x:c r="C11" t="str">
        <x:v>SUP02</x:v>
      </x:c>
      <x:c r="D11" s="20" t="n">
        <x:v>46031</x:v>
      </x:c>
      <x:c r="E11" t="n">
        <x:v>96227.19</x:v>
      </x:c>
      <x:c r="F11" t="n">
        <x:v>96.97</x:v>
      </x:c>
      <x:c r="G11" s="20" t="n">
        <x:v>46038</x:v>
      </x:c>
      <x:c r="H11" s="20" t="n">
        <x:v>46038</x:v>
      </x:c>
      <x:c r="I11" t="n">
        <x:v>94915.87</x:v>
      </x:c>
      <x:c r="J11" t="str">
        <x:v>需求預測</x:v>
      </x:c>
      <x:c r="K11"/>
      <x:c r="L11" t="str">
        <x:v>已收貨</x:v>
      </x:c>
    </x:row>
    <x:row r="12" ht="20" customHeight="1">
      <x:c r="A12" t="str">
        <x:v>PO000011</x:v>
      </x:c>
      <x:c r="B12" t="str">
        <x:v>MAT-BOLT-01</x:v>
      </x:c>
      <x:c r="C12" t="str">
        <x:v>SUP02</x:v>
      </x:c>
      <x:c r="D12" s="20" t="n">
        <x:v>46098</x:v>
      </x:c>
      <x:c r="E12" t="n">
        <x:v>80673.7</x:v>
      </x:c>
      <x:c r="F12" t="n">
        <x:v>101.37</x:v>
      </x:c>
      <x:c r="G12" s="20" t="n">
        <x:v>46105</x:v>
      </x:c>
      <x:c r="H12" s="20" t="n">
        <x:v>46105</x:v>
      </x:c>
      <x:c r="I12" t="n">
        <x:v>80441.05</x:v>
      </x:c>
      <x:c r="J12" t="str">
        <x:v>生產需求</x:v>
      </x:c>
      <x:c r="K12"/>
      <x:c r="L12" t="str">
        <x:v>已收貨</x:v>
      </x:c>
    </x:row>
    <x:row r="13" ht="20" customHeight="1">
      <x:c r="A13" t="str">
        <x:v>PO000012</x:v>
      </x:c>
      <x:c r="B13" t="str">
        <x:v>MAT-BUSH-01</x:v>
      </x:c>
      <x:c r="C13" t="str">
        <x:v>SUP03</x:v>
      </x:c>
      <x:c r="D13" s="20" t="n">
        <x:v>45900</x:v>
      </x:c>
      <x:c r="E13" t="n">
        <x:v>25</x:v>
      </x:c>
      <x:c r="F13" t="n">
        <x:v>217.3</x:v>
      </x:c>
      <x:c r="G13" s="20" t="n">
        <x:v>45912</x:v>
      </x:c>
      <x:c r="H13" s="20" t="n">
        <x:v>45912</x:v>
      </x:c>
      <x:c r="I13" t="n">
        <x:v>24.99</x:v>
      </x:c>
      <x:c r="J13" t="str">
        <x:v>生產需求</x:v>
      </x:c>
      <x:c r="K13"/>
      <x:c r="L13" t="str">
        <x:v>已收貨</x:v>
      </x:c>
    </x:row>
    <x:row r="14" ht="20" customHeight="1">
      <x:c r="A14" t="str">
        <x:v>PO000013</x:v>
      </x:c>
      <x:c r="B14" t="str">
        <x:v>MAT-BRG-01</x:v>
      </x:c>
      <x:c r="C14" t="str">
        <x:v>SUP04</x:v>
      </x:c>
      <x:c r="D14" s="20" t="n">
        <x:v>45668</x:v>
      </x:c>
      <x:c r="E14" t="n">
        <x:v>131762.86</x:v>
      </x:c>
      <x:c r="F14" t="n">
        <x:v>478.79</x:v>
      </x:c>
      <x:c r="G14" s="20" t="n">
        <x:v>45682</x:v>
      </x:c>
      <x:c r="H14" s="20" t="n">
        <x:v>45680</x:v>
      </x:c>
      <x:c r="I14" t="n">
        <x:v>130442.92</x:v>
      </x:c>
      <x:c r="J14" t="str">
        <x:v>需求預測</x:v>
      </x:c>
      <x:c r="K14"/>
      <x:c r="L14" t="str">
        <x:v>已收貨</x:v>
      </x:c>
    </x:row>
    <x:row r="15" ht="20" customHeight="1">
      <x:c r="A15" t="str">
        <x:v>PO000014</x:v>
      </x:c>
      <x:c r="B15" t="str">
        <x:v>MAT-BRG-01</x:v>
      </x:c>
      <x:c r="C15" t="str">
        <x:v>SUP04</x:v>
      </x:c>
      <x:c r="D15" s="20" t="n">
        <x:v>46176</x:v>
      </x:c>
      <x:c r="E15" t="n">
        <x:v>135769.95</x:v>
      </x:c>
      <x:c r="F15" t="n">
        <x:v>468.95</x:v>
      </x:c>
      <x:c r="G15" s="20" t="n">
        <x:v>46190</x:v>
      </x:c>
      <x:c r="H15" s="20" t="n">
        <x:v>46194</x:v>
      </x:c>
      <x:c r="I15" t="n">
        <x:v>134103.8</x:v>
      </x:c>
      <x:c r="J15" t="str">
        <x:v>需求預測</x:v>
      </x:c>
      <x:c r="K15"/>
      <x:c r="L15" t="str">
        <x:v>已收貨</x:v>
      </x:c>
    </x:row>
    <x:row r="16" ht="20" customHeight="1">
      <x:c r="A16" t="str">
        <x:v>PO000015</x:v>
      </x:c>
      <x:c r="B16" t="str">
        <x:v>MAT-BRG-01</x:v>
      </x:c>
      <x:c r="C16" t="str">
        <x:v>SUP04</x:v>
      </x:c>
      <x:c r="D16" s="20" t="n">
        <x:v>45871</x:v>
      </x:c>
      <x:c r="E16" t="n">
        <x:v>113601.21</x:v>
      </x:c>
      <x:c r="F16" t="n">
        <x:v>482.22</x:v>
      </x:c>
      <x:c r="G16" s="20" t="n">
        <x:v>45885</x:v>
      </x:c>
      <x:c r="H16" s="20" t="n">
        <x:v>45889</x:v>
      </x:c>
      <x:c r="I16" t="n">
        <x:v>113521.63</x:v>
      </x:c>
      <x:c r="J16" t="str">
        <x:v>生產需求</x:v>
      </x:c>
      <x:c r="K16"/>
      <x:c r="L16" t="str">
        <x:v>已收貨</x:v>
      </x:c>
    </x:row>
    <x:row r="17" ht="20" customHeight="1">
      <x:c r="A17" t="str">
        <x:v>PO000016</x:v>
      </x:c>
      <x:c r="B17" t="str">
        <x:v>MAT-BRG-01</x:v>
      </x:c>
      <x:c r="C17" t="str">
        <x:v>SUP04</x:v>
      </x:c>
      <x:c r="D17" s="20" t="n">
        <x:v>45649</x:v>
      </x:c>
      <x:c r="E17" t="n">
        <x:v>133066.82</x:v>
      </x:c>
      <x:c r="F17" t="n">
        <x:v>470.23</x:v>
      </x:c>
      <x:c r="G17" s="20" t="n">
        <x:v>45663</x:v>
      </x:c>
      <x:c r="H17" s="20" t="n">
        <x:v>45664</x:v>
      </x:c>
      <x:c r="I17" t="n">
        <x:v>131960.22</x:v>
      </x:c>
      <x:c r="J17" t="str">
        <x:v>需求預測</x:v>
      </x:c>
      <x:c r="K17"/>
      <x:c r="L17" t="str">
        <x:v>已收貨</x:v>
      </x:c>
    </x:row>
    <x:row r="18" ht="20" customHeight="1">
      <x:c r="A18" t="str">
        <x:v>PO000017</x:v>
      </x:c>
      <x:c r="B18" t="str">
        <x:v>MAT-BRG-01</x:v>
      </x:c>
      <x:c r="C18" t="str">
        <x:v>SUP04</x:v>
      </x:c>
      <x:c r="D18" s="20" t="n">
        <x:v>45530</x:v>
      </x:c>
      <x:c r="E18" t="n">
        <x:v>110309.91</x:v>
      </x:c>
      <x:c r="F18" t="n">
        <x:v>490.27</x:v>
      </x:c>
      <x:c r="G18" s="20" t="n">
        <x:v>45544</x:v>
      </x:c>
      <x:c r="H18" s="20" t="n">
        <x:v>45548</x:v>
      </x:c>
      <x:c r="I18" t="n">
        <x:v>110205.17</x:v>
      </x:c>
      <x:c r="J18" t="str">
        <x:v>需求預測</x:v>
      </x:c>
      <x:c r="K18"/>
      <x:c r="L18" t="str">
        <x:v>已收貨</x:v>
      </x:c>
    </x:row>
    <x:row r="19" ht="20" customHeight="1">
      <x:c r="A19" t="str">
        <x:v>PO000018</x:v>
      </x:c>
      <x:c r="B19" t="str">
        <x:v>MAT-BRG-01</x:v>
      </x:c>
      <x:c r="C19" t="str">
        <x:v>SUP04</x:v>
      </x:c>
      <x:c r="D19" s="20" t="n">
        <x:v>45422</x:v>
      </x:c>
      <x:c r="E19" t="n">
        <x:v>119110.44</x:v>
      </x:c>
      <x:c r="F19" t="n">
        <x:v>460.28</x:v>
      </x:c>
      <x:c r="G19" s="20" t="n">
        <x:v>45436</x:v>
      </x:c>
      <x:c r="H19" s="20" t="n">
        <x:v>45437</x:v>
      </x:c>
      <x:c r="I19" t="n">
        <x:v>116949.3</x:v>
      </x:c>
      <x:c r="J19" t="str">
        <x:v>生產需求</x:v>
      </x:c>
      <x:c r="K19"/>
      <x:c r="L19" t="str">
        <x:v>已收貨</x:v>
      </x:c>
    </x:row>
    <x:row r="20" ht="20" customHeight="1">
      <x:c r="A20" t="str">
        <x:v>PO000019</x:v>
      </x:c>
      <x:c r="B20" t="str">
        <x:v>MAT-BRG-01</x:v>
      </x:c>
      <x:c r="C20" t="str">
        <x:v>SUP04</x:v>
      </x:c>
      <x:c r="D20" s="20" t="n">
        <x:v>45992</x:v>
      </x:c>
      <x:c r="E20" t="n">
        <x:v>96226.14</x:v>
      </x:c>
      <x:c r="F20" t="n">
        <x:v>497.98</x:v>
      </x:c>
      <x:c r="G20" s="20" t="n">
        <x:v>46006</x:v>
      </x:c>
      <x:c r="H20" s="20" t="n">
        <x:v>46006</x:v>
      </x:c>
      <x:c r="I20" t="n">
        <x:v>95246.27</x:v>
      </x:c>
      <x:c r="J20" t="str">
        <x:v>生產需求</x:v>
      </x:c>
      <x:c r="K20"/>
      <x:c r="L20" t="str">
        <x:v>已收貨</x:v>
      </x:c>
    </x:row>
    <x:row r="21" ht="20" customHeight="1">
      <x:c r="A21" t="str">
        <x:v>PO000020</x:v>
      </x:c>
      <x:c r="B21" t="str">
        <x:v>MAT-VAC-01</x:v>
      </x:c>
      <x:c r="C21" t="str">
        <x:v>SUP05</x:v>
      </x:c>
      <x:c r="D21" s="20" t="n">
        <x:v>45723</x:v>
      </x:c>
      <x:c r="E21" t="n">
        <x:v>319.94</x:v>
      </x:c>
      <x:c r="F21" t="n">
        <x:v>2872.69</x:v>
      </x:c>
      <x:c r="G21" s="20" t="n">
        <x:v>45744</x:v>
      </x:c>
      <x:c r="H21" s="20" t="n">
        <x:v>45744</x:v>
      </x:c>
      <x:c r="I21" t="n">
        <x:v>316.24</x:v>
      </x:c>
      <x:c r="J21" t="str">
        <x:v>需求預測</x:v>
      </x:c>
      <x:c r="K21"/>
      <x:c r="L21" t="str">
        <x:v>已收貨</x:v>
      </x:c>
    </x:row>
    <x:row r="22" ht="20" customHeight="1">
      <x:c r="A22" t="str">
        <x:v>PO000021</x:v>
      </x:c>
      <x:c r="B22" t="str">
        <x:v>MAT-VAC-01</x:v>
      </x:c>
      <x:c r="C22" t="str">
        <x:v>SUP05</x:v>
      </x:c>
      <x:c r="D22" s="20" t="n">
        <x:v>45314</x:v>
      </x:c>
      <x:c r="E22" t="n">
        <x:v>293.06</x:v>
      </x:c>
      <x:c r="F22" t="n">
        <x:v>2666.62</x:v>
      </x:c>
      <x:c r="G22" s="20" t="n">
        <x:v>45335</x:v>
      </x:c>
      <x:c r="H22" s="20" t="n">
        <x:v>45334</x:v>
      </x:c>
      <x:c r="I22" t="n">
        <x:v>292.21</x:v>
      </x:c>
      <x:c r="J22" t="str">
        <x:v>生產需求</x:v>
      </x:c>
      <x:c r="K22"/>
      <x:c r="L22" t="str">
        <x:v>已收貨</x:v>
      </x:c>
    </x:row>
    <x:row r="23" ht="20" customHeight="1">
      <x:c r="A23" t="str">
        <x:v>PO000022</x:v>
      </x:c>
      <x:c r="B23" t="str">
        <x:v>MAT-VAC-01</x:v>
      </x:c>
      <x:c r="C23" t="str">
        <x:v>SUP05</x:v>
      </x:c>
      <x:c r="D23" s="20" t="n">
        <x:v>45241</x:v>
      </x:c>
      <x:c r="E23" t="n">
        <x:v>258.91</x:v>
      </x:c>
      <x:c r="F23" t="n">
        <x:v>2673.26</x:v>
      </x:c>
      <x:c r="G23" s="20" t="n">
        <x:v>45262</x:v>
      </x:c>
      <x:c r="H23" s="20" t="n">
        <x:v>45263</x:v>
      </x:c>
      <x:c r="I23" t="n">
        <x:v>258.65</x:v>
      </x:c>
      <x:c r="J23" t="str">
        <x:v>生產需求</x:v>
      </x:c>
      <x:c r="K23"/>
      <x:c r="L23" t="str">
        <x:v>已收貨</x:v>
      </x:c>
    </x:row>
    <x:row r="24" ht="20" customHeight="1">
      <x:c r="A24" t="str">
        <x:v>PO000023</x:v>
      </x:c>
      <x:c r="B24" t="str">
        <x:v>MAT-VAC-01</x:v>
      </x:c>
      <x:c r="C24" t="str">
        <x:v>SUP05</x:v>
      </x:c>
      <x:c r="D24" s="20" t="n">
        <x:v>45517</x:v>
      </x:c>
      <x:c r="E24" t="n">
        <x:v>253.72</x:v>
      </x:c>
      <x:c r="F24" t="n">
        <x:v>2751.91</x:v>
      </x:c>
      <x:c r="G24" s="20" t="n">
        <x:v>45538</x:v>
      </x:c>
      <x:c r="H24" s="20" t="n">
        <x:v>45538</x:v>
      </x:c>
      <x:c r="I24" t="n">
        <x:v>249.24</x:v>
      </x:c>
      <x:c r="J24" t="str">
        <x:v>生產需求</x:v>
      </x:c>
      <x:c r="K24"/>
      <x:c r="L24" t="str">
        <x:v>已收貨</x:v>
      </x:c>
    </x:row>
    <x:row r="25" ht="20" customHeight="1">
      <x:c r="A25" t="str">
        <x:v>PO000024</x:v>
      </x:c>
      <x:c r="B25" t="str">
        <x:v>MAT-VAC-01</x:v>
      </x:c>
      <x:c r="C25" t="str">
        <x:v>SUP05</x:v>
      </x:c>
      <x:c r="D25" s="20" t="n">
        <x:v>45722</x:v>
      </x:c>
      <x:c r="E25" t="n">
        <x:v>392.07</x:v>
      </x:c>
      <x:c r="F25" t="n">
        <x:v>2736.33</x:v>
      </x:c>
      <x:c r="G25" s="20" t="n">
        <x:v>45743</x:v>
      </x:c>
      <x:c r="H25" s="20" t="n">
        <x:v>45743</x:v>
      </x:c>
      <x:c r="I25" t="n">
        <x:v>385.26</x:v>
      </x:c>
      <x:c r="J25" t="str">
        <x:v>需求預測</x:v>
      </x:c>
      <x:c r="K25"/>
      <x:c r="L25" t="str">
        <x:v>已收貨</x:v>
      </x:c>
    </x:row>
    <x:row r="26" ht="20" customHeight="1">
      <x:c r="A26" t="str">
        <x:v>PO000025</x:v>
      </x:c>
      <x:c r="B26" t="str">
        <x:v>MAT-VAC-01</x:v>
      </x:c>
      <x:c r="C26" t="str">
        <x:v>SUP05</x:v>
      </x:c>
      <x:c r="D26" s="20" t="n">
        <x:v>46192</x:v>
      </x:c>
      <x:c r="E26" t="n">
        <x:v>290.21</x:v>
      </x:c>
      <x:c r="F26" t="n">
        <x:v>2942.52</x:v>
      </x:c>
      <x:c r="G26" s="20" t="n">
        <x:v>46213</x:v>
      </x:c>
      <x:c r="H26" s="20" t="n">
        <x:v>46215</x:v>
      </x:c>
      <x:c r="I26" t="n">
        <x:v>288.26</x:v>
      </x:c>
      <x:c r="J26" t="str">
        <x:v>補庫</x:v>
      </x:c>
      <x:c r="K26"/>
      <x:c r="L26" t="str">
        <x:v>已收貨</x:v>
      </x:c>
    </x:row>
    <x:row r="27" ht="20" customHeight="1">
      <x:c r="A27" t="str">
        <x:v>PO000026</x:v>
      </x:c>
      <x:c r="B27" t="str">
        <x:v>MAT-VAC-01</x:v>
      </x:c>
      <x:c r="C27" t="str">
        <x:v>SUP05</x:v>
      </x:c>
      <x:c r="D27" s="20" t="n">
        <x:v>46067</x:v>
      </x:c>
      <x:c r="E27" t="n">
        <x:v>400.84</x:v>
      </x:c>
      <x:c r="F27" t="n">
        <x:v>2770.48</x:v>
      </x:c>
      <x:c r="G27" s="20" t="n">
        <x:v>46088</x:v>
      </x:c>
      <x:c r="H27" s="20" t="n">
        <x:v>46086</x:v>
      </x:c>
      <x:c r="I27" t="n">
        <x:v>395.32</x:v>
      </x:c>
      <x:c r="J27" t="str">
        <x:v>需求預測</x:v>
      </x:c>
      <x:c r="K27"/>
      <x:c r="L27" t="str">
        <x:v>已收貨</x:v>
      </x:c>
    </x:row>
    <x:row r="28" ht="20" customHeight="1">
      <x:c r="A28" t="str">
        <x:v>PO000027</x:v>
      </x:c>
      <x:c r="B28" t="str">
        <x:v>MAT-LG-01</x:v>
      </x:c>
      <x:c r="C28" t="str">
        <x:v>SUP06</x:v>
      </x:c>
      <x:c r="D28" s="20" t="n">
        <x:v>46133</x:v>
      </x:c>
      <x:c r="E28" t="n">
        <x:v>108.49</x:v>
      </x:c>
      <x:c r="F28" t="n">
        <x:v>9519.8</x:v>
      </x:c>
      <x:c r="G28" s="20" t="n">
        <x:v>46154</x:v>
      </x:c>
      <x:c r="H28" s="20" t="n">
        <x:v>46155</x:v>
      </x:c>
      <x:c r="I28" t="n">
        <x:v>106.64</x:v>
      </x:c>
      <x:c r="J28" t="str">
        <x:v>補庫</x:v>
      </x:c>
      <x:c r="K28"/>
      <x:c r="L28" t="str">
        <x:v>已收貨</x:v>
      </x:c>
    </x:row>
    <x:row r="29" ht="20" customHeight="1">
      <x:c r="A29" t="str">
        <x:v>PO000028</x:v>
      </x:c>
      <x:c r="B29" t="str">
        <x:v>MAT-LG-01</x:v>
      </x:c>
      <x:c r="C29" t="str">
        <x:v>SUP06</x:v>
      </x:c>
      <x:c r="D29" s="20" t="n">
        <x:v>45915</x:v>
      </x:c>
      <x:c r="E29" t="n">
        <x:v>99.78</x:v>
      </x:c>
      <x:c r="F29" t="n">
        <x:v>8907.17</x:v>
      </x:c>
      <x:c r="G29" s="20" t="n">
        <x:v>45936</x:v>
      </x:c>
      <x:c r="H29" s="20" t="n">
        <x:v>45934</x:v>
      </x:c>
      <x:c r="I29" t="n">
        <x:v>98.15</x:v>
      </x:c>
      <x:c r="J29" t="str">
        <x:v>補庫</x:v>
      </x:c>
      <x:c r="K29"/>
      <x:c r="L29" t="str">
        <x:v>已收貨</x:v>
      </x:c>
    </x:row>
    <x:row r="30" ht="20" customHeight="1">
      <x:c r="A30" t="str">
        <x:v>PO000029</x:v>
      </x:c>
      <x:c r="B30" t="str">
        <x:v>MAT-LG-01</x:v>
      </x:c>
      <x:c r="C30" t="str">
        <x:v>SUP06</x:v>
      </x:c>
      <x:c r="D30" s="20" t="n">
        <x:v>45729</x:v>
      </x:c>
      <x:c r="E30" t="n">
        <x:v>138.75</x:v>
      </x:c>
      <x:c r="F30" t="n">
        <x:v>9431.61</x:v>
      </x:c>
      <x:c r="G30" s="20" t="n">
        <x:v>45750</x:v>
      </x:c>
      <x:c r="H30" s="20" t="n">
        <x:v>45749</x:v>
      </x:c>
      <x:c r="I30" t="n">
        <x:v>136.77</x:v>
      </x:c>
      <x:c r="J30" t="str">
        <x:v>補庫</x:v>
      </x:c>
      <x:c r="K30"/>
      <x:c r="L30" t="str">
        <x:v>已收貨</x:v>
      </x:c>
    </x:row>
    <x:row r="31" ht="20" customHeight="1">
      <x:c r="A31" t="str">
        <x:v>PO000030</x:v>
      </x:c>
      <x:c r="B31" t="str">
        <x:v>MAT-LG-01</x:v>
      </x:c>
      <x:c r="C31" t="str">
        <x:v>SUP06</x:v>
      </x:c>
      <x:c r="D31" s="20" t="n">
        <x:v>45187</x:v>
      </x:c>
      <x:c r="E31" t="n">
        <x:v>146.71</x:v>
      </x:c>
      <x:c r="F31" t="n">
        <x:v>8844.06</x:v>
      </x:c>
      <x:c r="G31" s="20" t="n">
        <x:v>45208</x:v>
      </x:c>
      <x:c r="H31" s="20" t="n">
        <x:v>45208</x:v>
      </x:c>
      <x:c r="I31" t="n">
        <x:v>145.43</x:v>
      </x:c>
      <x:c r="J31" t="str">
        <x:v>補庫</x:v>
      </x:c>
      <x:c r="K31"/>
      <x:c r="L31" t="str">
        <x:v>已收貨</x:v>
      </x:c>
    </x:row>
    <x:row r="32" ht="20" customHeight="1">
      <x:c r="A32" t="str">
        <x:v>PO000031</x:v>
      </x:c>
      <x:c r="B32" t="str">
        <x:v>MAT-LG-01</x:v>
      </x:c>
      <x:c r="C32" t="str">
        <x:v>SUP06</x:v>
      </x:c>
      <x:c r="D32" s="20" t="n">
        <x:v>45335</x:v>
      </x:c>
      <x:c r="E32" t="n">
        <x:v>103.45</x:v>
      </x:c>
      <x:c r="F32" t="n">
        <x:v>9703.38</x:v>
      </x:c>
      <x:c r="G32" s="20" t="n">
        <x:v>45356</x:v>
      </x:c>
      <x:c r="H32" s="20" t="n">
        <x:v>45356</x:v>
      </x:c>
      <x:c r="I32" t="n">
        <x:v>101.55</x:v>
      </x:c>
      <x:c r="J32" t="str">
        <x:v>補庫</x:v>
      </x:c>
      <x:c r="K32"/>
      <x:c r="L32" t="str">
        <x:v>已收貨</x:v>
      </x:c>
    </x:row>
    <x:row r="33" ht="20" customHeight="1">
      <x:c r="A33" t="str">
        <x:v>PO000032</x:v>
      </x:c>
      <x:c r="B33" t="str">
        <x:v>MAT-LG-01</x:v>
      </x:c>
      <x:c r="C33" t="str">
        <x:v>SUP06</x:v>
      </x:c>
      <x:c r="D33" s="20" t="n">
        <x:v>45183</x:v>
      </x:c>
      <x:c r="E33" t="n">
        <x:v>149.56</x:v>
      </x:c>
      <x:c r="F33" t="n">
        <x:v>9580.15</x:v>
      </x:c>
      <x:c r="G33" s="20" t="n">
        <x:v>45204</x:v>
      </x:c>
      <x:c r="H33" s="20" t="n">
        <x:v>45208</x:v>
      </x:c>
      <x:c r="I33" t="n">
        <x:v>148.09</x:v>
      </x:c>
      <x:c r="J33" t="str">
        <x:v>補庫</x:v>
      </x:c>
      <x:c r="K33"/>
      <x:c r="L33" t="str">
        <x:v>已收貨</x:v>
      </x:c>
    </x:row>
    <x:row r="34" ht="20" customHeight="1">
      <x:c r="A34" t="str">
        <x:v>PO000033</x:v>
      </x:c>
      <x:c r="B34" t="str">
        <x:v>MAT-LG-01</x:v>
      </x:c>
      <x:c r="C34" t="str">
        <x:v>SUP06</x:v>
      </x:c>
      <x:c r="D34" s="20" t="n">
        <x:v>45365</x:v>
      </x:c>
      <x:c r="E34" t="n">
        <x:v>142.86</x:v>
      </x:c>
      <x:c r="F34" t="n">
        <x:v>9131.02</x:v>
      </x:c>
      <x:c r="G34" s="20" t="n">
        <x:v>45386</x:v>
      </x:c>
      <x:c r="H34" s="20" t="n">
        <x:v>45386</x:v>
      </x:c>
      <x:c r="I34" t="n">
        <x:v>142.82</x:v>
      </x:c>
      <x:c r="J34" t="str">
        <x:v>補庫</x:v>
      </x:c>
      <x:c r="K34"/>
      <x:c r="L34" t="str">
        <x:v>已收貨</x:v>
      </x:c>
    </x:row>
    <x:row r="35" ht="20" customHeight="1">
      <x:c r="A35" t="str">
        <x:v>PO000034</x:v>
      </x:c>
      <x:c r="B35" t="str">
        <x:v>MAT-LG-01</x:v>
      </x:c>
      <x:c r="C35" t="str">
        <x:v>SUP06</x:v>
      </x:c>
      <x:c r="D35" s="20" t="n">
        <x:v>45857</x:v>
      </x:c>
      <x:c r="E35" t="n">
        <x:v>143.32</x:v>
      </x:c>
      <x:c r="F35" t="n">
        <x:v>9490.86</x:v>
      </x:c>
      <x:c r="G35" s="20" t="n">
        <x:v>45878</x:v>
      </x:c>
      <x:c r="H35" s="20" t="n">
        <x:v>45877</x:v>
      </x:c>
      <x:c r="I35" t="n">
        <x:v>141.49</x:v>
      </x:c>
      <x:c r="J35" t="str">
        <x:v>補庫</x:v>
      </x:c>
      <x:c r="K35"/>
      <x:c r="L35" t="str">
        <x:v>已收貨</x:v>
      </x:c>
    </x:row>
    <x:row r="36" ht="20" customHeight="1">
      <x:c r="A36" t="str">
        <x:v>PO000035</x:v>
      </x:c>
      <x:c r="B36" t="str">
        <x:v>MAT-SERVO-01</x:v>
      </x:c>
      <x:c r="C36" t="str">
        <x:v>SUP07</x:v>
      </x:c>
      <x:c r="D36" s="20" t="n">
        <x:v>45652</x:v>
      </x:c>
      <x:c r="E36" t="n">
        <x:v>154.54</x:v>
      </x:c>
      <x:c r="F36" t="n">
        <x:v>23937.14</x:v>
      </x:c>
      <x:c r="G36" s="20" t="n">
        <x:v>45682</x:v>
      </x:c>
      <x:c r="H36" s="20" t="n">
        <x:v>45683</x:v>
      </x:c>
      <x:c r="I36" t="n">
        <x:v>153.61</x:v>
      </x:c>
      <x:c r="J36" t="str">
        <x:v>生產需求</x:v>
      </x:c>
      <x:c r="K36"/>
      <x:c r="L36" t="str">
        <x:v>已收貨</x:v>
      </x:c>
    </x:row>
    <x:row r="37" ht="20" customHeight="1">
      <x:c r="A37" t="str">
        <x:v>PO000036</x:v>
      </x:c>
      <x:c r="B37" t="str">
        <x:v>MAT-SERVO-01</x:v>
      </x:c>
      <x:c r="C37" t="str">
        <x:v>SUP07</x:v>
      </x:c>
      <x:c r="D37" s="20" t="n">
        <x:v>46034</x:v>
      </x:c>
      <x:c r="E37" t="n">
        <x:v>195.77</x:v>
      </x:c>
      <x:c r="F37" t="n">
        <x:v>23673.75</x:v>
      </x:c>
      <x:c r="G37" s="20" t="n">
        <x:v>46064</x:v>
      </x:c>
      <x:c r="H37" s="20" t="n">
        <x:v>46063</x:v>
      </x:c>
      <x:c r="I37" t="n">
        <x:v>193.49</x:v>
      </x:c>
      <x:c r="J37" t="str">
        <x:v>生產需求</x:v>
      </x:c>
      <x:c r="K37"/>
      <x:c r="L37" t="str">
        <x:v>已收貨</x:v>
      </x:c>
    </x:row>
    <x:row r="38" ht="20" customHeight="1">
      <x:c r="A38" t="str">
        <x:v>PO000037</x:v>
      </x:c>
      <x:c r="B38" t="str">
        <x:v>MAT-SERVO-01</x:v>
      </x:c>
      <x:c r="C38" t="str">
        <x:v>SUP07</x:v>
      </x:c>
      <x:c r="D38" s="20" t="n">
        <x:v>45743</x:v>
      </x:c>
      <x:c r="E38" t="n">
        <x:v>118.35</x:v>
      </x:c>
      <x:c r="F38" t="n">
        <x:v>23582.25</x:v>
      </x:c>
      <x:c r="G38" s="20" t="n">
        <x:v>45773</x:v>
      </x:c>
      <x:c r="H38" s="20" t="n">
        <x:v>45772</x:v>
      </x:c>
      <x:c r="I38" t="n">
        <x:v>116.17</x:v>
      </x:c>
      <x:c r="J38" t="str">
        <x:v>補庫</x:v>
      </x:c>
      <x:c r="K38"/>
      <x:c r="L38" t="str">
        <x:v>已收貨</x:v>
      </x:c>
    </x:row>
    <x:row r="39" ht="20" customHeight="1">
      <x:c r="A39" t="str">
        <x:v>PO000038</x:v>
      </x:c>
      <x:c r="B39" t="str">
        <x:v>MAT-SERVO-01</x:v>
      </x:c>
      <x:c r="C39" t="str">
        <x:v>SUP07</x:v>
      </x:c>
      <x:c r="D39" s="20" t="n">
        <x:v>45405</x:v>
      </x:c>
      <x:c r="E39" t="n">
        <x:v>154.73</x:v>
      </x:c>
      <x:c r="F39" t="n">
        <x:v>24046.27</x:v>
      </x:c>
      <x:c r="G39" s="20" t="n">
        <x:v>45435</x:v>
      </x:c>
      <x:c r="H39" s="20" t="n">
        <x:v>45435</x:v>
      </x:c>
      <x:c r="I39" t="n">
        <x:v>154.07</x:v>
      </x:c>
      <x:c r="J39" t="str">
        <x:v>需求預測</x:v>
      </x:c>
      <x:c r="K39"/>
      <x:c r="L39" t="str">
        <x:v>已收貨</x:v>
      </x:c>
    </x:row>
    <x:row r="40" ht="20" customHeight="1">
      <x:c r="A40" t="str">
        <x:v>PO000039</x:v>
      </x:c>
      <x:c r="B40" t="str">
        <x:v>MAT-SERVO-01</x:v>
      </x:c>
      <x:c r="C40" t="str">
        <x:v>SUP07</x:v>
      </x:c>
      <x:c r="D40" s="20" t="n">
        <x:v>45276</x:v>
      </x:c>
      <x:c r="E40" t="n">
        <x:v>213.25</x:v>
      </x:c>
      <x:c r="F40" t="n">
        <x:v>22671.57</x:v>
      </x:c>
      <x:c r="G40" s="20" t="n">
        <x:v>45306</x:v>
      </x:c>
      <x:c r="H40" s="20" t="n">
        <x:v>45306</x:v>
      </x:c>
      <x:c r="I40" t="n">
        <x:v>212.7</x:v>
      </x:c>
      <x:c r="J40" t="str">
        <x:v>需求預測</x:v>
      </x:c>
      <x:c r="K40"/>
      <x:c r="L40" t="str">
        <x:v>已收貨</x:v>
      </x:c>
    </x:row>
    <x:row r="41" ht="20" customHeight="1">
      <x:c r="A41" t="str">
        <x:v>PO000040</x:v>
      </x:c>
      <x:c r="B41" t="str">
        <x:v>MAT-SERVO-01</x:v>
      </x:c>
      <x:c r="C41" t="str">
        <x:v>SUP07</x:v>
      </x:c>
      <x:c r="D41" s="20" t="n">
        <x:v>45641</x:v>
      </x:c>
      <x:c r="E41" t="n">
        <x:v>165.64</x:v>
      </x:c>
      <x:c r="F41" t="n">
        <x:v>23448.9</x:v>
      </x:c>
      <x:c r="G41" s="20" t="n">
        <x:v>45671</x:v>
      </x:c>
      <x:c r="H41" s="20" t="n">
        <x:v>45675</x:v>
      </x:c>
      <x:c r="I41" t="n">
        <x:v>163.72</x:v>
      </x:c>
      <x:c r="J41" t="str">
        <x:v>需求預測</x:v>
      </x:c>
      <x:c r="K41"/>
      <x:c r="L41" t="str">
        <x:v>已收貨</x:v>
      </x:c>
    </x:row>
    <x:row r="42" ht="20" customHeight="1">
      <x:c r="A42" t="str">
        <x:v>PO000041</x:v>
      </x:c>
      <x:c r="B42" t="str">
        <x:v>MAT-SENSOR-01</x:v>
      </x:c>
      <x:c r="C42" t="str">
        <x:v>SUP08</x:v>
      </x:c>
      <x:c r="D42" s="20" t="n">
        <x:v>45308</x:v>
      </x:c>
      <x:c r="E42" t="n">
        <x:v>146.21</x:v>
      </x:c>
      <x:c r="F42" t="n">
        <x:v>6298.37</x:v>
      </x:c>
      <x:c r="G42" s="20" t="n">
        <x:v>45329</x:v>
      </x:c>
      <x:c r="H42" s="20" t="n">
        <x:v>45328</x:v>
      </x:c>
      <x:c r="I42" t="n">
        <x:v>143.61</x:v>
      </x:c>
      <x:c r="J42" t="str">
        <x:v>需求預測</x:v>
      </x:c>
      <x:c r="K42"/>
      <x:c r="L42" t="str">
        <x:v>已收貨</x:v>
      </x:c>
    </x:row>
    <x:row r="43" ht="20" customHeight="1">
      <x:c r="A43" t="str">
        <x:v>PO000042</x:v>
      </x:c>
      <x:c r="B43" t="str">
        <x:v>MAT-SENSOR-01</x:v>
      </x:c>
      <x:c r="C43" t="str">
        <x:v>SUP08</x:v>
      </x:c>
      <x:c r="D43" s="20" t="n">
        <x:v>45409</x:v>
      </x:c>
      <x:c r="E43" t="n">
        <x:v>227.95</x:v>
      </x:c>
      <x:c r="F43" t="n">
        <x:v>6362.46</x:v>
      </x:c>
      <x:c r="G43" s="20" t="n">
        <x:v>45430</x:v>
      </x:c>
      <x:c r="H43" s="20" t="n">
        <x:v>45434</x:v>
      </x:c>
      <x:c r="I43" t="n">
        <x:v>226.18</x:v>
      </x:c>
      <x:c r="J43" t="str">
        <x:v>補庫</x:v>
      </x:c>
      <x:c r="K43"/>
      <x:c r="L43" t="str">
        <x:v>已收貨</x:v>
      </x:c>
    </x:row>
    <x:row r="44" ht="20" customHeight="1">
      <x:c r="A44" t="str">
        <x:v>PO000043</x:v>
      </x:c>
      <x:c r="B44" t="str">
        <x:v>MAT-SENSOR-01</x:v>
      </x:c>
      <x:c r="C44" t="str">
        <x:v>SUP08</x:v>
      </x:c>
      <x:c r="D44" s="20" t="n">
        <x:v>45524</x:v>
      </x:c>
      <x:c r="E44" t="n">
        <x:v>159.89</x:v>
      </x:c>
      <x:c r="F44" t="n">
        <x:v>6180.8</x:v>
      </x:c>
      <x:c r="G44" s="20" t="n">
        <x:v>45545</x:v>
      </x:c>
      <x:c r="H44" s="20" t="n">
        <x:v>45544</x:v>
      </x:c>
      <x:c r="I44" t="n">
        <x:v>157.23</x:v>
      </x:c>
      <x:c r="J44" t="str">
        <x:v>需求預測</x:v>
      </x:c>
      <x:c r="K44"/>
      <x:c r="L44" t="str">
        <x:v>已收貨</x:v>
      </x:c>
    </x:row>
    <x:row r="45" ht="20" customHeight="1">
      <x:c r="A45" t="str">
        <x:v>PO000044</x:v>
      </x:c>
      <x:c r="B45" t="str">
        <x:v>MAT-SENSOR-01</x:v>
      </x:c>
      <x:c r="C45" t="str">
        <x:v>SUP08</x:v>
      </x:c>
      <x:c r="D45" s="20" t="n">
        <x:v>45922</x:v>
      </x:c>
      <x:c r="E45" t="n">
        <x:v>174.87</x:v>
      </x:c>
      <x:c r="F45" t="n">
        <x:v>6471.1</x:v>
      </x:c>
      <x:c r="G45" s="20" t="n">
        <x:v>45943</x:v>
      </x:c>
      <x:c r="H45" s="20" t="n">
        <x:v>45943</x:v>
      </x:c>
      <x:c r="I45" t="n">
        <x:v>171.76</x:v>
      </x:c>
      <x:c r="J45" t="str">
        <x:v>需求預測</x:v>
      </x:c>
      <x:c r="K45"/>
      <x:c r="L45" t="str">
        <x:v>已收貨</x:v>
      </x:c>
    </x:row>
    <x:row r="46" ht="20" customHeight="1">
      <x:c r="A46" t="str">
        <x:v>PO000045</x:v>
      </x:c>
      <x:c r="B46" t="str">
        <x:v>MAT-SENSOR-01</x:v>
      </x:c>
      <x:c r="C46" t="str">
        <x:v>SUP08</x:v>
      </x:c>
      <x:c r="D46" s="20" t="n">
        <x:v>45296</x:v>
      </x:c>
      <x:c r="E46" t="n">
        <x:v>223.42</x:v>
      </x:c>
      <x:c r="F46" t="n">
        <x:v>5926.54</x:v>
      </x:c>
      <x:c r="G46" s="20" t="n">
        <x:v>45317</x:v>
      </x:c>
      <x:c r="H46" s="20" t="n">
        <x:v>45317</x:v>
      </x:c>
      <x:c r="I46" t="n">
        <x:v>221.53</x:v>
      </x:c>
      <x:c r="J46" t="str">
        <x:v>生產需求</x:v>
      </x:c>
      <x:c r="K46"/>
      <x:c r="L46" t="str">
        <x:v>已收貨</x:v>
      </x:c>
    </x:row>
    <x:row r="47" ht="20" customHeight="1">
      <x:c r="A47" t="str">
        <x:v>PO000046</x:v>
      </x:c>
      <x:c r="B47" t="str">
        <x:v>MAT-CABLE-01</x:v>
      </x:c>
      <x:c r="C47" t="str">
        <x:v>SUP09</x:v>
      </x:c>
      <x:c r="D47" s="20" t="n">
        <x:v>45649</x:v>
      </x:c>
      <x:c r="E47" t="n">
        <x:v>122.1</x:v>
      </x:c>
      <x:c r="F47" t="n">
        <x:v>2581.8</x:v>
      </x:c>
      <x:c r="G47" s="20" t="n">
        <x:v>45663</x:v>
      </x:c>
      <x:c r="H47" s="20" t="n">
        <x:v>45661</x:v>
      </x:c>
      <x:c r="I47" t="n">
        <x:v>120.14</x:v>
      </x:c>
      <x:c r="J47" t="str">
        <x:v>生產需求</x:v>
      </x:c>
      <x:c r="K47"/>
      <x:c r="L47" t="str">
        <x:v>已收貨</x:v>
      </x:c>
    </x:row>
    <x:row r="48" ht="20" customHeight="1">
      <x:c r="A48" t="str">
        <x:v>PO000047</x:v>
      </x:c>
      <x:c r="B48" t="str">
        <x:v>MAT-CABLE-01</x:v>
      </x:c>
      <x:c r="C48" t="str">
        <x:v>SUP09</x:v>
      </x:c>
      <x:c r="D48" s="20" t="n">
        <x:v>46000</x:v>
      </x:c>
      <x:c r="E48" t="n">
        <x:v>83.32</x:v>
      </x:c>
      <x:c r="F48" t="n">
        <x:v>2544.54</x:v>
      </x:c>
      <x:c r="G48" s="20" t="n">
        <x:v>46014</x:v>
      </x:c>
      <x:c r="H48" s="20" t="n">
        <x:v>46016</x:v>
      </x:c>
      <x:c r="I48" t="n">
        <x:v>82.04</x:v>
      </x:c>
      <x:c r="J48" t="str">
        <x:v>需求預測</x:v>
      </x:c>
      <x:c r="K48"/>
      <x:c r="L48" t="str">
        <x:v>已收貨</x:v>
      </x:c>
    </x:row>
    <x:row r="49" ht="20" customHeight="1">
      <x:c r="A49" t="str">
        <x:v>PO000048</x:v>
      </x:c>
      <x:c r="B49" t="str">
        <x:v>MAT-CABLE-01</x:v>
      </x:c>
      <x:c r="C49" t="str">
        <x:v>SUP09</x:v>
      </x:c>
      <x:c r="D49" s="20" t="n">
        <x:v>45269</x:v>
      </x:c>
      <x:c r="E49" t="n">
        <x:v>91.83</x:v>
      </x:c>
      <x:c r="F49" t="n">
        <x:v>2657.27</x:v>
      </x:c>
      <x:c r="G49" s="20" t="n">
        <x:v>45283</x:v>
      </x:c>
      <x:c r="H49" s="20" t="n">
        <x:v>45282</x:v>
      </x:c>
      <x:c r="I49" t="n">
        <x:v>90.7</x:v>
      </x:c>
      <x:c r="J49" t="str">
        <x:v>需求預測</x:v>
      </x:c>
      <x:c r="K49"/>
      <x:c r="L49" t="str">
        <x:v>已收貨</x:v>
      </x:c>
    </x:row>
    <x:row r="50" ht="20" customHeight="1">
      <x:c r="A50" t="str">
        <x:v>PO000049</x:v>
      </x:c>
      <x:c r="B50" t="str">
        <x:v>MAT-CABLE-01</x:v>
      </x:c>
      <x:c r="C50" t="str">
        <x:v>SUP09</x:v>
      </x:c>
      <x:c r="D50" s="20" t="n">
        <x:v>45714</x:v>
      </x:c>
      <x:c r="E50" t="n">
        <x:v>104.09</x:v>
      </x:c>
      <x:c r="F50" t="n">
        <x:v>2611.42</x:v>
      </x:c>
      <x:c r="G50" s="20" t="n">
        <x:v>45728</x:v>
      </x:c>
      <x:c r="H50" s="20" t="n">
        <x:v>45728</x:v>
      </x:c>
      <x:c r="I50" t="n">
        <x:v>103.15</x:v>
      </x:c>
      <x:c r="J50" t="str">
        <x:v>需求預測</x:v>
      </x:c>
      <x:c r="K50"/>
      <x:c r="L50" t="str">
        <x:v>已收貨</x:v>
      </x:c>
    </x:row>
    <x:row r="51" ht="20" customHeight="1">
      <x:c r="A51" t="str">
        <x:v>PO000050</x:v>
      </x:c>
      <x:c r="B51" t="str">
        <x:v>MAT-CABLE-01</x:v>
      </x:c>
      <x:c r="C51" t="str">
        <x:v>SUP09</x:v>
      </x:c>
      <x:c r="D51" s="20" t="n">
        <x:v>46218</x:v>
      </x:c>
      <x:c r="E51" t="n">
        <x:v>142.85</x:v>
      </x:c>
      <x:c r="F51" t="n">
        <x:v>2744.25</x:v>
      </x:c>
      <x:c r="G51" s="20" t="n">
        <x:v>46232</x:v>
      </x:c>
      <x:c r="H51" s="20" t="n">
        <x:v>46233</x:v>
      </x:c>
      <x:c r="I51" t="n">
        <x:v>142.32</x:v>
      </x:c>
      <x:c r="J51" t="str">
        <x:v>補庫</x:v>
      </x:c>
      <x:c r="K51"/>
      <x:c r="L51" t="str">
        <x:v>已收貨</x:v>
      </x:c>
    </x:row>
    <x:row r="52" ht="20" customHeight="1">
      <x:c r="A52" t="str">
        <x:v>PO000051</x:v>
      </x:c>
      <x:c r="B52" t="str">
        <x:v>MAT-CABLE-01</x:v>
      </x:c>
      <x:c r="C52" t="str">
        <x:v>SUP09</x:v>
      </x:c>
      <x:c r="D52" s="20" t="n">
        <x:v>46176</x:v>
      </x:c>
      <x:c r="E52" t="n">
        <x:v>82.83</x:v>
      </x:c>
      <x:c r="F52" t="n">
        <x:v>2696.65</x:v>
      </x:c>
      <x:c r="G52" s="20" t="n">
        <x:v>46190</x:v>
      </x:c>
      <x:c r="H52" s="20" t="n">
        <x:v>46194</x:v>
      </x:c>
      <x:c r="I52" t="n">
        <x:v>81.89</x:v>
      </x:c>
      <x:c r="J52" t="str">
        <x:v>生產需求</x:v>
      </x:c>
      <x:c r="K52"/>
      <x:c r="L52" t="str">
        <x:v>已收貨</x:v>
      </x:c>
    </x:row>
    <x:row r="53" ht="20" customHeight="1">
      <x:c r="A53" t="str">
        <x:v>PO000052</x:v>
      </x:c>
      <x:c r="B53" t="str">
        <x:v>MAT-CABLE-01</x:v>
      </x:c>
      <x:c r="C53" t="str">
        <x:v>SUP09</x:v>
      </x:c>
      <x:c r="D53" s="20" t="n">
        <x:v>46213</x:v>
      </x:c>
      <x:c r="E53" t="n">
        <x:v>141.91</x:v>
      </x:c>
      <x:c r="F53" t="n">
        <x:v>2541.8</x:v>
      </x:c>
      <x:c r="G53" s="20" t="n">
        <x:v>46227</x:v>
      </x:c>
      <x:c r="H53" s="20" t="n">
        <x:v>46229</x:v>
      </x:c>
      <x:c r="I53" t="n">
        <x:v>140.79</x:v>
      </x:c>
      <x:c r="J53" t="str">
        <x:v>補庫</x:v>
      </x:c>
      <x:c r="K53"/>
      <x:c r="L53" t="str">
        <x:v>已收貨</x:v>
      </x:c>
    </x:row>
    <x:row r="54" ht="20" customHeight="1">
      <x:c r="A54" t="str">
        <x:v>PO000053</x:v>
      </x:c>
      <x:c r="B54" t="str">
        <x:v>MAT-CABLE-01</x:v>
      </x:c>
      <x:c r="C54" t="str">
        <x:v>SUP09</x:v>
      </x:c>
      <x:c r="D54" s="20" t="n">
        <x:v>45409</x:v>
      </x:c>
      <x:c r="E54" t="n">
        <x:v>124.71</x:v>
      </x:c>
      <x:c r="F54" t="n">
        <x:v>2498.25</x:v>
      </x:c>
      <x:c r="G54" s="20" t="n">
        <x:v>45423</x:v>
      </x:c>
      <x:c r="H54" s="20" t="n">
        <x:v>45427</x:v>
      </x:c>
      <x:c r="I54" t="n">
        <x:v>122.82</x:v>
      </x:c>
      <x:c r="J54" t="str">
        <x:v>需求預測</x:v>
      </x:c>
      <x:c r="K54"/>
      <x:c r="L54" t="str">
        <x:v>已收貨</x:v>
      </x:c>
    </x:row>
    <x:row r="55" ht="20" customHeight="1">
      <x:c r="A55" t="str">
        <x:v>PO000054</x:v>
      </x:c>
      <x:c r="B55" t="str">
        <x:v>MAT-CABLE-01</x:v>
      </x:c>
      <x:c r="C55" t="str">
        <x:v>SUP09</x:v>
      </x:c>
      <x:c r="D55" s="20" t="n">
        <x:v>45249</x:v>
      </x:c>
      <x:c r="E55" t="n">
        <x:v>137.98</x:v>
      </x:c>
      <x:c r="F55" t="n">
        <x:v>2637.48</x:v>
      </x:c>
      <x:c r="G55" s="20" t="n">
        <x:v>45263</x:v>
      </x:c>
      <x:c r="H55" s="20" t="n">
        <x:v>45264</x:v>
      </x:c>
      <x:c r="I55" t="n">
        <x:v>135.7</x:v>
      </x:c>
      <x:c r="J55" t="str">
        <x:v>生產需求</x:v>
      </x:c>
      <x:c r="K55"/>
      <x:c r="L55" t="str">
        <x:v>已收貨</x:v>
      </x:c>
    </x:row>
    <x:row r="56" ht="20" customHeight="1">
      <x:c r="A56" t="str">
        <x:v>PO000055</x:v>
      </x:c>
      <x:c r="B56" t="str">
        <x:v>MAT-CTRL-01</x:v>
      </x:c>
      <x:c r="C56" t="str">
        <x:v>SUP10</x:v>
      </x:c>
      <x:c r="D56" s="20" t="n">
        <x:v>45542</x:v>
      </x:c>
      <x:c r="E56" t="n">
        <x:v>114.22</x:v>
      </x:c>
      <x:c r="F56" t="n">
        <x:v>19755.62</x:v>
      </x:c>
      <x:c r="G56" s="20" t="n">
        <x:v>45572</x:v>
      </x:c>
      <x:c r="H56" s="20" t="n">
        <x:v>45574</x:v>
      </x:c>
      <x:c r="I56" t="n">
        <x:v>112.95</x:v>
      </x:c>
      <x:c r="J56" t="str">
        <x:v>生產需求</x:v>
      </x:c>
      <x:c r="K56"/>
      <x:c r="L56" t="str">
        <x:v>已收貨</x:v>
      </x:c>
    </x:row>
    <x:row r="57" ht="20" customHeight="1">
      <x:c r="A57" t="str">
        <x:v>PO000056</x:v>
      </x:c>
      <x:c r="B57" t="str">
        <x:v>MAT-CTRL-01</x:v>
      </x:c>
      <x:c r="C57" t="str">
        <x:v>SUP10</x:v>
      </x:c>
      <x:c r="D57" s="20" t="n">
        <x:v>45652</x:v>
      </x:c>
      <x:c r="E57" t="n">
        <x:v>135.32</x:v>
      </x:c>
      <x:c r="F57" t="n">
        <x:v>17632.4</x:v>
      </x:c>
      <x:c r="G57" s="20" t="n">
        <x:v>45682</x:v>
      </x:c>
      <x:c r="H57" s="20" t="n">
        <x:v>45686</x:v>
      </x:c>
      <x:c r="I57" t="n">
        <x:v>133.96</x:v>
      </x:c>
      <x:c r="J57" t="str">
        <x:v>需求預測</x:v>
      </x:c>
      <x:c r="K57"/>
      <x:c r="L57" t="str">
        <x:v>已收貨</x:v>
      </x:c>
    </x:row>
    <x:row r="58" ht="20" customHeight="1">
      <x:c r="A58" t="str">
        <x:v>PO000057</x:v>
      </x:c>
      <x:c r="B58" t="str">
        <x:v>MAT-CTRL-01</x:v>
      </x:c>
      <x:c r="C58" t="str">
        <x:v>SUP10</x:v>
      </x:c>
      <x:c r="D58" s="20" t="n">
        <x:v>45357</x:v>
      </x:c>
      <x:c r="E58" t="n">
        <x:v>96.75</x:v>
      </x:c>
      <x:c r="F58" t="n">
        <x:v>18209.08</x:v>
      </x:c>
      <x:c r="G58" s="20" t="n">
        <x:v>45387</x:v>
      </x:c>
      <x:c r="H58" s="20" t="n">
        <x:v>45391</x:v>
      </x:c>
      <x:c r="I58" t="n">
        <x:v>96.53</x:v>
      </x:c>
      <x:c r="J58" t="str">
        <x:v>補庫</x:v>
      </x:c>
      <x:c r="K58"/>
      <x:c r="L58" t="str">
        <x:v>已收貨</x:v>
      </x:c>
    </x:row>
    <x:row r="59" ht="20" customHeight="1">
      <x:c r="A59" t="str">
        <x:v>PO000058</x:v>
      </x:c>
      <x:c r="B59" t="str">
        <x:v>MAT-CTRL-01</x:v>
      </x:c>
      <x:c r="C59" t="str">
        <x:v>SUP10</x:v>
      </x:c>
      <x:c r="D59" s="20" t="n">
        <x:v>45307</x:v>
      </x:c>
      <x:c r="E59" t="n">
        <x:v>145.34</x:v>
      </x:c>
      <x:c r="F59" t="n">
        <x:v>18537.57</x:v>
      </x:c>
      <x:c r="G59" s="20" t="n">
        <x:v>45337</x:v>
      </x:c>
      <x:c r="H59" s="20" t="n">
        <x:v>45337</x:v>
      </x:c>
      <x:c r="I59" t="n">
        <x:v>143.49</x:v>
      </x:c>
      <x:c r="J59" t="str">
        <x:v>生產需求</x:v>
      </x:c>
      <x:c r="K59"/>
      <x:c r="L59" t="str">
        <x:v>已收貨</x:v>
      </x:c>
    </x:row>
    <x:row r="60" ht="20" customHeight="1">
      <x:c r="A60" t="str">
        <x:v>PO000059</x:v>
      </x:c>
      <x:c r="B60" t="str">
        <x:v>MAT-CTRL-01</x:v>
      </x:c>
      <x:c r="C60" t="str">
        <x:v>SUP10</x:v>
      </x:c>
      <x:c r="D60" s="20" t="n">
        <x:v>45291</x:v>
      </x:c>
      <x:c r="E60" t="n">
        <x:v>159.86</x:v>
      </x:c>
      <x:c r="F60" t="n">
        <x:v>19218.81</x:v>
      </x:c>
      <x:c r="G60" s="20" t="n">
        <x:v>45321</x:v>
      </x:c>
      <x:c r="H60" s="20" t="n">
        <x:v>45325</x:v>
      </x:c>
      <x:c r="I60" t="n">
        <x:v>158.85</x:v>
      </x:c>
      <x:c r="J60" t="str">
        <x:v>需求預測</x:v>
      </x:c>
      <x:c r="K60"/>
      <x:c r="L60" t="str">
        <x:v>已收貨</x:v>
      </x:c>
    </x:row>
    <x:row r="61" ht="20" customHeight="1">
      <x:c r="A61" t="str">
        <x:v>PO000060</x:v>
      </x:c>
      <x:c r="B61" t="str">
        <x:v>MAT-CTRL-01</x:v>
      </x:c>
      <x:c r="C61" t="str">
        <x:v>SUP10</x:v>
      </x:c>
      <x:c r="D61" s="20" t="n">
        <x:v>45849</x:v>
      </x:c>
      <x:c r="E61" t="n">
        <x:v>141.33</x:v>
      </x:c>
      <x:c r="F61" t="n">
        <x:v>17898.03</x:v>
      </x:c>
      <x:c r="G61" s="20" t="n">
        <x:v>45879</x:v>
      </x:c>
      <x:c r="H61" s="20" t="n">
        <x:v>45878</x:v>
      </x:c>
      <x:c r="I61" t="n">
        <x:v>139.68</x:v>
      </x:c>
      <x:c r="J61" t="str">
        <x:v>需求預測</x:v>
      </x:c>
      <x:c r="K61"/>
      <x:c r="L61" t="str">
        <x:v>已收貨</x:v>
      </x:c>
    </x:row>
    <x:row r="62" ht="20" customHeight="1">
      <x:c r="A62" t="str">
        <x:v>PO000061</x:v>
      </x:c>
      <x:c r="B62" t="str">
        <x:v>MAT-CTRL-01</x:v>
      </x:c>
      <x:c r="C62" t="str">
        <x:v>SUP10</x:v>
      </x:c>
      <x:c r="D62" s="20" t="n">
        <x:v>45574</x:v>
      </x:c>
      <x:c r="E62" t="n">
        <x:v>131.54</x:v>
      </x:c>
      <x:c r="F62" t="n">
        <x:v>18856.9</x:v>
      </x:c>
      <x:c r="G62" s="20" t="n">
        <x:v>45604</x:v>
      </x:c>
      <x:c r="H62" s="20" t="n">
        <x:v>45604</x:v>
      </x:c>
      <x:c r="I62" t="n">
        <x:v>131.12</x:v>
      </x:c>
      <x:c r="J62" t="str">
        <x:v>需求預測</x:v>
      </x:c>
      <x:c r="K62"/>
      <x:c r="L62" t="str">
        <x:v>已收貨</x:v>
      </x:c>
    </x:row>
    <x:row r="63" ht="20" customHeight="1">
      <x:c r="A63" t="str">
        <x:v>PO000062</x:v>
      </x:c>
      <x:c r="B63" t="str">
        <x:v>MAT-CTRL-01</x:v>
      </x:c>
      <x:c r="C63" t="str">
        <x:v>SUP10</x:v>
      </x:c>
      <x:c r="D63" s="20" t="n">
        <x:v>45456</x:v>
      </x:c>
      <x:c r="E63" t="n">
        <x:v>132.43</x:v>
      </x:c>
      <x:c r="F63" t="n">
        <x:v>19096.47</x:v>
      </x:c>
      <x:c r="G63" s="20" t="n">
        <x:v>45486</x:v>
      </x:c>
      <x:c r="H63" s="20" t="n">
        <x:v>45485</x:v>
      </x:c>
      <x:c r="I63" t="n">
        <x:v>130.23</x:v>
      </x:c>
      <x:c r="J63" t="str">
        <x:v>生產需求</x:v>
      </x:c>
      <x:c r="K63"/>
      <x:c r="L63" t="str">
        <x:v>已收貨</x:v>
      </x:c>
    </x:row>
    <x:row r="64" ht="20" customHeight="1">
      <x:c r="A64" t="str">
        <x:v>PO000063</x:v>
      </x:c>
      <x:c r="B64" t="str">
        <x:v>MAT-CLEAN-01</x:v>
      </x:c>
      <x:c r="C64" t="str">
        <x:v>SUP11</x:v>
      </x:c>
      <x:c r="D64" s="20" t="n">
        <x:v>46086</x:v>
      </x:c>
      <x:c r="E64" t="n">
        <x:v>439.59</x:v>
      </x:c>
      <x:c r="F64" t="n">
        <x:v>904.32</x:v>
      </x:c>
      <x:c r="G64" s="20" t="n">
        <x:v>46096</x:v>
      </x:c>
      <x:c r="H64" s="20" t="n">
        <x:v>46097</x:v>
      </x:c>
      <x:c r="I64" t="n">
        <x:v>435.91</x:v>
      </x:c>
      <x:c r="J64" t="str">
        <x:v>生產需求</x:v>
      </x:c>
      <x:c r="K64"/>
      <x:c r="L64" t="str">
        <x:v>已收貨</x:v>
      </x:c>
    </x:row>
    <x:row r="65" ht="20" customHeight="1">
      <x:c r="A65" t="str">
        <x:v>PO000064</x:v>
      </x:c>
      <x:c r="B65" t="str">
        <x:v>MAT-CLEAN-01</x:v>
      </x:c>
      <x:c r="C65" t="str">
        <x:v>SUP11</x:v>
      </x:c>
      <x:c r="D65" s="20" t="n">
        <x:v>46065</x:v>
      </x:c>
      <x:c r="E65" t="n">
        <x:v>515.83</x:v>
      </x:c>
      <x:c r="F65" t="n">
        <x:v>858.25</x:v>
      </x:c>
      <x:c r="G65" s="20" t="n">
        <x:v>46075</x:v>
      </x:c>
      <x:c r="H65" s="20" t="n">
        <x:v>46075</x:v>
      </x:c>
      <x:c r="I65" t="n">
        <x:v>508.25</x:v>
      </x:c>
      <x:c r="J65" t="str">
        <x:v>補庫</x:v>
      </x:c>
      <x:c r="K65"/>
      <x:c r="L65" t="str">
        <x:v>已收貨</x:v>
      </x:c>
    </x:row>
    <x:row r="66" ht="20" customHeight="1">
      <x:c r="A66" t="str">
        <x:v>PO000065</x:v>
      </x:c>
      <x:c r="B66" t="str">
        <x:v>MAT-CLEAN-01</x:v>
      </x:c>
      <x:c r="C66" t="str">
        <x:v>SUP11</x:v>
      </x:c>
      <x:c r="D66" s="20" t="n">
        <x:v>45462</x:v>
      </x:c>
      <x:c r="E66" t="n">
        <x:v>499.08</x:v>
      </x:c>
      <x:c r="F66" t="n">
        <x:v>810.28</x:v>
      </x:c>
      <x:c r="G66" s="20" t="n">
        <x:v>45472</x:v>
      </x:c>
      <x:c r="H66" s="20" t="n">
        <x:v>45474</x:v>
      </x:c>
      <x:c r="I66" t="n">
        <x:v>497.61</x:v>
      </x:c>
      <x:c r="J66" t="str">
        <x:v>需求預測</x:v>
      </x:c>
      <x:c r="K66"/>
      <x:c r="L66" t="str">
        <x:v>已收貨</x:v>
      </x:c>
    </x:row>
    <x:row r="67" ht="20" customHeight="1">
      <x:c r="A67" t="str">
        <x:v>PO000066</x:v>
      </x:c>
      <x:c r="B67" t="str">
        <x:v>MAT-CLEAN-01</x:v>
      </x:c>
      <x:c r="C67" t="str">
        <x:v>SUP11</x:v>
      </x:c>
      <x:c r="D67" s="20" t="n">
        <x:v>45994</x:v>
      </x:c>
      <x:c r="E67" t="n">
        <x:v>313.61</x:v>
      </x:c>
      <x:c r="F67" t="n">
        <x:v>844.77</x:v>
      </x:c>
      <x:c r="G67" s="20" t="n">
        <x:v>46004</x:v>
      </x:c>
      <x:c r="H67" s="20" t="n">
        <x:v>46004</x:v>
      </x:c>
      <x:c r="I67" t="n">
        <x:v>312.51</x:v>
      </x:c>
      <x:c r="J67" t="str">
        <x:v>需求預測</x:v>
      </x:c>
      <x:c r="K67"/>
      <x:c r="L67" t="str">
        <x:v>已收貨</x:v>
      </x:c>
    </x:row>
    <x:row r="68" ht="20" customHeight="1">
      <x:c r="A68" t="str">
        <x:v>PO000067</x:v>
      </x:c>
      <x:c r="B68" t="str">
        <x:v>MAT-CLEAN-01</x:v>
      </x:c>
      <x:c r="C68" t="str">
        <x:v>SUP11</x:v>
      </x:c>
      <x:c r="D68" s="20" t="n">
        <x:v>45232</x:v>
      </x:c>
      <x:c r="E68" t="n">
        <x:v>525.21</x:v>
      </x:c>
      <x:c r="F68" t="n">
        <x:v>837.84</x:v>
      </x:c>
      <x:c r="G68" s="20" t="n">
        <x:v>45242</x:v>
      </x:c>
      <x:c r="H68" s="20" t="n">
        <x:v>45243</x:v>
      </x:c>
      <x:c r="I68" t="n">
        <x:v>517.69</x:v>
      </x:c>
      <x:c r="J68" t="str">
        <x:v>生產需求</x:v>
      </x:c>
      <x:c r="K68"/>
      <x:c r="L68" t="str">
        <x:v>已收貨</x:v>
      </x:c>
    </x:row>
    <x:row r="69" ht="20" customHeight="1">
      <x:c r="A69" t="str">
        <x:v>PO000068</x:v>
      </x:c>
      <x:c r="B69" t="str">
        <x:v>RAW-AUTO-BRK-A</x:v>
      </x:c>
      <x:c r="C69" t="str">
        <x:v>SUP08</x:v>
      </x:c>
      <x:c r="D69" s="20" t="n">
        <x:v>45726</x:v>
      </x:c>
      <x:c r="E69" t="n">
        <x:v>11079.7</x:v>
      </x:c>
      <x:c r="F69" t="n">
        <x:v>283.52</x:v>
      </x:c>
      <x:c r="G69" s="20" t="n">
        <x:v>45747</x:v>
      </x:c>
      <x:c r="H69" s="20" t="n">
        <x:v>45747</x:v>
      </x:c>
      <x:c r="I69" t="n">
        <x:v>11032.14</x:v>
      </x:c>
      <x:c r="J69" t="str">
        <x:v>補庫</x:v>
      </x:c>
      <x:c r="K69"/>
      <x:c r="L69" t="str">
        <x:v>已收貨</x:v>
      </x:c>
    </x:row>
    <x:row r="70" ht="20" customHeight="1">
      <x:c r="A70" t="str">
        <x:v>PO000069</x:v>
      </x:c>
      <x:c r="B70" t="str">
        <x:v>RAW-AUTO-BRK-A</x:v>
      </x:c>
      <x:c r="C70" t="str">
        <x:v>SUP08</x:v>
      </x:c>
      <x:c r="D70" s="20" t="n">
        <x:v>45270</x:v>
      </x:c>
      <x:c r="E70" t="n">
        <x:v>11981.13</x:v>
      </x:c>
      <x:c r="F70" t="n">
        <x:v>282.76</x:v>
      </x:c>
      <x:c r="G70" s="20" t="n">
        <x:v>45291</x:v>
      </x:c>
      <x:c r="H70" s="20" t="n">
        <x:v>45292</x:v>
      </x:c>
      <x:c r="I70" t="n">
        <x:v>11845.12</x:v>
      </x:c>
      <x:c r="J70" t="str">
        <x:v>生產需求</x:v>
      </x:c>
      <x:c r="K70"/>
      <x:c r="L70" t="str">
        <x:v>已收貨</x:v>
      </x:c>
    </x:row>
    <x:row r="71" ht="20" customHeight="1">
      <x:c r="A71" t="str">
        <x:v>PO000070</x:v>
      </x:c>
      <x:c r="B71" t="str">
        <x:v>RAW-AUTO-BRK-A</x:v>
      </x:c>
      <x:c r="C71" t="str">
        <x:v>SUP08</x:v>
      </x:c>
      <x:c r="D71" s="20" t="n">
        <x:v>45305</x:v>
      </x:c>
      <x:c r="E71" t="n">
        <x:v>7482.01</x:v>
      </x:c>
      <x:c r="F71" t="n">
        <x:v>291</x:v>
      </x:c>
      <x:c r="G71" s="20" t="n">
        <x:v>45326</x:v>
      </x:c>
      <x:c r="H71" s="20" t="n">
        <x:v>45327</x:v>
      </x:c>
      <x:c r="I71" t="n">
        <x:v>7419.58</x:v>
      </x:c>
      <x:c r="J71" t="str">
        <x:v>生產需求</x:v>
      </x:c>
      <x:c r="K71"/>
      <x:c r="L71" t="str">
        <x:v>已收貨</x:v>
      </x:c>
    </x:row>
    <x:row r="72" ht="20" customHeight="1">
      <x:c r="A72" t="str">
        <x:v>PO000071</x:v>
      </x:c>
      <x:c r="B72" t="str">
        <x:v>RAW-AUTO-BRK-A</x:v>
      </x:c>
      <x:c r="C72" t="str">
        <x:v>SUP08</x:v>
      </x:c>
      <x:c r="D72" s="20" t="n">
        <x:v>46226</x:v>
      </x:c>
      <x:c r="E72" t="n">
        <x:v>10202.22</x:v>
      </x:c>
      <x:c r="F72" t="n">
        <x:v>281.51</x:v>
      </x:c>
      <x:c r="G72" s="20" t="n">
        <x:v>46247</x:v>
      </x:c>
      <x:c r="H72" s="20" t="n">
        <x:v>46251</x:v>
      </x:c>
      <x:c r="I72" t="n">
        <x:v>10001.81</x:v>
      </x:c>
      <x:c r="J72" t="str">
        <x:v>需求預測</x:v>
      </x:c>
      <x:c r="K72"/>
      <x:c r="L72" t="str">
        <x:v>已收貨</x:v>
      </x:c>
    </x:row>
    <x:row r="73" ht="20" customHeight="1">
      <x:c r="A73" t="str">
        <x:v>PO000072</x:v>
      </x:c>
      <x:c r="B73" t="str">
        <x:v>RAW-AUTO-BRK-A</x:v>
      </x:c>
      <x:c r="C73" t="str">
        <x:v>SUP08</x:v>
      </x:c>
      <x:c r="D73" s="20" t="n">
        <x:v>45982</x:v>
      </x:c>
      <x:c r="E73" t="n">
        <x:v>10327.06</x:v>
      </x:c>
      <x:c r="F73" t="n">
        <x:v>277.44</x:v>
      </x:c>
      <x:c r="G73" s="20" t="n">
        <x:v>46003</x:v>
      </x:c>
      <x:c r="H73" s="20" t="n">
        <x:v>46007</x:v>
      </x:c>
      <x:c r="I73" t="n">
        <x:v>10277.57</x:v>
      </x:c>
      <x:c r="J73" t="str">
        <x:v>生產需求</x:v>
      </x:c>
      <x:c r="K73"/>
      <x:c r="L73" t="str">
        <x:v>已收貨</x:v>
      </x:c>
    </x:row>
    <x:row r="74" ht="20" customHeight="1">
      <x:c r="A74" t="str">
        <x:v>PO000073</x:v>
      </x:c>
      <x:c r="B74" t="str">
        <x:v>RAW-AUTO-BRK-A</x:v>
      </x:c>
      <x:c r="C74" t="str">
        <x:v>SUP08</x:v>
      </x:c>
      <x:c r="D74" s="20" t="n">
        <x:v>45956</x:v>
      </x:c>
      <x:c r="E74" t="n">
        <x:v>10588.2</x:v>
      </x:c>
      <x:c r="F74" t="n">
        <x:v>307.08</x:v>
      </x:c>
      <x:c r="G74" s="20" t="n">
        <x:v>45977</x:v>
      </x:c>
      <x:c r="H74" s="20" t="n">
        <x:v>45976</x:v>
      </x:c>
      <x:c r="I74" t="n">
        <x:v>10471.61</x:v>
      </x:c>
      <x:c r="J74" t="str">
        <x:v>需求預測</x:v>
      </x:c>
      <x:c r="K74"/>
      <x:c r="L74" t="str">
        <x:v>已收貨</x:v>
      </x:c>
    </x:row>
    <x:row r="75" ht="20" customHeight="1">
      <x:c r="A75" t="str">
        <x:v>PO000074</x:v>
      </x:c>
      <x:c r="B75" t="str">
        <x:v>RAW-AUTO-BRK-A</x:v>
      </x:c>
      <x:c r="C75" t="str">
        <x:v>SUP08</x:v>
      </x:c>
      <x:c r="D75" s="20" t="n">
        <x:v>46071</x:v>
      </x:c>
      <x:c r="E75" t="n">
        <x:v>7113.01</x:v>
      </x:c>
      <x:c r="F75" t="n">
        <x:v>298.29</x:v>
      </x:c>
      <x:c r="G75" s="20" t="n">
        <x:v>46092</x:v>
      </x:c>
      <x:c r="H75" s="20" t="n">
        <x:v>46092</x:v>
      </x:c>
      <x:c r="I75" t="n">
        <x:v>7024.92</x:v>
      </x:c>
      <x:c r="J75" t="str">
        <x:v>補庫</x:v>
      </x:c>
      <x:c r="K75"/>
      <x:c r="L75" t="str">
        <x:v>已收貨</x:v>
      </x:c>
    </x:row>
    <x:row r="76" ht="20" customHeight="1">
      <x:c r="A76" t="str">
        <x:v>PO000075</x:v>
      </x:c>
      <x:c r="B76" t="str">
        <x:v>RAW-AUTO-BRK-A</x:v>
      </x:c>
      <x:c r="C76" t="str">
        <x:v>SUP08</x:v>
      </x:c>
      <x:c r="D76" s="20" t="n">
        <x:v>45737</x:v>
      </x:c>
      <x:c r="E76" t="n">
        <x:v>9711.3</x:v>
      </x:c>
      <x:c r="F76" t="n">
        <x:v>276.69</x:v>
      </x:c>
      <x:c r="G76" s="20" t="n">
        <x:v>45758</x:v>
      </x:c>
      <x:c r="H76" s="20" t="n">
        <x:v>45760</x:v>
      </x:c>
      <x:c r="I76" t="n">
        <x:v>9517.68</x:v>
      </x:c>
      <x:c r="J76" t="str">
        <x:v>補庫</x:v>
      </x:c>
      <x:c r="K76"/>
      <x:c r="L76" t="str">
        <x:v>已收貨</x:v>
      </x:c>
    </x:row>
    <x:row r="77" ht="20" customHeight="1">
      <x:c r="A77" t="str">
        <x:v>PO000076</x:v>
      </x:c>
      <x:c r="B77" t="str">
        <x:v>RAW-AUTO-BRK-A</x:v>
      </x:c>
      <x:c r="C77" t="str">
        <x:v>SUP08</x:v>
      </x:c>
      <x:c r="D77" s="20" t="n">
        <x:v>45692</x:v>
      </x:c>
      <x:c r="E77" t="n">
        <x:v>12798.27</x:v>
      </x:c>
      <x:c r="F77" t="n">
        <x:v>303.28</x:v>
      </x:c>
      <x:c r="G77" s="20" t="n">
        <x:v>45713</x:v>
      </x:c>
      <x:c r="H77" s="20" t="n">
        <x:v>45714</x:v>
      </x:c>
      <x:c r="I77" t="n">
        <x:v>12758.77</x:v>
      </x:c>
      <x:c r="J77" t="str">
        <x:v>需求預測</x:v>
      </x:c>
      <x:c r="K77"/>
      <x:c r="L77" t="str">
        <x:v>已收貨</x:v>
      </x:c>
    </x:row>
    <x:row r="78" ht="20" customHeight="1">
      <x:c r="A78" t="str">
        <x:v>PO000077</x:v>
      </x:c>
      <x:c r="B78" t="str">
        <x:v>RAW-AUTO-BRK-B</x:v>
      </x:c>
      <x:c r="C78" t="str">
        <x:v>SUP09</x:v>
      </x:c>
      <x:c r="D78" s="20" t="n">
        <x:v>45447</x:v>
      </x:c>
      <x:c r="E78" t="n">
        <x:v>4384.07</x:v>
      </x:c>
      <x:c r="F78" t="n">
        <x:v>475.03</x:v>
      </x:c>
      <x:c r="G78" s="20" t="n">
        <x:v>45465</x:v>
      </x:c>
      <x:c r="H78" s="20" t="n">
        <x:v>45466</x:v>
      </x:c>
      <x:c r="I78" t="n">
        <x:v>4378.93</x:v>
      </x:c>
      <x:c r="J78" t="str">
        <x:v>生產需求</x:v>
      </x:c>
      <x:c r="K78"/>
      <x:c r="L78" t="str">
        <x:v>已收貨</x:v>
      </x:c>
    </x:row>
    <x:row r="79" ht="20" customHeight="1">
      <x:c r="A79" t="str">
        <x:v>PO000078</x:v>
      </x:c>
      <x:c r="B79" t="str">
        <x:v>RAW-AUTO-BRK-B</x:v>
      </x:c>
      <x:c r="C79" t="str">
        <x:v>SUP09</x:v>
      </x:c>
      <x:c r="D79" s="20" t="n">
        <x:v>45351</x:v>
      </x:c>
      <x:c r="E79" t="n">
        <x:v>7221.5</x:v>
      </x:c>
      <x:c r="F79" t="n">
        <x:v>467.98</x:v>
      </x:c>
      <x:c r="G79" s="20" t="n">
        <x:v>45369</x:v>
      </x:c>
      <x:c r="H79" s="20" t="n">
        <x:v>45368</x:v>
      </x:c>
      <x:c r="I79" t="n">
        <x:v>7078.7</x:v>
      </x:c>
      <x:c r="J79" t="str">
        <x:v>補庫</x:v>
      </x:c>
      <x:c r="K79"/>
      <x:c r="L79" t="str">
        <x:v>已收貨</x:v>
      </x:c>
    </x:row>
    <x:row r="80" ht="20" customHeight="1">
      <x:c r="A80" t="str">
        <x:v>PO000079</x:v>
      </x:c>
      <x:c r="B80" t="str">
        <x:v>RAW-AUTO-BRK-B</x:v>
      </x:c>
      <x:c r="C80" t="str">
        <x:v>SUP09</x:v>
      </x:c>
      <x:c r="D80" s="20" t="n">
        <x:v>45657</x:v>
      </x:c>
      <x:c r="E80" t="n">
        <x:v>4288.05</x:v>
      </x:c>
      <x:c r="F80" t="n">
        <x:v>480.06</x:v>
      </x:c>
      <x:c r="G80" s="20" t="n">
        <x:v>45675</x:v>
      </x:c>
      <x:c r="H80" s="20" t="n">
        <x:v>45674</x:v>
      </x:c>
      <x:c r="I80" t="n">
        <x:v>4239.72</x:v>
      </x:c>
      <x:c r="J80" t="str">
        <x:v>生產需求</x:v>
      </x:c>
      <x:c r="K80"/>
      <x:c r="L80" t="str">
        <x:v>已收貨</x:v>
      </x:c>
    </x:row>
    <x:row r="81" ht="20" customHeight="1">
      <x:c r="A81" t="str">
        <x:v>PO000080</x:v>
      </x:c>
      <x:c r="B81" t="str">
        <x:v>RAW-AUTO-BRK-B</x:v>
      </x:c>
      <x:c r="C81" t="str">
        <x:v>SUP09</x:v>
      </x:c>
      <x:c r="D81" s="20" t="n">
        <x:v>45894</x:v>
      </x:c>
      <x:c r="E81" t="n">
        <x:v>7158.44</x:v>
      </x:c>
      <x:c r="F81" t="n">
        <x:v>512.14</x:v>
      </x:c>
      <x:c r="G81" s="20" t="n">
        <x:v>45912</x:v>
      </x:c>
      <x:c r="H81" s="20" t="n">
        <x:v>45912</x:v>
      </x:c>
      <x:c r="I81" t="n">
        <x:v>7027.75</x:v>
      </x:c>
      <x:c r="J81" t="str">
        <x:v>生產需求</x:v>
      </x:c>
      <x:c r="K81"/>
      <x:c r="L81" t="str">
        <x:v>已收貨</x:v>
      </x:c>
    </x:row>
    <x:row r="82" ht="20" customHeight="1">
      <x:c r="A82" t="str">
        <x:v>PO000081</x:v>
      </x:c>
      <x:c r="B82" t="str">
        <x:v>RAW-AUTO-MH-A</x:v>
      </x:c>
      <x:c r="C82" t="str">
        <x:v>SUP03</x:v>
      </x:c>
      <x:c r="D82" s="20" t="n">
        <x:v>45928</x:v>
      </x:c>
      <x:c r="E82" t="n">
        <x:v>12517.83</x:v>
      </x:c>
      <x:c r="F82" t="n">
        <x:v>732.51</x:v>
      </x:c>
      <x:c r="G82" s="20" t="n">
        <x:v>45953</x:v>
      </x:c>
      <x:c r="H82" s="20" t="n">
        <x:v>45953</x:v>
      </x:c>
      <x:c r="I82" t="n">
        <x:v>12289.28</x:v>
      </x:c>
      <x:c r="J82" t="str">
        <x:v>生產需求</x:v>
      </x:c>
      <x:c r="K82"/>
      <x:c r="L82" t="str">
        <x:v>已收貨</x:v>
      </x:c>
    </x:row>
    <x:row r="83" ht="20" customHeight="1">
      <x:c r="A83" t="str">
        <x:v>PO000082</x:v>
      </x:c>
      <x:c r="B83" t="str">
        <x:v>RAW-AUTO-MH-A</x:v>
      </x:c>
      <x:c r="C83" t="str">
        <x:v>SUP03</x:v>
      </x:c>
      <x:c r="D83" s="20" t="n">
        <x:v>45469</x:v>
      </x:c>
      <x:c r="E83" t="n">
        <x:v>12065.97</x:v>
      </x:c>
      <x:c r="F83" t="n">
        <x:v>787.62</x:v>
      </x:c>
      <x:c r="G83" s="20" t="n">
        <x:v>45494</x:v>
      </x:c>
      <x:c r="H83" s="20" t="n">
        <x:v>45492</x:v>
      </x:c>
      <x:c r="I83" t="n">
        <x:v>11892.43</x:v>
      </x:c>
      <x:c r="J83" t="str">
        <x:v>補庫</x:v>
      </x:c>
      <x:c r="K83"/>
      <x:c r="L83" t="str">
        <x:v>已收貨</x:v>
      </x:c>
    </x:row>
    <x:row r="84" ht="20" customHeight="1">
      <x:c r="A84" t="str">
        <x:v>PO000083</x:v>
      </x:c>
      <x:c r="B84" t="str">
        <x:v>RAW-AUTO-MH-A</x:v>
      </x:c>
      <x:c r="C84" t="str">
        <x:v>SUP03</x:v>
      </x:c>
      <x:c r="D84" s="20" t="n">
        <x:v>46109</x:v>
      </x:c>
      <x:c r="E84" t="n">
        <x:v>10906.33</x:v>
      </x:c>
      <x:c r="F84" t="n">
        <x:v>771.01</x:v>
      </x:c>
      <x:c r="G84" s="20" t="n">
        <x:v>46134</x:v>
      </x:c>
      <x:c r="H84" s="20" t="n">
        <x:v>46132</x:v>
      </x:c>
      <x:c r="I84" t="n">
        <x:v>10772.47</x:v>
      </x:c>
      <x:c r="J84" t="str">
        <x:v>需求預測</x:v>
      </x:c>
      <x:c r="K84"/>
      <x:c r="L84" t="str">
        <x:v>已收貨</x:v>
      </x:c>
    </x:row>
    <x:row r="85" ht="20" customHeight="1">
      <x:c r="A85" t="str">
        <x:v>PO000084</x:v>
      </x:c>
      <x:c r="B85" t="str">
        <x:v>RAW-AUTO-MH-A</x:v>
      </x:c>
      <x:c r="C85" t="str">
        <x:v>SUP03</x:v>
      </x:c>
      <x:c r="D85" s="20" t="n">
        <x:v>45744</x:v>
      </x:c>
      <x:c r="E85" t="n">
        <x:v>9355.64</x:v>
      </x:c>
      <x:c r="F85" t="n">
        <x:v>748.1</x:v>
      </x:c>
      <x:c r="G85" s="20" t="n">
        <x:v>45769</x:v>
      </x:c>
      <x:c r="H85" s="20" t="n">
        <x:v>45771</x:v>
      </x:c>
      <x:c r="I85" t="n">
        <x:v>9221.98</x:v>
      </x:c>
      <x:c r="J85" t="str">
        <x:v>補庫</x:v>
      </x:c>
      <x:c r="K85"/>
      <x:c r="L85" t="str">
        <x:v>已收貨</x:v>
      </x:c>
    </x:row>
    <x:row r="86" ht="20" customHeight="1">
      <x:c r="A86" t="str">
        <x:v>PO000085</x:v>
      </x:c>
      <x:c r="B86" t="str">
        <x:v>RAW-AUTO-MH-A</x:v>
      </x:c>
      <x:c r="C86" t="str">
        <x:v>SUP03</x:v>
      </x:c>
      <x:c r="D86" s="20" t="n">
        <x:v>45218</x:v>
      </x:c>
      <x:c r="E86" t="n">
        <x:v>7450.99</x:v>
      </x:c>
      <x:c r="F86" t="n">
        <x:v>762.3</x:v>
      </x:c>
      <x:c r="G86" s="20" t="n">
        <x:v>45243</x:v>
      </x:c>
      <x:c r="H86" s="20" t="n">
        <x:v>45243</x:v>
      </x:c>
      <x:c r="I86" t="n">
        <x:v>7437.19</x:v>
      </x:c>
      <x:c r="J86" t="str">
        <x:v>補庫</x:v>
      </x:c>
      <x:c r="K86"/>
      <x:c r="L86" t="str">
        <x:v>已收貨</x:v>
      </x:c>
    </x:row>
    <x:row r="87" ht="20" customHeight="1">
      <x:c r="A87" t="str">
        <x:v>PO000086</x:v>
      </x:c>
      <x:c r="B87" t="str">
        <x:v>RAW-AUTO-MH-A</x:v>
      </x:c>
      <x:c r="C87" t="str">
        <x:v>SUP03</x:v>
      </x:c>
      <x:c r="D87" s="20" t="n">
        <x:v>45595</x:v>
      </x:c>
      <x:c r="E87" t="n">
        <x:v>9087.29</x:v>
      </x:c>
      <x:c r="F87" t="n">
        <x:v>770.78</x:v>
      </x:c>
      <x:c r="G87" s="20" t="n">
        <x:v>45620</x:v>
      </x:c>
      <x:c r="H87" s="20" t="n">
        <x:v>45619</x:v>
      </x:c>
      <x:c r="I87" t="n">
        <x:v>8940.37</x:v>
      </x:c>
      <x:c r="J87" t="str">
        <x:v>生產需求</x:v>
      </x:c>
      <x:c r="K87"/>
      <x:c r="L87" t="str">
        <x:v>已收貨</x:v>
      </x:c>
    </x:row>
    <x:row r="88" ht="20" customHeight="1">
      <x:c r="A88" t="str">
        <x:v>PO000087</x:v>
      </x:c>
      <x:c r="B88" t="str">
        <x:v>RAW-AUTO-MH-A</x:v>
      </x:c>
      <x:c r="C88" t="str">
        <x:v>SUP03</x:v>
      </x:c>
      <x:c r="D88" s="20" t="n">
        <x:v>45821</x:v>
      </x:c>
      <x:c r="E88" t="n">
        <x:v>11070.79</x:v>
      </x:c>
      <x:c r="F88" t="n">
        <x:v>749.76</x:v>
      </x:c>
      <x:c r="G88" s="20" t="n">
        <x:v>45846</x:v>
      </x:c>
      <x:c r="H88" s="20" t="n">
        <x:v>45846</x:v>
      </x:c>
      <x:c r="I88" t="n">
        <x:v>11039.53</x:v>
      </x:c>
      <x:c r="J88" t="str">
        <x:v>生產需求</x:v>
      </x:c>
      <x:c r="K88"/>
      <x:c r="L88" t="str">
        <x:v>已收貨</x:v>
      </x:c>
    </x:row>
    <x:row r="89" ht="20" customHeight="1">
      <x:c r="A89" t="str">
        <x:v>PO000088</x:v>
      </x:c>
      <x:c r="B89" t="str">
        <x:v>RAW-AUTO-MH-B</x:v>
      </x:c>
      <x:c r="C89" t="str">
        <x:v>SUP05</x:v>
      </x:c>
      <x:c r="D89" s="20" t="n">
        <x:v>45770</x:v>
      </x:c>
      <x:c r="E89" t="n">
        <x:v>8658.71</x:v>
      </x:c>
      <x:c r="F89" t="n">
        <x:v>1036.75</x:v>
      </x:c>
      <x:c r="G89" s="20" t="n">
        <x:v>45784</x:v>
      </x:c>
      <x:c r="H89" s="20" t="n">
        <x:v>45782</x:v>
      </x:c>
      <x:c r="I89" t="n">
        <x:v>8594.46</x:v>
      </x:c>
      <x:c r="J89" t="str">
        <x:v>補庫</x:v>
      </x:c>
      <x:c r="K89"/>
      <x:c r="L89" t="str">
        <x:v>已收貨</x:v>
      </x:c>
    </x:row>
    <x:row r="90" ht="20" customHeight="1">
      <x:c r="A90" t="str">
        <x:v>PO000089</x:v>
      </x:c>
      <x:c r="B90" t="str">
        <x:v>RAW-AUTO-MH-B</x:v>
      </x:c>
      <x:c r="C90" t="str">
        <x:v>SUP05</x:v>
      </x:c>
      <x:c r="D90" s="20" t="n">
        <x:v>45250</x:v>
      </x:c>
      <x:c r="E90" t="n">
        <x:v>8611.2</x:v>
      </x:c>
      <x:c r="F90" t="n">
        <x:v>963.09</x:v>
      </x:c>
      <x:c r="G90" s="20" t="n">
        <x:v>45264</x:v>
      </x:c>
      <x:c r="H90" s="20" t="n">
        <x:v>45262</x:v>
      </x:c>
      <x:c r="I90" t="n">
        <x:v>8516.41</x:v>
      </x:c>
      <x:c r="J90" t="str">
        <x:v>補庫</x:v>
      </x:c>
      <x:c r="K90"/>
      <x:c r="L90" t="str">
        <x:v>已收貨</x:v>
      </x:c>
    </x:row>
    <x:row r="91" ht="20" customHeight="1">
      <x:c r="A91" t="str">
        <x:v>PO000090</x:v>
      </x:c>
      <x:c r="B91" t="str">
        <x:v>RAW-AUTO-MH-B</x:v>
      </x:c>
      <x:c r="C91" t="str">
        <x:v>SUP05</x:v>
      </x:c>
      <x:c r="D91" s="20" t="n">
        <x:v>46034</x:v>
      </x:c>
      <x:c r="E91" t="n">
        <x:v>6403.5</x:v>
      </x:c>
      <x:c r="F91" t="n">
        <x:v>1003.33</x:v>
      </x:c>
      <x:c r="G91" s="20" t="n">
        <x:v>46048</x:v>
      </x:c>
      <x:c r="H91" s="20" t="n">
        <x:v>46046</x:v>
      </x:c>
      <x:c r="I91" t="n">
        <x:v>6309.31</x:v>
      </x:c>
      <x:c r="J91" t="str">
        <x:v>補庫</x:v>
      </x:c>
      <x:c r="K91"/>
      <x:c r="L91" t="str">
        <x:v>已收貨</x:v>
      </x:c>
    </x:row>
    <x:row r="92" ht="20" customHeight="1">
      <x:c r="A92" t="str">
        <x:v>PO000091</x:v>
      </x:c>
      <x:c r="B92" t="str">
        <x:v>RAW-AUTO-MH-B</x:v>
      </x:c>
      <x:c r="C92" t="str">
        <x:v>SUP05</x:v>
      </x:c>
      <x:c r="D92" s="20" t="n">
        <x:v>45204</x:v>
      </x:c>
      <x:c r="E92" t="n">
        <x:v>6601.55</x:v>
      </x:c>
      <x:c r="F92" t="n">
        <x:v>950.1</x:v>
      </x:c>
      <x:c r="G92" s="20" t="n">
        <x:v>45218</x:v>
      </x:c>
      <x:c r="H92" s="20" t="n">
        <x:v>45222</x:v>
      </x:c>
      <x:c r="I92" t="n">
        <x:v>6526.58</x:v>
      </x:c>
      <x:c r="J92" t="str">
        <x:v>生產需求</x:v>
      </x:c>
      <x:c r="K92"/>
      <x:c r="L92" t="str">
        <x:v>已收貨</x:v>
      </x:c>
    </x:row>
    <x:row r="93" ht="20" customHeight="1">
      <x:c r="A93" t="str">
        <x:v>PO000092</x:v>
      </x:c>
      <x:c r="B93" t="str">
        <x:v>RAW-AUTO-MH-B</x:v>
      </x:c>
      <x:c r="C93" t="str">
        <x:v>SUP05</x:v>
      </x:c>
      <x:c r="D93" s="20" t="n">
        <x:v>45704</x:v>
      </x:c>
      <x:c r="E93" t="n">
        <x:v>5038.62</x:v>
      </x:c>
      <x:c r="F93" t="n">
        <x:v>1051.01</x:v>
      </x:c>
      <x:c r="G93" s="20" t="n">
        <x:v>45718</x:v>
      </x:c>
      <x:c r="H93" s="20" t="n">
        <x:v>45719</x:v>
      </x:c>
      <x:c r="I93" t="n">
        <x:v>5009.79</x:v>
      </x:c>
      <x:c r="J93" t="str">
        <x:v>補庫</x:v>
      </x:c>
      <x:c r="K93"/>
      <x:c r="L93" t="str">
        <x:v>已收貨</x:v>
      </x:c>
    </x:row>
    <x:row r="94" ht="20" customHeight="1">
      <x:c r="A94" t="str">
        <x:v>PO000093</x:v>
      </x:c>
      <x:c r="B94" t="str">
        <x:v>RAW-AUTO-MH-B</x:v>
      </x:c>
      <x:c r="C94" t="str">
        <x:v>SUP05</x:v>
      </x:c>
      <x:c r="D94" s="20" t="n">
        <x:v>45907</x:v>
      </x:c>
      <x:c r="E94" t="n">
        <x:v>7591.09</x:v>
      </x:c>
      <x:c r="F94" t="n">
        <x:v>1024.27</x:v>
      </x:c>
      <x:c r="G94" s="20" t="n">
        <x:v>45921</x:v>
      </x:c>
      <x:c r="H94" s="20" t="n">
        <x:v>45919</x:v>
      </x:c>
      <x:c r="I94" t="n">
        <x:v>7454.12</x:v>
      </x:c>
      <x:c r="J94" t="str">
        <x:v>需求預測</x:v>
      </x:c>
      <x:c r="K94"/>
      <x:c r="L94" t="str">
        <x:v>已收貨</x:v>
      </x:c>
    </x:row>
    <x:row r="95" ht="20" customHeight="1">
      <x:c r="A95" t="str">
        <x:v>PO000094</x:v>
      </x:c>
      <x:c r="B95" t="str">
        <x:v>RAW-AUTO-MH-B</x:v>
      </x:c>
      <x:c r="C95" t="str">
        <x:v>SUP05</x:v>
      </x:c>
      <x:c r="D95" s="20" t="n">
        <x:v>45804</x:v>
      </x:c>
      <x:c r="E95" t="n">
        <x:v>8729.57</x:v>
      </x:c>
      <x:c r="F95" t="n">
        <x:v>1028.56</x:v>
      </x:c>
      <x:c r="G95" s="20" t="n">
        <x:v>45818</x:v>
      </x:c>
      <x:c r="H95" s="20" t="n">
        <x:v>45822</x:v>
      </x:c>
      <x:c r="I95" t="n">
        <x:v>8725.65</x:v>
      </x:c>
      <x:c r="J95" t="str">
        <x:v>需求預測</x:v>
      </x:c>
      <x:c r="K95"/>
      <x:c r="L95" t="str">
        <x:v>已收貨</x:v>
      </x:c>
    </x:row>
    <x:row r="96" ht="20" customHeight="1">
      <x:c r="A96" t="str">
        <x:v>PO000095</x:v>
      </x:c>
      <x:c r="B96" t="str">
        <x:v>RAW-AUTO-MH-B</x:v>
      </x:c>
      <x:c r="C96" t="str">
        <x:v>SUP05</x:v>
      </x:c>
      <x:c r="D96" s="20" t="n">
        <x:v>46025</x:v>
      </x:c>
      <x:c r="E96" t="n">
        <x:v>5941.22</x:v>
      </x:c>
      <x:c r="F96" t="n">
        <x:v>973.64</x:v>
      </x:c>
      <x:c r="G96" s="20" t="n">
        <x:v>46039</x:v>
      </x:c>
      <x:c r="H96" s="20" t="n">
        <x:v>46038</x:v>
      </x:c>
      <x:c r="I96" t="n">
        <x:v>5824.2</x:v>
      </x:c>
      <x:c r="J96" t="str">
        <x:v>需求預測</x:v>
      </x:c>
      <x:c r="K96"/>
      <x:c r="L96" t="str">
        <x:v>已收貨</x:v>
      </x:c>
    </x:row>
    <x:row r="97" ht="20" customHeight="1">
      <x:c r="A97" t="str">
        <x:v>PO000096</x:v>
      </x:c>
      <x:c r="B97" t="str">
        <x:v>RAW-AUTO-MH-B</x:v>
      </x:c>
      <x:c r="C97" t="str">
        <x:v>SUP05</x:v>
      </x:c>
      <x:c r="D97" s="20" t="n">
        <x:v>45791</x:v>
      </x:c>
      <x:c r="E97" t="n">
        <x:v>4992.91</x:v>
      </x:c>
      <x:c r="F97" t="n">
        <x:v>980.31</x:v>
      </x:c>
      <x:c r="G97" s="20" t="n">
        <x:v>45805</x:v>
      </x:c>
      <x:c r="H97" s="20" t="n">
        <x:v>45806</x:v>
      </x:c>
      <x:c r="I97" t="n">
        <x:v>4986.39</x:v>
      </x:c>
      <x:c r="J97" t="str">
        <x:v>需求預測</x:v>
      </x:c>
      <x:c r="K97"/>
      <x:c r="L97" t="str">
        <x:v>已收貨</x:v>
      </x:c>
    </x:row>
    <x:row r="98" ht="20" customHeight="1">
      <x:c r="A98" t="str">
        <x:v>PO000097</x:v>
      </x:c>
      <x:c r="B98" t="str">
        <x:v>RAW-AUTO-KN-A</x:v>
      </x:c>
      <x:c r="C98" t="str">
        <x:v>SUP03</x:v>
      </x:c>
      <x:c r="D98" s="20" t="n">
        <x:v>45417</x:v>
      </x:c>
      <x:c r="E98" t="n">
        <x:v>11788.4</x:v>
      </x:c>
      <x:c r="F98" t="n">
        <x:v>858.65</x:v>
      </x:c>
      <x:c r="G98" s="20" t="n">
        <x:v>45431</x:v>
      </x:c>
      <x:c r="H98" s="20" t="n">
        <x:v>45431</x:v>
      </x:c>
      <x:c r="I98" t="n">
        <x:v>11693.28</x:v>
      </x:c>
      <x:c r="J98" t="str">
        <x:v>生產需求</x:v>
      </x:c>
      <x:c r="K98"/>
      <x:c r="L98" t="str">
        <x:v>已收貨</x:v>
      </x:c>
    </x:row>
    <x:row r="99" ht="20" customHeight="1">
      <x:c r="A99" t="str">
        <x:v>PO000098</x:v>
      </x:c>
      <x:c r="B99" t="str">
        <x:v>RAW-AUTO-KN-A</x:v>
      </x:c>
      <x:c r="C99" t="str">
        <x:v>SUP03</x:v>
      </x:c>
      <x:c r="D99" s="20" t="n">
        <x:v>46030</x:v>
      </x:c>
      <x:c r="E99" t="n">
        <x:v>11052.15</x:v>
      </x:c>
      <x:c r="F99" t="n">
        <x:v>874.55</x:v>
      </x:c>
      <x:c r="G99" s="20" t="n">
        <x:v>46044</x:v>
      </x:c>
      <x:c r="H99" s="20" t="n">
        <x:v>46042</x:v>
      </x:c>
      <x:c r="I99" t="n">
        <x:v>10858.81</x:v>
      </x:c>
      <x:c r="J99" t="str">
        <x:v>生產需求</x:v>
      </x:c>
      <x:c r="K99"/>
      <x:c r="L99" t="str">
        <x:v>已收貨</x:v>
      </x:c>
    </x:row>
    <x:row r="100" ht="20" customHeight="1">
      <x:c r="A100" t="str">
        <x:v>PO000099</x:v>
      </x:c>
      <x:c r="B100" t="str">
        <x:v>RAW-AUTO-KN-A</x:v>
      </x:c>
      <x:c r="C100" t="str">
        <x:v>SUP03</x:v>
      </x:c>
      <x:c r="D100" s="20" t="n">
        <x:v>46117</x:v>
      </x:c>
      <x:c r="E100" t="n">
        <x:v>14842.03</x:v>
      </x:c>
      <x:c r="F100" t="n">
        <x:v>820.08</x:v>
      </x:c>
      <x:c r="G100" s="20" t="n">
        <x:v>46131</x:v>
      </x:c>
      <x:c r="H100" s="20" t="n">
        <x:v>46135</x:v>
      </x:c>
      <x:c r="I100" t="n">
        <x:v>14608.37</x:v>
      </x:c>
      <x:c r="J100" t="str">
        <x:v>生產需求</x:v>
      </x:c>
      <x:c r="K100"/>
      <x:c r="L100" t="str">
        <x:v>已收貨</x:v>
      </x:c>
    </x:row>
    <x:row r="101" ht="20" customHeight="1">
      <x:c r="A101" t="str">
        <x:v>PO000100</x:v>
      </x:c>
      <x:c r="B101" t="str">
        <x:v>RAW-AUTO-KN-A</x:v>
      </x:c>
      <x:c r="C101" t="str">
        <x:v>SUP03</x:v>
      </x:c>
      <x:c r="D101" s="20" t="n">
        <x:v>45648</x:v>
      </x:c>
      <x:c r="E101" t="n">
        <x:v>10645</x:v>
      </x:c>
      <x:c r="F101" t="n">
        <x:v>868.24</x:v>
      </x:c>
      <x:c r="G101" s="20" t="n">
        <x:v>45662</x:v>
      </x:c>
      <x:c r="H101" s="20" t="n">
        <x:v>45661</x:v>
      </x:c>
      <x:c r="I101" t="n">
        <x:v>10630.93</x:v>
      </x:c>
      <x:c r="J101" t="str">
        <x:v>需求預測</x:v>
      </x:c>
      <x:c r="K101"/>
      <x:c r="L101" t="str">
        <x:v>已收貨</x:v>
      </x:c>
    </x:row>
    <x:row r="102" ht="20" customHeight="1">
      <x:c r="A102" t="str">
        <x:v>PO000101</x:v>
      </x:c>
      <x:c r="B102" t="str">
        <x:v>RAW-AUTO-KN-A</x:v>
      </x:c>
      <x:c r="C102" t="str">
        <x:v>SUP03</x:v>
      </x:c>
      <x:c r="D102" s="20" t="n">
        <x:v>45393</x:v>
      </x:c>
      <x:c r="E102" t="n">
        <x:v>14781.33</x:v>
      </x:c>
      <x:c r="F102" t="n">
        <x:v>867.18</x:v>
      </x:c>
      <x:c r="G102" s="20" t="n">
        <x:v>45407</x:v>
      </x:c>
      <x:c r="H102" s="20" t="n">
        <x:v>45408</x:v>
      </x:c>
      <x:c r="I102" t="n">
        <x:v>14582.89</x:v>
      </x:c>
      <x:c r="J102" t="str">
        <x:v>補庫</x:v>
      </x:c>
      <x:c r="K102"/>
      <x:c r="L102" t="str">
        <x:v>已收貨</x:v>
      </x:c>
    </x:row>
    <x:row r="103" ht="20" customHeight="1">
      <x:c r="A103" t="str">
        <x:v>PO000102</x:v>
      </x:c>
      <x:c r="B103" t="str">
        <x:v>RAW-AUTO-KN-A</x:v>
      </x:c>
      <x:c r="C103" t="str">
        <x:v>SUP03</x:v>
      </x:c>
      <x:c r="D103" s="20" t="n">
        <x:v>45858</x:v>
      </x:c>
      <x:c r="E103" t="n">
        <x:v>8616.21</x:v>
      </x:c>
      <x:c r="F103" t="n">
        <x:v>858.14</x:v>
      </x:c>
      <x:c r="G103" s="20" t="n">
        <x:v>45872</x:v>
      </x:c>
      <x:c r="H103" s="20" t="n">
        <x:v>45870</x:v>
      </x:c>
      <x:c r="I103" t="n">
        <x:v>8589.38</x:v>
      </x:c>
      <x:c r="J103" t="str">
        <x:v>需求預測</x:v>
      </x:c>
      <x:c r="K103"/>
      <x:c r="L103" t="str">
        <x:v>已收貨</x:v>
      </x:c>
    </x:row>
    <x:row r="104" ht="20" customHeight="1">
      <x:c r="A104" t="str">
        <x:v>PO000103</x:v>
      </x:c>
      <x:c r="B104" t="str">
        <x:v>RAW-AUTO-KN-A</x:v>
      </x:c>
      <x:c r="C104" t="str">
        <x:v>SUP03</x:v>
      </x:c>
      <x:c r="D104" s="20" t="n">
        <x:v>45396</x:v>
      </x:c>
      <x:c r="E104" t="n">
        <x:v>13792.62</x:v>
      </x:c>
      <x:c r="F104" t="n">
        <x:v>874.18</x:v>
      </x:c>
      <x:c r="G104" s="20" t="n">
        <x:v>45410</x:v>
      </x:c>
      <x:c r="H104" s="20" t="n">
        <x:v>45411</x:v>
      </x:c>
      <x:c r="I104" t="n">
        <x:v>13762.68</x:v>
      </x:c>
      <x:c r="J104" t="str">
        <x:v>生產需求</x:v>
      </x:c>
      <x:c r="K104"/>
      <x:c r="L104" t="str">
        <x:v>已收貨</x:v>
      </x:c>
    </x:row>
    <x:row r="105" ht="20" customHeight="1">
      <x:c r="A105" t="str">
        <x:v>PO000104</x:v>
      </x:c>
      <x:c r="B105" t="str">
        <x:v>RAW-AUTO-KN-A</x:v>
      </x:c>
      <x:c r="C105" t="str">
        <x:v>SUP03</x:v>
      </x:c>
      <x:c r="D105" s="20" t="n">
        <x:v>45518</x:v>
      </x:c>
      <x:c r="E105" t="n">
        <x:v>13709.28</x:v>
      </x:c>
      <x:c r="F105" t="n">
        <x:v>850.86</x:v>
      </x:c>
      <x:c r="G105" s="20" t="n">
        <x:v>45532</x:v>
      </x:c>
      <x:c r="H105" s="20" t="n">
        <x:v>45532</x:v>
      </x:c>
      <x:c r="I105" t="n">
        <x:v>13436.86</x:v>
      </x:c>
      <x:c r="J105" t="str">
        <x:v>生產需求</x:v>
      </x:c>
      <x:c r="K105"/>
      <x:c r="L105" t="str">
        <x:v>已收貨</x:v>
      </x:c>
    </x:row>
    <x:row r="106" ht="20" customHeight="1">
      <x:c r="A106" t="str">
        <x:v>PO000105</x:v>
      </x:c>
      <x:c r="B106" t="str">
        <x:v>RAW-AUTO-KN-B</x:v>
      </x:c>
      <x:c r="C106" t="str">
        <x:v>SUP04</x:v>
      </x:c>
      <x:c r="D106" s="20" t="n">
        <x:v>46011</x:v>
      </x:c>
      <x:c r="E106" t="n">
        <x:v>8342.75</x:v>
      </x:c>
      <x:c r="F106" t="n">
        <x:v>1098.92</x:v>
      </x:c>
      <x:c r="G106" s="20" t="n">
        <x:v>46036</x:v>
      </x:c>
      <x:c r="H106" s="20" t="n">
        <x:v>46040</x:v>
      </x:c>
      <x:c r="I106" t="n">
        <x:v>8236.51</x:v>
      </x:c>
      <x:c r="J106" t="str">
        <x:v>需求預測</x:v>
      </x:c>
      <x:c r="K106"/>
      <x:c r="L106" t="str">
        <x:v>已收貨</x:v>
      </x:c>
    </x:row>
    <x:row r="107" ht="20" customHeight="1">
      <x:c r="A107" t="str">
        <x:v>PO000106</x:v>
      </x:c>
      <x:c r="B107" t="str">
        <x:v>RAW-AUTO-KN-B</x:v>
      </x:c>
      <x:c r="C107" t="str">
        <x:v>SUP04</x:v>
      </x:c>
      <x:c r="D107" s="20" t="n">
        <x:v>46181</x:v>
      </x:c>
      <x:c r="E107" t="n">
        <x:v>13747.9</x:v>
      </x:c>
      <x:c r="F107" t="n">
        <x:v>1137.02</x:v>
      </x:c>
      <x:c r="G107" s="20" t="n">
        <x:v>46206</x:v>
      </x:c>
      <x:c r="H107" s="20" t="n">
        <x:v>46205</x:v>
      </x:c>
      <x:c r="I107" t="n">
        <x:v>13626.62</x:v>
      </x:c>
      <x:c r="J107" t="str">
        <x:v>需求預測</x:v>
      </x:c>
      <x:c r="K107"/>
      <x:c r="L107" t="str">
        <x:v>已收貨</x:v>
      </x:c>
    </x:row>
    <x:row r="108" ht="20" customHeight="1">
      <x:c r="A108" t="str">
        <x:v>PO000107</x:v>
      </x:c>
      <x:c r="B108" t="str">
        <x:v>RAW-AUTO-KN-B</x:v>
      </x:c>
      <x:c r="C108" t="str">
        <x:v>SUP04</x:v>
      </x:c>
      <x:c r="D108" s="20" t="n">
        <x:v>45761</x:v>
      </x:c>
      <x:c r="E108" t="n">
        <x:v>14642.1</x:v>
      </x:c>
      <x:c r="F108" t="n">
        <x:v>1136.01</x:v>
      </x:c>
      <x:c r="G108" s="20" t="n">
        <x:v>45786</x:v>
      </x:c>
      <x:c r="H108" s="20" t="n">
        <x:v>45788</x:v>
      </x:c>
      <x:c r="I108" t="n">
        <x:v>14639.46</x:v>
      </x:c>
      <x:c r="J108" t="str">
        <x:v>生產需求</x:v>
      </x:c>
      <x:c r="K108"/>
      <x:c r="L108" t="str">
        <x:v>已收貨</x:v>
      </x:c>
    </x:row>
    <x:row r="109" ht="20" customHeight="1">
      <x:c r="A109" t="str">
        <x:v>PO000108</x:v>
      </x:c>
      <x:c r="B109" t="str">
        <x:v>RAW-AUTO-FL-A</x:v>
      </x:c>
      <x:c r="C109" t="str">
        <x:v>SUP10</x:v>
      </x:c>
      <x:c r="D109" s="20" t="n">
        <x:v>45894</x:v>
      </x:c>
      <x:c r="E109" t="n">
        <x:v>21352.35</x:v>
      </x:c>
      <x:c r="F109" t="n">
        <x:v>79.63</x:v>
      </x:c>
      <x:c r="G109" s="20" t="n">
        <x:v>45924</x:v>
      </x:c>
      <x:c r="H109" s="20" t="n">
        <x:v>45924</x:v>
      </x:c>
      <x:c r="I109" t="n">
        <x:v>21181.66</x:v>
      </x:c>
      <x:c r="J109" t="str">
        <x:v>補庫</x:v>
      </x:c>
      <x:c r="K109"/>
      <x:c r="L109" t="str">
        <x:v>已收貨</x:v>
      </x:c>
    </x:row>
    <x:row r="110" ht="20" customHeight="1">
      <x:c r="A110" t="str">
        <x:v>PO000109</x:v>
      </x:c>
      <x:c r="B110" t="str">
        <x:v>RAW-AUTO-FL-A</x:v>
      </x:c>
      <x:c r="C110" t="str">
        <x:v>SUP10</x:v>
      </x:c>
      <x:c r="D110" s="20" t="n">
        <x:v>45926</x:v>
      </x:c>
      <x:c r="E110" t="n">
        <x:v>19990.19</x:v>
      </x:c>
      <x:c r="F110" t="n">
        <x:v>79.47</x:v>
      </x:c>
      <x:c r="G110" s="20" t="n">
        <x:v>45956</x:v>
      </x:c>
      <x:c r="H110" s="20" t="n">
        <x:v>45958</x:v>
      </x:c>
      <x:c r="I110" t="n">
        <x:v>19676.85</x:v>
      </x:c>
      <x:c r="J110" t="str">
        <x:v>生產需求</x:v>
      </x:c>
      <x:c r="K110"/>
      <x:c r="L110" t="str">
        <x:v>已收貨</x:v>
      </x:c>
    </x:row>
    <x:row r="111" ht="20" customHeight="1">
      <x:c r="A111" t="str">
        <x:v>PO000110</x:v>
      </x:c>
      <x:c r="B111" t="str">
        <x:v>RAW-AUTO-FL-A</x:v>
      </x:c>
      <x:c r="C111" t="str">
        <x:v>SUP10</x:v>
      </x:c>
      <x:c r="D111" s="20" t="n">
        <x:v>45296</x:v>
      </x:c>
      <x:c r="E111" t="n">
        <x:v>14540.55</x:v>
      </x:c>
      <x:c r="F111" t="n">
        <x:v>83.82</x:v>
      </x:c>
      <x:c r="G111" s="20" t="n">
        <x:v>45326</x:v>
      </x:c>
      <x:c r="H111" s="20" t="n">
        <x:v>45330</x:v>
      </x:c>
      <x:c r="I111" t="n">
        <x:v>14338.93</x:v>
      </x:c>
      <x:c r="J111" t="str">
        <x:v>需求預測</x:v>
      </x:c>
      <x:c r="K111"/>
      <x:c r="L111" t="str">
        <x:v>已收貨</x:v>
      </x:c>
    </x:row>
    <x:row r="112" ht="20" customHeight="1">
      <x:c r="A112" t="str">
        <x:v>PO000111</x:v>
      </x:c>
      <x:c r="B112" t="str">
        <x:v>RAW-AUTO-FL-A</x:v>
      </x:c>
      <x:c r="C112" t="str">
        <x:v>SUP10</x:v>
      </x:c>
      <x:c r="D112" s="20" t="n">
        <x:v>45475</x:v>
      </x:c>
      <x:c r="E112" t="n">
        <x:v>18814.05</x:v>
      </x:c>
      <x:c r="F112" t="n">
        <x:v>76.18</x:v>
      </x:c>
      <x:c r="G112" s="20" t="n">
        <x:v>45505</x:v>
      </x:c>
      <x:c r="H112" s="20" t="n">
        <x:v>45506</x:v>
      </x:c>
      <x:c r="I112" t="n">
        <x:v>18539</x:v>
      </x:c>
      <x:c r="J112" t="str">
        <x:v>需求預測</x:v>
      </x:c>
      <x:c r="K112"/>
      <x:c r="L112" t="str">
        <x:v>已收貨</x:v>
      </x:c>
    </x:row>
    <x:row r="113" ht="20" customHeight="1">
      <x:c r="A113" t="str">
        <x:v>PO000112</x:v>
      </x:c>
      <x:c r="B113" t="str">
        <x:v>RAW-AUTO-FL-A</x:v>
      </x:c>
      <x:c r="C113" t="str">
        <x:v>SUP10</x:v>
      </x:c>
      <x:c r="D113" s="20" t="n">
        <x:v>45982</x:v>
      </x:c>
      <x:c r="E113" t="n">
        <x:v>18741.38</x:v>
      </x:c>
      <x:c r="F113" t="n">
        <x:v>76.67</x:v>
      </x:c>
      <x:c r="G113" s="20" t="n">
        <x:v>46012</x:v>
      </x:c>
      <x:c r="H113" s="20" t="n">
        <x:v>46010</x:v>
      </x:c>
      <x:c r="I113" t="n">
        <x:v>18616</x:v>
      </x:c>
      <x:c r="J113" t="str">
        <x:v>生產需求</x:v>
      </x:c>
      <x:c r="K113"/>
      <x:c r="L113" t="str">
        <x:v>已收貨</x:v>
      </x:c>
    </x:row>
    <x:row r="114" ht="20" customHeight="1">
      <x:c r="A114" t="str">
        <x:v>PO000113</x:v>
      </x:c>
      <x:c r="B114" t="str">
        <x:v>RAW-AUTO-FL-A</x:v>
      </x:c>
      <x:c r="C114" t="str">
        <x:v>SUP10</x:v>
      </x:c>
      <x:c r="D114" s="20" t="n">
        <x:v>46176</x:v>
      </x:c>
      <x:c r="E114" t="n">
        <x:v>14457.84</x:v>
      </x:c>
      <x:c r="F114" t="n">
        <x:v>82.35</x:v>
      </x:c>
      <x:c r="G114" s="20" t="n">
        <x:v>46206</x:v>
      </x:c>
      <x:c r="H114" s="20" t="n">
        <x:v>46207</x:v>
      </x:c>
      <x:c r="I114" t="n">
        <x:v>14416.83</x:v>
      </x:c>
      <x:c r="J114" t="str">
        <x:v>生產需求</x:v>
      </x:c>
      <x:c r="K114"/>
      <x:c r="L114" t="str">
        <x:v>已收貨</x:v>
      </x:c>
    </x:row>
    <x:row r="115" ht="20" customHeight="1">
      <x:c r="A115" t="str">
        <x:v>PO000114</x:v>
      </x:c>
      <x:c r="B115" t="str">
        <x:v>RAW-AUTO-FL-B</x:v>
      </x:c>
      <x:c r="C115" t="str">
        <x:v>SUP05</x:v>
      </x:c>
      <x:c r="D115" s="20" t="n">
        <x:v>45492</x:v>
      </x:c>
      <x:c r="E115" t="n">
        <x:v>9910.2</x:v>
      </x:c>
      <x:c r="F115" t="n">
        <x:v>145.17</x:v>
      </x:c>
      <x:c r="G115" s="20" t="n">
        <x:v>45510</x:v>
      </x:c>
      <x:c r="H115" s="20" t="n">
        <x:v>45512</x:v>
      </x:c>
      <x:c r="I115" t="n">
        <x:v>9818.8</x:v>
      </x:c>
      <x:c r="J115" t="str">
        <x:v>補庫</x:v>
      </x:c>
      <x:c r="K115"/>
      <x:c r="L115" t="str">
        <x:v>已收貨</x:v>
      </x:c>
    </x:row>
    <x:row r="116" ht="20" customHeight="1">
      <x:c r="A116" t="str">
        <x:v>PO000115</x:v>
      </x:c>
      <x:c r="B116" t="str">
        <x:v>RAW-AUTO-FL-B</x:v>
      </x:c>
      <x:c r="C116" t="str">
        <x:v>SUP05</x:v>
      </x:c>
      <x:c r="D116" s="20" t="n">
        <x:v>45876</x:v>
      </x:c>
      <x:c r="E116" t="n">
        <x:v>10183.16</x:v>
      </x:c>
      <x:c r="F116" t="n">
        <x:v>150.47</x:v>
      </x:c>
      <x:c r="G116" s="20" t="n">
        <x:v>45894</x:v>
      </x:c>
      <x:c r="H116" s="20" t="n">
        <x:v>45898</x:v>
      </x:c>
      <x:c r="I116" t="n">
        <x:v>10164.97</x:v>
      </x:c>
      <x:c r="J116" t="str">
        <x:v>需求預測</x:v>
      </x:c>
      <x:c r="K116"/>
      <x:c r="L116" t="str">
        <x:v>已收貨</x:v>
      </x:c>
    </x:row>
    <x:row r="117" ht="20" customHeight="1">
      <x:c r="A117" t="str">
        <x:v>PO000116</x:v>
      </x:c>
      <x:c r="B117" t="str">
        <x:v>RAW-AUTO-FL-B</x:v>
      </x:c>
      <x:c r="C117" t="str">
        <x:v>SUP05</x:v>
      </x:c>
      <x:c r="D117" s="20" t="n">
        <x:v>45490</x:v>
      </x:c>
      <x:c r="E117" t="n">
        <x:v>13542.9</x:v>
      </x:c>
      <x:c r="F117" t="n">
        <x:v>158.16</x:v>
      </x:c>
      <x:c r="G117" s="20" t="n">
        <x:v>45508</x:v>
      </x:c>
      <x:c r="H117" s="20" t="n">
        <x:v>45512</x:v>
      </x:c>
      <x:c r="I117" t="n">
        <x:v>13440.87</x:v>
      </x:c>
      <x:c r="J117" t="str">
        <x:v>生產需求</x:v>
      </x:c>
      <x:c r="K117"/>
      <x:c r="L117" t="str">
        <x:v>已收貨</x:v>
      </x:c>
    </x:row>
    <x:row r="118" ht="20" customHeight="1">
      <x:c r="A118" t="str">
        <x:v>PO000117</x:v>
      </x:c>
      <x:c r="B118" t="str">
        <x:v>RAW-AUTO-FL-B</x:v>
      </x:c>
      <x:c r="C118" t="str">
        <x:v>SUP05</x:v>
      </x:c>
      <x:c r="D118" s="20" t="n">
        <x:v>45430</x:v>
      </x:c>
      <x:c r="E118" t="n">
        <x:v>10034.4</x:v>
      </x:c>
      <x:c r="F118" t="n">
        <x:v>150.44</x:v>
      </x:c>
      <x:c r="G118" s="20" t="n">
        <x:v>45448</x:v>
      </x:c>
      <x:c r="H118" s="20" t="n">
        <x:v>45447</x:v>
      </x:c>
      <x:c r="I118" t="n">
        <x:v>9884.86</x:v>
      </x:c>
      <x:c r="J118" t="str">
        <x:v>生產需求</x:v>
      </x:c>
      <x:c r="K118"/>
      <x:c r="L118" t="str">
        <x:v>已收貨</x:v>
      </x:c>
    </x:row>
    <x:row r="119" ht="20" customHeight="1">
      <x:c r="A119" t="str">
        <x:v>PO000118</x:v>
      </x:c>
      <x:c r="B119" t="str">
        <x:v>RAW-AUTO-FL-B</x:v>
      </x:c>
      <x:c r="C119" t="str">
        <x:v>SUP05</x:v>
      </x:c>
      <x:c r="D119" s="20" t="n">
        <x:v>46033</x:v>
      </x:c>
      <x:c r="E119" t="n">
        <x:v>14187.47</x:v>
      </x:c>
      <x:c r="F119" t="n">
        <x:v>155.17</x:v>
      </x:c>
      <x:c r="G119" s="20" t="n">
        <x:v>46051</x:v>
      </x:c>
      <x:c r="H119" s="20" t="n">
        <x:v>46052</x:v>
      </x:c>
      <x:c r="I119" t="n">
        <x:v>13939.95</x:v>
      </x:c>
      <x:c r="J119" t="str">
        <x:v>需求預測</x:v>
      </x:c>
      <x:c r="K119"/>
      <x:c r="L119" t="str">
        <x:v>已收貨</x:v>
      </x:c>
    </x:row>
    <x:row r="120" ht="20" customHeight="1">
      <x:c r="A120" t="str">
        <x:v>PO000119</x:v>
      </x:c>
      <x:c r="B120" t="str">
        <x:v>RAW-AUTO-FL-B</x:v>
      </x:c>
      <x:c r="C120" t="str">
        <x:v>SUP05</x:v>
      </x:c>
      <x:c r="D120" s="20" t="n">
        <x:v>45418</x:v>
      </x:c>
      <x:c r="E120" t="n">
        <x:v>15380.49</x:v>
      </x:c>
      <x:c r="F120" t="n">
        <x:v>157.16</x:v>
      </x:c>
      <x:c r="G120" s="20" t="n">
        <x:v>45436</x:v>
      </x:c>
      <x:c r="H120" s="20" t="n">
        <x:v>45440</x:v>
      </x:c>
      <x:c r="I120" t="n">
        <x:v>15245.91</x:v>
      </x:c>
      <x:c r="J120" t="str">
        <x:v>生產需求</x:v>
      </x:c>
      <x:c r="K120"/>
      <x:c r="L120" t="str">
        <x:v>已收貨</x:v>
      </x:c>
    </x:row>
    <x:row r="121" ht="20" customHeight="1">
      <x:c r="A121" t="str">
        <x:v>PO000120</x:v>
      </x:c>
      <x:c r="B121" t="str">
        <x:v>RAW-AUTO-BS-A</x:v>
      </x:c>
      <x:c r="C121" t="str">
        <x:v>SUP05</x:v>
      </x:c>
      <x:c r="D121" s="20" t="n">
        <x:v>45487</x:v>
      </x:c>
      <x:c r="E121" t="n">
        <x:v>9087.32</x:v>
      </x:c>
      <x:c r="F121" t="n">
        <x:v>82.74</x:v>
      </x:c>
      <x:c r="G121" s="20" t="n">
        <x:v>45501</x:v>
      </x:c>
      <x:c r="H121" s="20" t="n">
        <x:v>45501</x:v>
      </x:c>
      <x:c r="I121" t="n">
        <x:v>8946.79</x:v>
      </x:c>
      <x:c r="J121" t="str">
        <x:v>需求預測</x:v>
      </x:c>
      <x:c r="K121"/>
      <x:c r="L121" t="str">
        <x:v>已收貨</x:v>
      </x:c>
    </x:row>
    <x:row r="122" ht="20" customHeight="1">
      <x:c r="A122" t="str">
        <x:v>PO000121</x:v>
      </x:c>
      <x:c r="B122" t="str">
        <x:v>RAW-AUTO-BS-A</x:v>
      </x:c>
      <x:c r="C122" t="str">
        <x:v>SUP05</x:v>
      </x:c>
      <x:c r="D122" s="20" t="n">
        <x:v>46161</x:v>
      </x:c>
      <x:c r="E122" t="n">
        <x:v>8468.79</x:v>
      </x:c>
      <x:c r="F122" t="n">
        <x:v>84.15</x:v>
      </x:c>
      <x:c r="G122" s="20" t="n">
        <x:v>46175</x:v>
      </x:c>
      <x:c r="H122" s="20" t="n">
        <x:v>46175</x:v>
      </x:c>
      <x:c r="I122" t="n">
        <x:v>8381.5</x:v>
      </x:c>
      <x:c r="J122" t="str">
        <x:v>需求預測</x:v>
      </x:c>
      <x:c r="K122"/>
      <x:c r="L122" t="str">
        <x:v>已收貨</x:v>
      </x:c>
    </x:row>
    <x:row r="123" ht="20" customHeight="1">
      <x:c r="A123" t="str">
        <x:v>PO000122</x:v>
      </x:c>
      <x:c r="B123" t="str">
        <x:v>RAW-AUTO-BS-A</x:v>
      </x:c>
      <x:c r="C123" t="str">
        <x:v>SUP05</x:v>
      </x:c>
      <x:c r="D123" s="20" t="n">
        <x:v>45459</x:v>
      </x:c>
      <x:c r="E123" t="n">
        <x:v>9264.42</x:v>
      </x:c>
      <x:c r="F123" t="n">
        <x:v>80.68</x:v>
      </x:c>
      <x:c r="G123" s="20" t="n">
        <x:v>45473</x:v>
      </x:c>
      <x:c r="H123" s="20" t="n">
        <x:v>45475</x:v>
      </x:c>
      <x:c r="I123" t="n">
        <x:v>9177.38</x:v>
      </x:c>
      <x:c r="J123" t="str">
        <x:v>需求預測</x:v>
      </x:c>
      <x:c r="K123"/>
      <x:c r="L123" t="str">
        <x:v>已收貨</x:v>
      </x:c>
    </x:row>
    <x:row r="124" ht="20" customHeight="1">
      <x:c r="A124" t="str">
        <x:v>PO000123</x:v>
      </x:c>
      <x:c r="B124" t="str">
        <x:v>RAW-AUTO-BS-A</x:v>
      </x:c>
      <x:c r="C124" t="str">
        <x:v>SUP05</x:v>
      </x:c>
      <x:c r="D124" s="20" t="n">
        <x:v>45929</x:v>
      </x:c>
      <x:c r="E124" t="n">
        <x:v>11788.95</x:v>
      </x:c>
      <x:c r="F124" t="n">
        <x:v>80.71</x:v>
      </x:c>
      <x:c r="G124" s="20" t="n">
        <x:v>45943</x:v>
      </x:c>
      <x:c r="H124" s="20" t="n">
        <x:v>45944</x:v>
      </x:c>
      <x:c r="I124" t="n">
        <x:v>11661.38</x:v>
      </x:c>
      <x:c r="J124" t="str">
        <x:v>生產需求</x:v>
      </x:c>
      <x:c r="K124"/>
      <x:c r="L124" t="str">
        <x:v>已收貨</x:v>
      </x:c>
    </x:row>
    <x:row r="125" ht="20" customHeight="1">
      <x:c r="A125" t="str">
        <x:v>PO000124</x:v>
      </x:c>
      <x:c r="B125" t="str">
        <x:v>RAW-AUTO-BS-A</x:v>
      </x:c>
      <x:c r="C125" t="str">
        <x:v>SUP05</x:v>
      </x:c>
      <x:c r="D125" s="20" t="n">
        <x:v>45977</x:v>
      </x:c>
      <x:c r="E125" t="n">
        <x:v>11945.22</x:v>
      </x:c>
      <x:c r="F125" t="n">
        <x:v>84.54</x:v>
      </x:c>
      <x:c r="G125" s="20" t="n">
        <x:v>45991</x:v>
      </x:c>
      <x:c r="H125" s="20" t="n">
        <x:v>45991</x:v>
      </x:c>
      <x:c r="I125" t="n">
        <x:v>11706.6</x:v>
      </x:c>
      <x:c r="J125" t="str">
        <x:v>補庫</x:v>
      </x:c>
      <x:c r="K125"/>
      <x:c r="L125" t="str">
        <x:v>已收貨</x:v>
      </x:c>
    </x:row>
    <x:row r="126" ht="20" customHeight="1">
      <x:c r="A126" t="str">
        <x:v>PO000125</x:v>
      </x:c>
      <x:c r="B126" t="str">
        <x:v>RAW-AUTO-BS-A</x:v>
      </x:c>
      <x:c r="C126" t="str">
        <x:v>SUP05</x:v>
      </x:c>
      <x:c r="D126" s="20" t="n">
        <x:v>45579</x:v>
      </x:c>
      <x:c r="E126" t="n">
        <x:v>9193.36</x:v>
      </x:c>
      <x:c r="F126" t="n">
        <x:v>84.08</x:v>
      </x:c>
      <x:c r="G126" s="20" t="n">
        <x:v>45593</x:v>
      </x:c>
      <x:c r="H126" s="20" t="n">
        <x:v>45594</x:v>
      </x:c>
      <x:c r="I126" t="n">
        <x:v>9163.11</x:v>
      </x:c>
      <x:c r="J126" t="str">
        <x:v>生產需求</x:v>
      </x:c>
      <x:c r="K126"/>
      <x:c r="L126" t="str">
        <x:v>已收貨</x:v>
      </x:c>
    </x:row>
    <x:row r="127" ht="20" customHeight="1">
      <x:c r="A127" t="str">
        <x:v>PO000126</x:v>
      </x:c>
      <x:c r="B127" t="str">
        <x:v>RAW-AUTO-BS-A</x:v>
      </x:c>
      <x:c r="C127" t="str">
        <x:v>SUP05</x:v>
      </x:c>
      <x:c r="D127" s="20" t="n">
        <x:v>45493</x:v>
      </x:c>
      <x:c r="E127" t="n">
        <x:v>11190.25</x:v>
      </x:c>
      <x:c r="F127" t="n">
        <x:v>77.62</x:v>
      </x:c>
      <x:c r="G127" s="20" t="n">
        <x:v>45507</x:v>
      </x:c>
      <x:c r="H127" s="20" t="n">
        <x:v>45507</x:v>
      </x:c>
      <x:c r="I127" t="n">
        <x:v>10990.21</x:v>
      </x:c>
      <x:c r="J127" t="str">
        <x:v>需求預測</x:v>
      </x:c>
      <x:c r="K127"/>
      <x:c r="L127" t="str">
        <x:v>已收貨</x:v>
      </x:c>
    </x:row>
    <x:row r="128" ht="20" customHeight="1">
      <x:c r="A128" t="str">
        <x:v>PO000127</x:v>
      </x:c>
      <x:c r="B128" t="str">
        <x:v>RAW-AUTO-BS-A</x:v>
      </x:c>
      <x:c r="C128" t="str">
        <x:v>SUP05</x:v>
      </x:c>
      <x:c r="D128" s="20" t="n">
        <x:v>45256</x:v>
      </x:c>
      <x:c r="E128" t="n">
        <x:v>11104.12</x:v>
      </x:c>
      <x:c r="F128" t="n">
        <x:v>84.37</x:v>
      </x:c>
      <x:c r="G128" s="20" t="n">
        <x:v>45270</x:v>
      </x:c>
      <x:c r="H128" s="20" t="n">
        <x:v>45270</x:v>
      </x:c>
      <x:c r="I128" t="n">
        <x:v>11095.34</x:v>
      </x:c>
      <x:c r="J128" t="str">
        <x:v>補庫</x:v>
      </x:c>
      <x:c r="K128"/>
      <x:c r="L128" t="str">
        <x:v>已收貨</x:v>
      </x:c>
    </x:row>
    <x:row r="129" ht="20" customHeight="1">
      <x:c r="A129" t="str">
        <x:v>PO000128</x:v>
      </x:c>
      <x:c r="B129" t="str">
        <x:v>RAW-AUTO-BS-A</x:v>
      </x:c>
      <x:c r="C129" t="str">
        <x:v>SUP05</x:v>
      </x:c>
      <x:c r="D129" s="20" t="n">
        <x:v>45485</x:v>
      </x:c>
      <x:c r="E129" t="n">
        <x:v>10952.88</x:v>
      </x:c>
      <x:c r="F129" t="n">
        <x:v>79.29</x:v>
      </x:c>
      <x:c r="G129" s="20" t="n">
        <x:v>45499</x:v>
      </x:c>
      <x:c r="H129" s="20" t="n">
        <x:v>45499</x:v>
      </x:c>
      <x:c r="I129" t="n">
        <x:v>10807.16</x:v>
      </x:c>
      <x:c r="J129" t="str">
        <x:v>需求預測</x:v>
      </x:c>
      <x:c r="K129"/>
      <x:c r="L129" t="str">
        <x:v>已收貨</x:v>
      </x:c>
    </x:row>
    <x:row r="130" ht="20" customHeight="1">
      <x:c r="A130" t="str">
        <x:v>PO000129</x:v>
      </x:c>
      <x:c r="B130" t="str">
        <x:v>RAW-AUTO-BS-B</x:v>
      </x:c>
      <x:c r="C130" t="str">
        <x:v>SUP10</x:v>
      </x:c>
      <x:c r="D130" s="20" t="n">
        <x:v>46000</x:v>
      </x:c>
      <x:c r="E130" t="n">
        <x:v>10010.9</x:v>
      </x:c>
      <x:c r="F130" t="n">
        <x:v>82.16</x:v>
      </x:c>
      <x:c r="G130" s="20" t="n">
        <x:v>46014</x:v>
      </x:c>
      <x:c r="H130" s="20" t="n">
        <x:v>46014</x:v>
      </x:c>
      <x:c r="I130" t="n">
        <x:v>9879.4</x:v>
      </x:c>
      <x:c r="J130" t="str">
        <x:v>補庫</x:v>
      </x:c>
      <x:c r="K130"/>
      <x:c r="L130" t="str">
        <x:v>已收貨</x:v>
      </x:c>
    </x:row>
    <x:row r="131" ht="20" customHeight="1">
      <x:c r="A131" t="str">
        <x:v>PO000130</x:v>
      </x:c>
      <x:c r="B131" t="str">
        <x:v>RAW-AUTO-BS-B</x:v>
      </x:c>
      <x:c r="C131" t="str">
        <x:v>SUP10</x:v>
      </x:c>
      <x:c r="D131" s="20" t="n">
        <x:v>45491</x:v>
      </x:c>
      <x:c r="E131" t="n">
        <x:v>10193.32</x:v>
      </x:c>
      <x:c r="F131" t="n">
        <x:v>85.11</x:v>
      </x:c>
      <x:c r="G131" s="20" t="n">
        <x:v>45505</x:v>
      </x:c>
      <x:c r="H131" s="20" t="n">
        <x:v>45505</x:v>
      </x:c>
      <x:c r="I131" t="n">
        <x:v>10056</x:v>
      </x:c>
      <x:c r="J131" t="str">
        <x:v>需求預測</x:v>
      </x:c>
      <x:c r="K131"/>
      <x:c r="L131" t="str">
        <x:v>已收貨</x:v>
      </x:c>
    </x:row>
    <x:row r="132" ht="20" customHeight="1">
      <x:c r="A132" t="str">
        <x:v>PO000131</x:v>
      </x:c>
      <x:c r="B132" t="str">
        <x:v>RAW-AUTO-BS-B</x:v>
      </x:c>
      <x:c r="C132" t="str">
        <x:v>SUP10</x:v>
      </x:c>
      <x:c r="D132" s="20" t="n">
        <x:v>46083</x:v>
      </x:c>
      <x:c r="E132" t="n">
        <x:v>9802.63</x:v>
      </x:c>
      <x:c r="F132" t="n">
        <x:v>85.42</x:v>
      </x:c>
      <x:c r="G132" s="20" t="n">
        <x:v>46097</x:v>
      </x:c>
      <x:c r="H132" s="20" t="n">
        <x:v>46095</x:v>
      </x:c>
      <x:c r="I132" t="n">
        <x:v>9786.84</x:v>
      </x:c>
      <x:c r="J132" t="str">
        <x:v>補庫</x:v>
      </x:c>
      <x:c r="K132"/>
      <x:c r="L132" t="str">
        <x:v>已收貨</x:v>
      </x:c>
    </x:row>
    <x:row r="133" ht="20" customHeight="1">
      <x:c r="A133" t="str">
        <x:v>PO000132</x:v>
      </x:c>
      <x:c r="B133" t="str">
        <x:v>RAW-AUTO-BS-B</x:v>
      </x:c>
      <x:c r="C133" t="str">
        <x:v>SUP10</x:v>
      </x:c>
      <x:c r="D133" s="20" t="n">
        <x:v>45999</x:v>
      </x:c>
      <x:c r="E133" t="n">
        <x:v>9453.34</x:v>
      </x:c>
      <x:c r="F133" t="n">
        <x:v>76.87</x:v>
      </x:c>
      <x:c r="G133" s="20" t="n">
        <x:v>46013</x:v>
      </x:c>
      <x:c r="H133" s="20" t="n">
        <x:v>46017</x:v>
      </x:c>
      <x:c r="I133" t="n">
        <x:v>9377.49</x:v>
      </x:c>
      <x:c r="J133" t="str">
        <x:v>補庫</x:v>
      </x:c>
      <x:c r="K133"/>
      <x:c r="L133" t="str">
        <x:v>已收貨</x:v>
      </x:c>
    </x:row>
    <x:row r="134" ht="20" customHeight="1">
      <x:c r="A134" t="str">
        <x:v>PO000133</x:v>
      </x:c>
      <x:c r="B134" t="str">
        <x:v>RAW-AUTO-BS-B</x:v>
      </x:c>
      <x:c r="C134" t="str">
        <x:v>SUP10</x:v>
      </x:c>
      <x:c r="D134" s="20" t="n">
        <x:v>45744</x:v>
      </x:c>
      <x:c r="E134" t="n">
        <x:v>11408.1</x:v>
      </x:c>
      <x:c r="F134" t="n">
        <x:v>83.34</x:v>
      </x:c>
      <x:c r="G134" s="20" t="n">
        <x:v>45758</x:v>
      </x:c>
      <x:c r="H134" s="20" t="n">
        <x:v>45756</x:v>
      </x:c>
      <x:c r="I134" t="n">
        <x:v>11395.15</x:v>
      </x:c>
      <x:c r="J134" t="str">
        <x:v>生產需求</x:v>
      </x:c>
      <x:c r="K134"/>
      <x:c r="L134" t="str">
        <x:v>已收貨</x:v>
      </x:c>
    </x:row>
    <x:row r="135" ht="20" customHeight="1">
      <x:c r="A135" t="str">
        <x:v>PO000134</x:v>
      </x:c>
      <x:c r="B135" t="str">
        <x:v>RAW-AUTO-BS-B</x:v>
      </x:c>
      <x:c r="C135" t="str">
        <x:v>SUP10</x:v>
      </x:c>
      <x:c r="D135" s="20" t="n">
        <x:v>45975</x:v>
      </x:c>
      <x:c r="E135" t="n">
        <x:v>11796.64</x:v>
      </x:c>
      <x:c r="F135" t="n">
        <x:v>78.27</x:v>
      </x:c>
      <x:c r="G135" s="20" t="n">
        <x:v>45989</x:v>
      </x:c>
      <x:c r="H135" s="20" t="n">
        <x:v>45990</x:v>
      </x:c>
      <x:c r="I135" t="n">
        <x:v>11628.23</x:v>
      </x:c>
      <x:c r="J135" t="str">
        <x:v>需求預測</x:v>
      </x:c>
      <x:c r="K135"/>
      <x:c r="L135" t="str">
        <x:v>已收貨</x:v>
      </x:c>
    </x:row>
    <x:row r="136" ht="20" customHeight="1">
      <x:c r="A136" t="str">
        <x:v>PO000135</x:v>
      </x:c>
      <x:c r="B136" t="str">
        <x:v>RAW-AUTO-BS-B</x:v>
      </x:c>
      <x:c r="C136" t="str">
        <x:v>SUP10</x:v>
      </x:c>
      <x:c r="D136" s="20" t="n">
        <x:v>46093</x:v>
      </x:c>
      <x:c r="E136" t="n">
        <x:v>13780.09</x:v>
      </x:c>
      <x:c r="F136" t="n">
        <x:v>76.67</x:v>
      </x:c>
      <x:c r="G136" s="20" t="n">
        <x:v>46107</x:v>
      </x:c>
      <x:c r="H136" s="20" t="n">
        <x:v>46107</x:v>
      </x:c>
      <x:c r="I136" t="n">
        <x:v>13589.14</x:v>
      </x:c>
      <x:c r="J136" t="str">
        <x:v>生產需求</x:v>
      </x:c>
      <x:c r="K136"/>
      <x:c r="L136" t="str">
        <x:v>已收貨</x:v>
      </x:c>
    </x:row>
    <x:row r="137" ht="20" customHeight="1">
      <x:c r="A137" t="str">
        <x:v>PO000136</x:v>
      </x:c>
      <x:c r="B137" t="str">
        <x:v>RAW-AUTO-BS-B</x:v>
      </x:c>
      <x:c r="C137" t="str">
        <x:v>SUP10</x:v>
      </x:c>
      <x:c r="D137" s="20" t="n">
        <x:v>45504</x:v>
      </x:c>
      <x:c r="E137" t="n">
        <x:v>13456.31</x:v>
      </x:c>
      <x:c r="F137" t="n">
        <x:v>81.45</x:v>
      </x:c>
      <x:c r="G137" s="20" t="n">
        <x:v>45518</x:v>
      </x:c>
      <x:c r="H137" s="20" t="n">
        <x:v>45518</x:v>
      </x:c>
      <x:c r="I137" t="n">
        <x:v>13440.34</x:v>
      </x:c>
      <x:c r="J137" t="str">
        <x:v>需求預測</x:v>
      </x:c>
      <x:c r="K137"/>
      <x:c r="L137" t="str">
        <x:v>已收貨</x:v>
      </x:c>
    </x:row>
    <x:row r="138" ht="20" customHeight="1">
      <x:c r="A138" t="str">
        <x:v>PO000137</x:v>
      </x:c>
      <x:c r="B138" t="str">
        <x:v>RAW-AUTO-BS-B</x:v>
      </x:c>
      <x:c r="C138" t="str">
        <x:v>SUP10</x:v>
      </x:c>
      <x:c r="D138" s="20" t="n">
        <x:v>45234</x:v>
      </x:c>
      <x:c r="E138" t="n">
        <x:v>8264.97</x:v>
      </x:c>
      <x:c r="F138" t="n">
        <x:v>78.48</x:v>
      </x:c>
      <x:c r="G138" s="20" t="n">
        <x:v>45248</x:v>
      </x:c>
      <x:c r="H138" s="20" t="n">
        <x:v>45249</x:v>
      </x:c>
      <x:c r="I138" t="n">
        <x:v>8246.93</x:v>
      </x:c>
      <x:c r="J138" t="str">
        <x:v>生產需求</x:v>
      </x:c>
      <x:c r="K138"/>
      <x:c r="L138" t="str">
        <x:v>已收貨</x:v>
      </x:c>
    </x:row>
    <x:row r="139" ht="20" customHeight="1">
      <x:c r="A139" t="str">
        <x:v>PO000138</x:v>
      </x:c>
      <x:c r="B139" t="str">
        <x:v>RAW-AUTO-LG-A</x:v>
      </x:c>
      <x:c r="C139" t="str">
        <x:v>SUP11</x:v>
      </x:c>
      <x:c r="D139" s="20" t="n">
        <x:v>45260</x:v>
      </x:c>
      <x:c r="E139" t="n">
        <x:v>11036.88</x:v>
      </x:c>
      <x:c r="F139" t="n">
        <x:v>80.61</x:v>
      </x:c>
      <x:c r="G139" s="20" t="n">
        <x:v>45278</x:v>
      </x:c>
      <x:c r="H139" s="20" t="n">
        <x:v>45280</x:v>
      </x:c>
      <x:c r="I139" t="n">
        <x:v>10953.6</x:v>
      </x:c>
      <x:c r="J139" t="str">
        <x:v>生產需求</x:v>
      </x:c>
      <x:c r="K139"/>
      <x:c r="L139" t="str">
        <x:v>已收貨</x:v>
      </x:c>
    </x:row>
    <x:row r="140" ht="20" customHeight="1">
      <x:c r="A140" t="str">
        <x:v>PO000139</x:v>
      </x:c>
      <x:c r="B140" t="str">
        <x:v>RAW-AUTO-LG-A</x:v>
      </x:c>
      <x:c r="C140" t="str">
        <x:v>SUP11</x:v>
      </x:c>
      <x:c r="D140" s="20" t="n">
        <x:v>45323</x:v>
      </x:c>
      <x:c r="E140" t="n">
        <x:v>9163.5</x:v>
      </x:c>
      <x:c r="F140" t="n">
        <x:v>76.1</x:v>
      </x:c>
      <x:c r="G140" s="20" t="n">
        <x:v>45341</x:v>
      </x:c>
      <x:c r="H140" s="20" t="n">
        <x:v>45341</x:v>
      </x:c>
      <x:c r="I140" t="n">
        <x:v>9020.75</x:v>
      </x:c>
      <x:c r="J140" t="str">
        <x:v>補庫</x:v>
      </x:c>
      <x:c r="K140"/>
      <x:c r="L140" t="str">
        <x:v>已收貨</x:v>
      </x:c>
    </x:row>
    <x:row r="141" ht="20" customHeight="1">
      <x:c r="A141" t="str">
        <x:v>PO000140</x:v>
      </x:c>
      <x:c r="B141" t="str">
        <x:v>RAW-AUTO-LG-A</x:v>
      </x:c>
      <x:c r="C141" t="str">
        <x:v>SUP11</x:v>
      </x:c>
      <x:c r="D141" s="20" t="n">
        <x:v>45336</x:v>
      </x:c>
      <x:c r="E141" t="n">
        <x:v>9611.77</x:v>
      </x:c>
      <x:c r="F141" t="n">
        <x:v>81.38</x:v>
      </x:c>
      <x:c r="G141" s="20" t="n">
        <x:v>45354</x:v>
      </x:c>
      <x:c r="H141" s="20" t="n">
        <x:v>45352</x:v>
      </x:c>
      <x:c r="I141" t="n">
        <x:v>9569.76</x:v>
      </x:c>
      <x:c r="J141" t="str">
        <x:v>生產需求</x:v>
      </x:c>
      <x:c r="K141"/>
      <x:c r="L141" t="str">
        <x:v>已收貨</x:v>
      </x:c>
    </x:row>
    <x:row r="142" ht="20" customHeight="1">
      <x:c r="A142" t="str">
        <x:v>PO000141</x:v>
      </x:c>
      <x:c r="B142" t="str">
        <x:v>RAW-AUTO-LG-A</x:v>
      </x:c>
      <x:c r="C142" t="str">
        <x:v>SUP11</x:v>
      </x:c>
      <x:c r="D142" s="20" t="n">
        <x:v>46150</x:v>
      </x:c>
      <x:c r="E142" t="n">
        <x:v>8614.8</x:v>
      </x:c>
      <x:c r="F142" t="n">
        <x:v>79.22</x:v>
      </x:c>
      <x:c r="G142" s="20" t="n">
        <x:v>46168</x:v>
      </x:c>
      <x:c r="H142" s="20" t="n">
        <x:v>46169</x:v>
      </x:c>
      <x:c r="I142" t="n">
        <x:v>8586.66</x:v>
      </x:c>
      <x:c r="J142" t="str">
        <x:v>補庫</x:v>
      </x:c>
      <x:c r="K142"/>
      <x:c r="L142" t="str">
        <x:v>已收貨</x:v>
      </x:c>
    </x:row>
    <x:row r="143" ht="20" customHeight="1">
      <x:c r="A143" t="str">
        <x:v>PO000142</x:v>
      </x:c>
      <x:c r="B143" t="str">
        <x:v>RAW-AUTO-LG-B</x:v>
      </x:c>
      <x:c r="C143" t="str">
        <x:v>SUP04</x:v>
      </x:c>
      <x:c r="D143" s="20" t="n">
        <x:v>46136</x:v>
      </x:c>
      <x:c r="E143" t="n">
        <x:v>1366.61</x:v>
      </x:c>
      <x:c r="F143" t="n">
        <x:v>79.15</x:v>
      </x:c>
      <x:c r="G143" s="20" t="n">
        <x:v>46166</x:v>
      </x:c>
      <x:c r="H143" s="20" t="n">
        <x:v>46164</x:v>
      </x:c>
      <x:c r="I143" t="n">
        <x:v>1339.62</x:v>
      </x:c>
      <x:c r="J143" t="str">
        <x:v>需求預測</x:v>
      </x:c>
      <x:c r="K143"/>
      <x:c r="L143" t="str">
        <x:v>已收貨</x:v>
      </x:c>
    </x:row>
    <x:row r="144" ht="20" customHeight="1">
      <x:c r="A144" t="str">
        <x:v>PO000143</x:v>
      </x:c>
      <x:c r="B144" t="str">
        <x:v>RAW-AUTO-LG-B</x:v>
      </x:c>
      <x:c r="C144" t="str">
        <x:v>SUP04</x:v>
      </x:c>
      <x:c r="D144" s="20" t="n">
        <x:v>46182</x:v>
      </x:c>
      <x:c r="E144" t="n">
        <x:v>1189.89</x:v>
      </x:c>
      <x:c r="F144" t="n">
        <x:v>78.11</x:v>
      </x:c>
      <x:c r="G144" s="20" t="n">
        <x:v>46212</x:v>
      </x:c>
      <x:c r="H144" s="20" t="n">
        <x:v>46213</x:v>
      </x:c>
      <x:c r="I144" t="n">
        <x:v>1175.01</x:v>
      </x:c>
      <x:c r="J144" t="str">
        <x:v>需求預測</x:v>
      </x:c>
      <x:c r="K144"/>
      <x:c r="L144" t="str">
        <x:v>已收貨</x:v>
      </x:c>
    </x:row>
    <x:row r="145" ht="20" customHeight="1">
      <x:c r="A145" t="str">
        <x:v>PO000144</x:v>
      </x:c>
      <x:c r="B145" t="str">
        <x:v>RAW-AUTO-LG-B</x:v>
      </x:c>
      <x:c r="C145" t="str">
        <x:v>SUP04</x:v>
      </x:c>
      <x:c r="D145" s="20" t="n">
        <x:v>45250</x:v>
      </x:c>
      <x:c r="E145" t="n">
        <x:v>1134.65</x:v>
      </x:c>
      <x:c r="F145" t="n">
        <x:v>83.6</x:v>
      </x:c>
      <x:c r="G145" s="20" t="n">
        <x:v>45280</x:v>
      </x:c>
      <x:c r="H145" s="20" t="n">
        <x:v>45280</x:v>
      </x:c>
      <x:c r="I145" t="n">
        <x:v>1118.03</x:v>
      </x:c>
      <x:c r="J145" t="str">
        <x:v>補庫</x:v>
      </x:c>
      <x:c r="K145"/>
      <x:c r="L145" t="str">
        <x:v>已收貨</x:v>
      </x:c>
    </x:row>
    <x:row r="146" ht="20" customHeight="1">
      <x:c r="A146" t="str">
        <x:v>PO000145</x:v>
      </x:c>
      <x:c r="B146" t="str">
        <x:v>RAW-AUTO-LG-B</x:v>
      </x:c>
      <x:c r="C146" t="str">
        <x:v>SUP04</x:v>
      </x:c>
      <x:c r="D146" s="20" t="n">
        <x:v>45750</x:v>
      </x:c>
      <x:c r="E146" t="n">
        <x:v>1091.95</x:v>
      </x:c>
      <x:c r="F146" t="n">
        <x:v>80.44</x:v>
      </x:c>
      <x:c r="G146" s="20" t="n">
        <x:v>45780</x:v>
      </x:c>
      <x:c r="H146" s="20" t="n">
        <x:v>45779</x:v>
      </x:c>
      <x:c r="I146" t="n">
        <x:v>1082.57</x:v>
      </x:c>
      <x:c r="J146" t="str">
        <x:v>補庫</x:v>
      </x:c>
      <x:c r="K146"/>
      <x:c r="L146" t="str">
        <x:v>已收貨</x:v>
      </x:c>
    </x:row>
    <x:row r="147" ht="20" customHeight="1">
      <x:c r="A147" t="str">
        <x:v>PO000146</x:v>
      </x:c>
      <x:c r="B147" t="str">
        <x:v>RAW-AUTO-LG-B</x:v>
      </x:c>
      <x:c r="C147" t="str">
        <x:v>SUP04</x:v>
      </x:c>
      <x:c r="D147" s="20" t="n">
        <x:v>45456</x:v>
      </x:c>
      <x:c r="E147" t="n">
        <x:v>1441.11</x:v>
      </x:c>
      <x:c r="F147" t="n">
        <x:v>83.23</x:v>
      </x:c>
      <x:c r="G147" s="20" t="n">
        <x:v>45486</x:v>
      </x:c>
      <x:c r="H147" s="20" t="n">
        <x:v>45486</x:v>
      </x:c>
      <x:c r="I147" t="n">
        <x:v>1433.27</x:v>
      </x:c>
      <x:c r="J147" t="str">
        <x:v>補庫</x:v>
      </x:c>
      <x:c r="K147"/>
      <x:c r="L147" t="str">
        <x:v>已收貨</x:v>
      </x:c>
    </x:row>
    <x:row r="148" ht="20" customHeight="1">
      <x:c r="A148" t="str">
        <x:v>PO000147</x:v>
      </x:c>
      <x:c r="B148" t="str">
        <x:v>RAW-AUTO-LG-B</x:v>
      </x:c>
      <x:c r="C148" t="str">
        <x:v>SUP04</x:v>
      </x:c>
      <x:c r="D148" s="20" t="n">
        <x:v>45855</x:v>
      </x:c>
      <x:c r="E148" t="n">
        <x:v>1513.71</x:v>
      </x:c>
      <x:c r="F148" t="n">
        <x:v>76.49</x:v>
      </x:c>
      <x:c r="G148" s="20" t="n">
        <x:v>45885</x:v>
      </x:c>
      <x:c r="H148" s="20" t="n">
        <x:v>45885</x:v>
      </x:c>
      <x:c r="I148" t="n">
        <x:v>1511.45</x:v>
      </x:c>
      <x:c r="J148" t="str">
        <x:v>補庫</x:v>
      </x:c>
      <x:c r="K148"/>
      <x:c r="L148" t="str">
        <x:v>已收貨</x:v>
      </x:c>
    </x:row>
    <x:row r="149" ht="20" customHeight="1">
      <x:c r="A149" t="str">
        <x:v>PO000148</x:v>
      </x:c>
      <x:c r="B149" t="str">
        <x:v>RAW-PM-ALB-A</x:v>
      </x:c>
      <x:c r="C149" t="str">
        <x:v>SUP04</x:v>
      </x:c>
      <x:c r="D149" s="20" t="n">
        <x:v>45522</x:v>
      </x:c>
      <x:c r="E149" t="n">
        <x:v>927.47</x:v>
      </x:c>
      <x:c r="F149" t="n">
        <x:v>5390.51</x:v>
      </x:c>
      <x:c r="G149" s="20" t="n">
        <x:v>45536</x:v>
      </x:c>
      <x:c r="H149" s="20" t="n">
        <x:v>45534</x:v>
      </x:c>
      <x:c r="I149" t="n">
        <x:v>922.33</x:v>
      </x:c>
      <x:c r="J149" t="str">
        <x:v>需求預測</x:v>
      </x:c>
      <x:c r="K149"/>
      <x:c r="L149" t="str">
        <x:v>已收貨</x:v>
      </x:c>
    </x:row>
    <x:row r="150" ht="20" customHeight="1">
      <x:c r="A150" t="str">
        <x:v>PO000149</x:v>
      </x:c>
      <x:c r="B150" t="str">
        <x:v>RAW-PM-ALB-A</x:v>
      </x:c>
      <x:c r="C150" t="str">
        <x:v>SUP04</x:v>
      </x:c>
      <x:c r="D150" s="20" t="n">
        <x:v>45191</x:v>
      </x:c>
      <x:c r="E150" t="n">
        <x:v>1048.5</x:v>
      </x:c>
      <x:c r="F150" t="n">
        <x:v>5102.43</x:v>
      </x:c>
      <x:c r="G150" s="20" t="n">
        <x:v>45205</x:v>
      </x:c>
      <x:c r="H150" s="20" t="n">
        <x:v>45209</x:v>
      </x:c>
      <x:c r="I150" t="n">
        <x:v>1043.55</x:v>
      </x:c>
      <x:c r="J150" t="str">
        <x:v>需求預測</x:v>
      </x:c>
      <x:c r="K150"/>
      <x:c r="L150" t="str">
        <x:v>已收貨</x:v>
      </x:c>
    </x:row>
    <x:row r="151" ht="20" customHeight="1">
      <x:c r="A151" t="str">
        <x:v>PO000150</x:v>
      </x:c>
      <x:c r="B151" t="str">
        <x:v>RAW-PM-ALB-A</x:v>
      </x:c>
      <x:c r="C151" t="str">
        <x:v>SUP04</x:v>
      </x:c>
      <x:c r="D151" s="20" t="n">
        <x:v>45989</x:v>
      </x:c>
      <x:c r="E151" t="n">
        <x:v>1002.99</x:v>
      </x:c>
      <x:c r="F151" t="n">
        <x:v>5407.39</x:v>
      </x:c>
      <x:c r="G151" s="20" t="n">
        <x:v>46003</x:v>
      </x:c>
      <x:c r="H151" s="20" t="n">
        <x:v>46003</x:v>
      </x:c>
      <x:c r="I151" t="n">
        <x:v>983.15</x:v>
      </x:c>
      <x:c r="J151" t="str">
        <x:v>生產需求</x:v>
      </x:c>
      <x:c r="K151"/>
      <x:c r="L151" t="str">
        <x:v>已收貨</x:v>
      </x:c>
    </x:row>
    <x:row r="152" ht="20" customHeight="1">
      <x:c r="A152" t="str">
        <x:v>PO000151</x:v>
      </x:c>
      <x:c r="B152" t="str">
        <x:v>RAW-PM-ALB-A</x:v>
      </x:c>
      <x:c r="C152" t="str">
        <x:v>SUP04</x:v>
      </x:c>
      <x:c r="D152" s="20" t="n">
        <x:v>45637</x:v>
      </x:c>
      <x:c r="E152" t="n">
        <x:v>790.32</x:v>
      </x:c>
      <x:c r="F152" t="n">
        <x:v>5000.23</x:v>
      </x:c>
      <x:c r="G152" s="20" t="n">
        <x:v>45651</x:v>
      </x:c>
      <x:c r="H152" s="20" t="n">
        <x:v>45655</x:v>
      </x:c>
      <x:c r="I152" t="n">
        <x:v>776.1</x:v>
      </x:c>
      <x:c r="J152" t="str">
        <x:v>生產需求</x:v>
      </x:c>
      <x:c r="K152"/>
      <x:c r="L152" t="str">
        <x:v>已收貨</x:v>
      </x:c>
    </x:row>
    <x:row r="153" ht="20" customHeight="1">
      <x:c r="A153" t="str">
        <x:v>PO000152</x:v>
      </x:c>
      <x:c r="B153" t="str">
        <x:v>RAW-PM-ALB-A</x:v>
      </x:c>
      <x:c r="C153" t="str">
        <x:v>SUP04</x:v>
      </x:c>
      <x:c r="D153" s="20" t="n">
        <x:v>46225</x:v>
      </x:c>
      <x:c r="E153" t="n">
        <x:v>1057.02</x:v>
      </x:c>
      <x:c r="F153" t="n">
        <x:v>4939.71</x:v>
      </x:c>
      <x:c r="G153" s="20" t="n">
        <x:v>46239</x:v>
      </x:c>
      <x:c r="H153" s="20" t="n">
        <x:v>46238</x:v>
      </x:c>
      <x:c r="I153" t="n">
        <x:v>1036.54</x:v>
      </x:c>
      <x:c r="J153" t="str">
        <x:v>生產需求</x:v>
      </x:c>
      <x:c r="K153"/>
      <x:c r="L153" t="str">
        <x:v>已收貨</x:v>
      </x:c>
    </x:row>
    <x:row r="154" ht="20" customHeight="1">
      <x:c r="A154" t="str">
        <x:v>PO000153</x:v>
      </x:c>
      <x:c r="B154" t="str">
        <x:v>RAW-PM-ALB-A</x:v>
      </x:c>
      <x:c r="C154" t="str">
        <x:v>SUP04</x:v>
      </x:c>
      <x:c r="D154" s="20" t="n">
        <x:v>45851</x:v>
      </x:c>
      <x:c r="E154" t="n">
        <x:v>701.68</x:v>
      </x:c>
      <x:c r="F154" t="n">
        <x:v>5261.76</x:v>
      </x:c>
      <x:c r="G154" s="20" t="n">
        <x:v>45865</x:v>
      </x:c>
      <x:c r="H154" s="20" t="n">
        <x:v>45865</x:v>
      </x:c>
      <x:c r="I154" t="n">
        <x:v>698.08</x:v>
      </x:c>
      <x:c r="J154" t="str">
        <x:v>需求預測</x:v>
      </x:c>
      <x:c r="K154"/>
      <x:c r="L154" t="str">
        <x:v>已收貨</x:v>
      </x:c>
    </x:row>
    <x:row r="155" ht="20" customHeight="1">
      <x:c r="A155" t="str">
        <x:v>PO000154</x:v>
      </x:c>
      <x:c r="B155" t="str">
        <x:v>RAW-PM-ALB-A</x:v>
      </x:c>
      <x:c r="C155" t="str">
        <x:v>SUP04</x:v>
      </x:c>
      <x:c r="D155" s="20" t="n">
        <x:v>45797</x:v>
      </x:c>
      <x:c r="E155" t="n">
        <x:v>1061.2</x:v>
      </x:c>
      <x:c r="F155" t="n">
        <x:v>5304.74</x:v>
      </x:c>
      <x:c r="G155" s="20" t="n">
        <x:v>45811</x:v>
      </x:c>
      <x:c r="H155" s="20" t="n">
        <x:v>45809</x:v>
      </x:c>
      <x:c r="I155" t="n">
        <x:v>1054.74</x:v>
      </x:c>
      <x:c r="J155" t="str">
        <x:v>需求預測</x:v>
      </x:c>
      <x:c r="K155"/>
      <x:c r="L155" t="str">
        <x:v>已收貨</x:v>
      </x:c>
    </x:row>
    <x:row r="156" ht="20" customHeight="1">
      <x:c r="A156" t="str">
        <x:v>PO000155</x:v>
      </x:c>
      <x:c r="B156" t="str">
        <x:v>RAW-PM-ALB-A</x:v>
      </x:c>
      <x:c r="C156" t="str">
        <x:v>SUP04</x:v>
      </x:c>
      <x:c r="D156" s="20" t="n">
        <x:v>45746</x:v>
      </x:c>
      <x:c r="E156" t="n">
        <x:v>765.66</x:v>
      </x:c>
      <x:c r="F156" t="n">
        <x:v>4876.68</x:v>
      </x:c>
      <x:c r="G156" s="20" t="n">
        <x:v>45760</x:v>
      </x:c>
      <x:c r="H156" s="20" t="n">
        <x:v>45761</x:v>
      </x:c>
      <x:c r="I156" t="n">
        <x:v>757.71</x:v>
      </x:c>
      <x:c r="J156" t="str">
        <x:v>需求預測</x:v>
      </x:c>
      <x:c r="K156"/>
      <x:c r="L156" t="str">
        <x:v>已收貨</x:v>
      </x:c>
    </x:row>
    <x:row r="157" ht="20" customHeight="1">
      <x:c r="A157" t="str">
        <x:v>PO000156</x:v>
      </x:c>
      <x:c r="B157" t="str">
        <x:v>RAW-PM-ALB-A</x:v>
      </x:c>
      <x:c r="C157" t="str">
        <x:v>SUP04</x:v>
      </x:c>
      <x:c r="D157" s="20" t="n">
        <x:v>45205</x:v>
      </x:c>
      <x:c r="E157" t="n">
        <x:v>877.59</x:v>
      </x:c>
      <x:c r="F157" t="n">
        <x:v>5179.12</x:v>
      </x:c>
      <x:c r="G157" s="20" t="n">
        <x:v>45219</x:v>
      </x:c>
      <x:c r="H157" s="20" t="n">
        <x:v>45219</x:v>
      </x:c>
      <x:c r="I157" t="n">
        <x:v>865.18</x:v>
      </x:c>
      <x:c r="J157" t="str">
        <x:v>生產需求</x:v>
      </x:c>
      <x:c r="K157"/>
      <x:c r="L157" t="str">
        <x:v>已收貨</x:v>
      </x:c>
    </x:row>
    <x:row r="158" ht="20" customHeight="1">
      <x:c r="A158" t="str">
        <x:v>PO000157</x:v>
      </x:c>
      <x:c r="B158" t="str">
        <x:v>RAW-PM-ALB-B</x:v>
      </x:c>
      <x:c r="C158" t="str">
        <x:v>SUP01</x:v>
      </x:c>
      <x:c r="D158" s="20" t="n">
        <x:v>45904</x:v>
      </x:c>
      <x:c r="E158" t="n">
        <x:v>809.43</x:v>
      </x:c>
      <x:c r="F158" t="n">
        <x:v>7544.87</x:v>
      </x:c>
      <x:c r="G158" s="20" t="n">
        <x:v>45925</x:v>
      </x:c>
      <x:c r="H158" s="20" t="n">
        <x:v>45929</x:v>
      </x:c>
      <x:c r="I158" t="n">
        <x:v>795.73</x:v>
      </x:c>
      <x:c r="J158" t="str">
        <x:v>需求預測</x:v>
      </x:c>
      <x:c r="K158"/>
      <x:c r="L158" t="str">
        <x:v>已收貨</x:v>
      </x:c>
    </x:row>
    <x:row r="159" ht="20" customHeight="1">
      <x:c r="A159" t="str">
        <x:v>PO000158</x:v>
      </x:c>
      <x:c r="B159" t="str">
        <x:v>RAW-PM-ALB-B</x:v>
      </x:c>
      <x:c r="C159" t="str">
        <x:v>SUP01</x:v>
      </x:c>
      <x:c r="D159" s="20" t="n">
        <x:v>45735</x:v>
      </x:c>
      <x:c r="E159" t="n">
        <x:v>931.37</x:v>
      </x:c>
      <x:c r="F159" t="n">
        <x:v>8079.55</x:v>
      </x:c>
      <x:c r="G159" s="20" t="n">
        <x:v>45756</x:v>
      </x:c>
      <x:c r="H159" s="20" t="n">
        <x:v>45760</x:v>
      </x:c>
      <x:c r="I159" t="n">
        <x:v>918</x:v>
      </x:c>
      <x:c r="J159" t="str">
        <x:v>補庫</x:v>
      </x:c>
      <x:c r="K159"/>
      <x:c r="L159" t="str">
        <x:v>已收貨</x:v>
      </x:c>
    </x:row>
    <x:row r="160" ht="20" customHeight="1">
      <x:c r="A160" t="str">
        <x:v>PO000159</x:v>
      </x:c>
      <x:c r="B160" t="str">
        <x:v>RAW-PM-ALB-B</x:v>
      </x:c>
      <x:c r="C160" t="str">
        <x:v>SUP01</x:v>
      </x:c>
      <x:c r="D160" s="20" t="n">
        <x:v>46055</x:v>
      </x:c>
      <x:c r="E160" t="n">
        <x:v>757.95</x:v>
      </x:c>
      <x:c r="F160" t="n">
        <x:v>7924.54</x:v>
      </x:c>
      <x:c r="G160" s="20" t="n">
        <x:v>46076</x:v>
      </x:c>
      <x:c r="H160" s="20" t="n">
        <x:v>46077</x:v>
      </x:c>
      <x:c r="I160" t="n">
        <x:v>748.57</x:v>
      </x:c>
      <x:c r="J160" t="str">
        <x:v>補庫</x:v>
      </x:c>
      <x:c r="K160"/>
      <x:c r="L160" t="str">
        <x:v>已收貨</x:v>
      </x:c>
    </x:row>
    <x:row r="161" ht="20" customHeight="1">
      <x:c r="A161" t="str">
        <x:v>PO000160</x:v>
      </x:c>
      <x:c r="B161" t="str">
        <x:v>RAW-PM-ALB-B</x:v>
      </x:c>
      <x:c r="C161" t="str">
        <x:v>SUP01</x:v>
      </x:c>
      <x:c r="D161" s="20" t="n">
        <x:v>45810</x:v>
      </x:c>
      <x:c r="E161" t="n">
        <x:v>838.33</x:v>
      </x:c>
      <x:c r="F161" t="n">
        <x:v>7708.25</x:v>
      </x:c>
      <x:c r="G161" s="20" t="n">
        <x:v>45831</x:v>
      </x:c>
      <x:c r="H161" s="20" t="n">
        <x:v>45829</x:v>
      </x:c>
      <x:c r="I161" t="n">
        <x:v>822.38</x:v>
      </x:c>
      <x:c r="J161" t="str">
        <x:v>補庫</x:v>
      </x:c>
      <x:c r="K161"/>
      <x:c r="L161" t="str">
        <x:v>已收貨</x:v>
      </x:c>
    </x:row>
    <x:row r="162" ht="20" customHeight="1">
      <x:c r="A162" t="str">
        <x:v>PO000161</x:v>
      </x:c>
      <x:c r="B162" t="str">
        <x:v>RAW-PM-ALB-B</x:v>
      </x:c>
      <x:c r="C162" t="str">
        <x:v>SUP01</x:v>
      </x:c>
      <x:c r="D162" s="20" t="n">
        <x:v>46054</x:v>
      </x:c>
      <x:c r="E162" t="n">
        <x:v>983.91</x:v>
      </x:c>
      <x:c r="F162" t="n">
        <x:v>8079.12</x:v>
      </x:c>
      <x:c r="G162" s="20" t="n">
        <x:v>46075</x:v>
      </x:c>
      <x:c r="H162" s="20" t="n">
        <x:v>46075</x:v>
      </x:c>
      <x:c r="I162" t="n">
        <x:v>968.91</x:v>
      </x:c>
      <x:c r="J162" t="str">
        <x:v>補庫</x:v>
      </x:c>
      <x:c r="K162"/>
      <x:c r="L162" t="str">
        <x:v>已收貨</x:v>
      </x:c>
    </x:row>
    <x:row r="163" ht="20" customHeight="1">
      <x:c r="A163" t="str">
        <x:v>PO000162</x:v>
      </x:c>
      <x:c r="B163" t="str">
        <x:v>RAW-PM-ALB-B</x:v>
      </x:c>
      <x:c r="C163" t="str">
        <x:v>SUP01</x:v>
      </x:c>
      <x:c r="D163" s="20" t="n">
        <x:v>45967</x:v>
      </x:c>
      <x:c r="E163" t="n">
        <x:v>766.93</x:v>
      </x:c>
      <x:c r="F163" t="n">
        <x:v>7964.58</x:v>
      </x:c>
      <x:c r="G163" s="20" t="n">
        <x:v>45988</x:v>
      </x:c>
      <x:c r="H163" s="20" t="n">
        <x:v>45986</x:v>
      </x:c>
      <x:c r="I163" t="n">
        <x:v>766.76</x:v>
      </x:c>
      <x:c r="J163" t="str">
        <x:v>需求預測</x:v>
      </x:c>
      <x:c r="K163"/>
      <x:c r="L163" t="str">
        <x:v>已收貨</x:v>
      </x:c>
    </x:row>
    <x:row r="164" ht="20" customHeight="1">
      <x:c r="A164" t="str">
        <x:v>PO000163</x:v>
      </x:c>
      <x:c r="B164" t="str">
        <x:v>RAW-PM-ALB-B</x:v>
      </x:c>
      <x:c r="C164" t="str">
        <x:v>SUP01</x:v>
      </x:c>
      <x:c r="D164" s="20" t="n">
        <x:v>45903</x:v>
      </x:c>
      <x:c r="E164" t="n">
        <x:v>1016.55</x:v>
      </x:c>
      <x:c r="F164" t="n">
        <x:v>7792.29</x:v>
      </x:c>
      <x:c r="G164" s="20" t="n">
        <x:v>45924</x:v>
      </x:c>
      <x:c r="H164" s="20" t="n">
        <x:v>45923</x:v>
      </x:c>
      <x:c r="I164" t="n">
        <x:v>1016.51</x:v>
      </x:c>
      <x:c r="J164" t="str">
        <x:v>補庫</x:v>
      </x:c>
      <x:c r="K164"/>
      <x:c r="L164" t="str">
        <x:v>已收貨</x:v>
      </x:c>
    </x:row>
    <x:row r="165" ht="20" customHeight="1">
      <x:c r="A165" t="str">
        <x:v>PO000164</x:v>
      </x:c>
      <x:c r="B165" t="str">
        <x:v>RAW-PM-ALB-B</x:v>
      </x:c>
      <x:c r="C165" t="str">
        <x:v>SUP01</x:v>
      </x:c>
      <x:c r="D165" s="20" t="n">
        <x:v>46154</x:v>
      </x:c>
      <x:c r="E165" t="n">
        <x:v>1029.05</x:v>
      </x:c>
      <x:c r="F165" t="n">
        <x:v>7557.1</x:v>
      </x:c>
      <x:c r="G165" s="20" t="n">
        <x:v>46175</x:v>
      </x:c>
      <x:c r="H165" s="20" t="n">
        <x:v>46175</x:v>
      </x:c>
      <x:c r="I165" t="n">
        <x:v>1023.66</x:v>
      </x:c>
      <x:c r="J165" t="str">
        <x:v>補庫</x:v>
      </x:c>
      <x:c r="K165"/>
      <x:c r="L165" t="str">
        <x:v>已收貨</x:v>
      </x:c>
    </x:row>
    <x:row r="166" ht="20" customHeight="1">
      <x:c r="A166" t="str">
        <x:v>PO000165</x:v>
      </x:c>
      <x:c r="B166" t="str">
        <x:v>RAW-PM-SUS-A</x:v>
      </x:c>
      <x:c r="C166" t="str">
        <x:v>SUP02</x:v>
      </x:c>
      <x:c r="D166" s="20" t="n">
        <x:v>45628</x:v>
      </x:c>
      <x:c r="E166" t="n">
        <x:v>674.7</x:v>
      </x:c>
      <x:c r="F166" t="n">
        <x:v>4115.93</x:v>
      </x:c>
      <x:c r="G166" s="20" t="n">
        <x:v>45642</x:v>
      </x:c>
      <x:c r="H166" s="20" t="n">
        <x:v>45646</x:v>
      </x:c>
      <x:c r="I166" t="n">
        <x:v>671.39</x:v>
      </x:c>
      <x:c r="J166" t="str">
        <x:v>補庫</x:v>
      </x:c>
      <x:c r="K166"/>
      <x:c r="L166" t="str">
        <x:v>已收貨</x:v>
      </x:c>
    </x:row>
    <x:row r="167" ht="20" customHeight="1">
      <x:c r="A167" t="str">
        <x:v>PO000166</x:v>
      </x:c>
      <x:c r="B167" t="str">
        <x:v>RAW-PM-SUS-A</x:v>
      </x:c>
      <x:c r="C167" t="str">
        <x:v>SUP02</x:v>
      </x:c>
      <x:c r="D167" s="20" t="n">
        <x:v>45684</x:v>
      </x:c>
      <x:c r="E167" t="n">
        <x:v>928.4</x:v>
      </x:c>
      <x:c r="F167" t="n">
        <x:v>4178.19</x:v>
      </x:c>
      <x:c r="G167" s="20" t="n">
        <x:v>45698</x:v>
      </x:c>
      <x:c r="H167" s="20" t="n">
        <x:v>45698</x:v>
      </x:c>
      <x:c r="I167" t="n">
        <x:v>921.11</x:v>
      </x:c>
      <x:c r="J167" t="str">
        <x:v>需求預測</x:v>
      </x:c>
      <x:c r="K167"/>
      <x:c r="L167" t="str">
        <x:v>已收貨</x:v>
      </x:c>
    </x:row>
    <x:row r="168" ht="20" customHeight="1">
      <x:c r="A168" t="str">
        <x:v>PO000167</x:v>
      </x:c>
      <x:c r="B168" t="str">
        <x:v>RAW-PM-SUS-A</x:v>
      </x:c>
      <x:c r="C168" t="str">
        <x:v>SUP02</x:v>
      </x:c>
      <x:c r="D168" s="20" t="n">
        <x:v>45709</x:v>
      </x:c>
      <x:c r="E168" t="n">
        <x:v>755.26</x:v>
      </x:c>
      <x:c r="F168" t="n">
        <x:v>3990.56</x:v>
      </x:c>
      <x:c r="G168" s="20" t="n">
        <x:v>45723</x:v>
      </x:c>
      <x:c r="H168" s="20" t="n">
        <x:v>45723</x:v>
      </x:c>
      <x:c r="I168" t="n">
        <x:v>742.37</x:v>
      </x:c>
      <x:c r="J168" t="str">
        <x:v>生產需求</x:v>
      </x:c>
      <x:c r="K168"/>
      <x:c r="L168" t="str">
        <x:v>已收貨</x:v>
      </x:c>
    </x:row>
    <x:row r="169" ht="20" customHeight="1">
      <x:c r="A169" t="str">
        <x:v>PO000168</x:v>
      </x:c>
      <x:c r="B169" t="str">
        <x:v>RAW-PM-SUS-A</x:v>
      </x:c>
      <x:c r="C169" t="str">
        <x:v>SUP02</x:v>
      </x:c>
      <x:c r="D169" s="20" t="n">
        <x:v>45395</x:v>
      </x:c>
      <x:c r="E169" t="n">
        <x:v>685.87</x:v>
      </x:c>
      <x:c r="F169" t="n">
        <x:v>4179.56</x:v>
      </x:c>
      <x:c r="G169" s="20" t="n">
        <x:v>45409</x:v>
      </x:c>
      <x:c r="H169" s="20" t="n">
        <x:v>45407</x:v>
      </x:c>
      <x:c r="I169" t="n">
        <x:v>674.3</x:v>
      </x:c>
      <x:c r="J169" t="str">
        <x:v>需求預測</x:v>
      </x:c>
      <x:c r="K169"/>
      <x:c r="L169" t="str">
        <x:v>已收貨</x:v>
      </x:c>
    </x:row>
    <x:row r="170" ht="20" customHeight="1">
      <x:c r="A170" t="str">
        <x:v>PO000169</x:v>
      </x:c>
      <x:c r="B170" t="str">
        <x:v>RAW-PM-SUS-A</x:v>
      </x:c>
      <x:c r="C170" t="str">
        <x:v>SUP02</x:v>
      </x:c>
      <x:c r="D170" s="20" t="n">
        <x:v>45798</x:v>
      </x:c>
      <x:c r="E170" t="n">
        <x:v>1094.13</x:v>
      </x:c>
      <x:c r="F170" t="n">
        <x:v>4314.48</x:v>
      </x:c>
      <x:c r="G170" s="20" t="n">
        <x:v>45812</x:v>
      </x:c>
      <x:c r="H170" s="20" t="n">
        <x:v>45816</x:v>
      </x:c>
      <x:c r="I170" t="n">
        <x:v>1088.7</x:v>
      </x:c>
      <x:c r="J170" t="str">
        <x:v>需求預測</x:v>
      </x:c>
      <x:c r="K170"/>
      <x:c r="L170" t="str">
        <x:v>已收貨</x:v>
      </x:c>
    </x:row>
    <x:row r="171" ht="20" customHeight="1">
      <x:c r="A171" t="str">
        <x:v>PO000170</x:v>
      </x:c>
      <x:c r="B171" t="str">
        <x:v>RAW-PM-SUS-A</x:v>
      </x:c>
      <x:c r="C171" t="str">
        <x:v>SUP02</x:v>
      </x:c>
      <x:c r="D171" s="20" t="n">
        <x:v>46168</x:v>
      </x:c>
      <x:c r="E171" t="n">
        <x:v>1102.59</x:v>
      </x:c>
      <x:c r="F171" t="n">
        <x:v>4224.3</x:v>
      </x:c>
      <x:c r="G171" s="20" t="n">
        <x:v>46182</x:v>
      </x:c>
      <x:c r="H171" s="20" t="n">
        <x:v>46181</x:v>
      </x:c>
      <x:c r="I171" t="n">
        <x:v>1097.8</x:v>
      </x:c>
      <x:c r="J171" t="str">
        <x:v>需求預測</x:v>
      </x:c>
      <x:c r="K171"/>
      <x:c r="L171" t="str">
        <x:v>已收貨</x:v>
      </x:c>
    </x:row>
    <x:row r="172" ht="20" customHeight="1">
      <x:c r="A172" t="str">
        <x:v>PO000171</x:v>
      </x:c>
      <x:c r="B172" t="str">
        <x:v>RAW-PM-SUS-B</x:v>
      </x:c>
      <x:c r="C172" t="str">
        <x:v>SUP01</x:v>
      </x:c>
      <x:c r="D172" s="20" t="n">
        <x:v>45517</x:v>
      </x:c>
      <x:c r="E172" t="n">
        <x:v>1433.53</x:v>
      </x:c>
      <x:c r="F172" t="n">
        <x:v>6716.92</x:v>
      </x:c>
      <x:c r="G172" s="20" t="n">
        <x:v>45538</x:v>
      </x:c>
      <x:c r="H172" s="20" t="n">
        <x:v>45542</x:v>
      </x:c>
      <x:c r="I172" t="n">
        <x:v>1425.73</x:v>
      </x:c>
      <x:c r="J172" t="str">
        <x:v>生產需求</x:v>
      </x:c>
      <x:c r="K172"/>
      <x:c r="L172" t="str">
        <x:v>已收貨</x:v>
      </x:c>
    </x:row>
    <x:row r="173" ht="20" customHeight="1">
      <x:c r="A173" t="str">
        <x:v>PO000172</x:v>
      </x:c>
      <x:c r="B173" t="str">
        <x:v>RAW-PM-SUS-B</x:v>
      </x:c>
      <x:c r="C173" t="str">
        <x:v>SUP01</x:v>
      </x:c>
      <x:c r="D173" s="20" t="n">
        <x:v>45429</x:v>
      </x:c>
      <x:c r="E173" t="n">
        <x:v>1427.81</x:v>
      </x:c>
      <x:c r="F173" t="n">
        <x:v>6479.4</x:v>
      </x:c>
      <x:c r="G173" s="20" t="n">
        <x:v>45450</x:v>
      </x:c>
      <x:c r="H173" s="20" t="n">
        <x:v>45450</x:v>
      </x:c>
      <x:c r="I173" t="n">
        <x:v>1400.83</x:v>
      </x:c>
      <x:c r="J173" t="str">
        <x:v>需求預測</x:v>
      </x:c>
      <x:c r="K173"/>
      <x:c r="L173" t="str">
        <x:v>已收貨</x:v>
      </x:c>
    </x:row>
    <x:row r="174" ht="20" customHeight="1">
      <x:c r="A174" t="str">
        <x:v>PO000173</x:v>
      </x:c>
      <x:c r="B174" t="str">
        <x:v>RAW-PM-SUS-B</x:v>
      </x:c>
      <x:c r="C174" t="str">
        <x:v>SUP01</x:v>
      </x:c>
      <x:c r="D174" s="20" t="n">
        <x:v>45921</x:v>
      </x:c>
      <x:c r="E174" t="n">
        <x:v>1311.42</x:v>
      </x:c>
      <x:c r="F174" t="n">
        <x:v>6956.69</x:v>
      </x:c>
      <x:c r="G174" s="20" t="n">
        <x:v>45942</x:v>
      </x:c>
      <x:c r="H174" s="20" t="n">
        <x:v>45942</x:v>
      </x:c>
      <x:c r="I174" t="n">
        <x:v>1298.96</x:v>
      </x:c>
      <x:c r="J174" t="str">
        <x:v>生產需求</x:v>
      </x:c>
      <x:c r="K174"/>
      <x:c r="L174" t="str">
        <x:v>已收貨</x:v>
      </x:c>
    </x:row>
    <x:row r="175" ht="20" customHeight="1">
      <x:c r="A175" t="str">
        <x:v>PO000174</x:v>
      </x:c>
      <x:c r="B175" t="str">
        <x:v>RAW-PM-SUS-B</x:v>
      </x:c>
      <x:c r="C175" t="str">
        <x:v>SUP01</x:v>
      </x:c>
      <x:c r="D175" s="20" t="n">
        <x:v>45237</x:v>
      </x:c>
      <x:c r="E175" t="n">
        <x:v>1520.48</x:v>
      </x:c>
      <x:c r="F175" t="n">
        <x:v>6973.96</x:v>
      </x:c>
      <x:c r="G175" s="20" t="n">
        <x:v>45258</x:v>
      </x:c>
      <x:c r="H175" s="20" t="n">
        <x:v>45256</x:v>
      </x:c>
      <x:c r="I175" t="n">
        <x:v>1506.54</x:v>
      </x:c>
      <x:c r="J175" t="str">
        <x:v>補庫</x:v>
      </x:c>
      <x:c r="K175"/>
      <x:c r="L175" t="str">
        <x:v>已收貨</x:v>
      </x:c>
    </x:row>
    <x:row r="176" ht="20" customHeight="1">
      <x:c r="A176" t="str">
        <x:v>PO000175</x:v>
      </x:c>
      <x:c r="B176" t="str">
        <x:v>RAW-PM-BRG-A</x:v>
      </x:c>
      <x:c r="C176" t="str">
        <x:v>SUP12</x:v>
      </x:c>
      <x:c r="D176" s="20" t="n">
        <x:v>45242</x:v>
      </x:c>
      <x:c r="E176" t="n">
        <x:v>1058.51</x:v>
      </x:c>
      <x:c r="F176" t="n">
        <x:v>2286.55</x:v>
      </x:c>
      <x:c r="G176" s="20" t="n">
        <x:v>45256</x:v>
      </x:c>
      <x:c r="H176" s="20" t="n">
        <x:v>45255</x:v>
      </x:c>
      <x:c r="I176" t="n">
        <x:v>1038.93</x:v>
      </x:c>
      <x:c r="J176" t="str">
        <x:v>需求預測</x:v>
      </x:c>
      <x:c r="K176"/>
      <x:c r="L176" t="str">
        <x:v>已收貨</x:v>
      </x:c>
    </x:row>
    <x:row r="177" ht="20" customHeight="1">
      <x:c r="A177" t="str">
        <x:v>PO000176</x:v>
      </x:c>
      <x:c r="B177" t="str">
        <x:v>RAW-PM-BRG-A</x:v>
      </x:c>
      <x:c r="C177" t="str">
        <x:v>SUP12</x:v>
      </x:c>
      <x:c r="D177" s="20" t="n">
        <x:v>45882</x:v>
      </x:c>
      <x:c r="E177" t="n">
        <x:v>756.26</x:v>
      </x:c>
      <x:c r="F177" t="n">
        <x:v>2255.72</x:v>
      </x:c>
      <x:c r="G177" s="20" t="n">
        <x:v>45896</x:v>
      </x:c>
      <x:c r="H177" s="20" t="n">
        <x:v>45894</x:v>
      </x:c>
      <x:c r="I177" t="n">
        <x:v>743.53</x:v>
      </x:c>
      <x:c r="J177" t="str">
        <x:v>需求預測</x:v>
      </x:c>
      <x:c r="K177"/>
      <x:c r="L177" t="str">
        <x:v>已收貨</x:v>
      </x:c>
    </x:row>
    <x:row r="178" ht="20" customHeight="1">
      <x:c r="A178" t="str">
        <x:v>PO000177</x:v>
      </x:c>
      <x:c r="B178" t="str">
        <x:v>RAW-PM-BRG-A</x:v>
      </x:c>
      <x:c r="C178" t="str">
        <x:v>SUP12</x:v>
      </x:c>
      <x:c r="D178" s="20" t="n">
        <x:v>45363</x:v>
      </x:c>
      <x:c r="E178" t="n">
        <x:v>1161.23</x:v>
      </x:c>
      <x:c r="F178" t="n">
        <x:v>2321.09</x:v>
      </x:c>
      <x:c r="G178" s="20" t="n">
        <x:v>45377</x:v>
      </x:c>
      <x:c r="H178" s="20" t="n">
        <x:v>45377</x:v>
      </x:c>
      <x:c r="I178" t="n">
        <x:v>1139.06</x:v>
      </x:c>
      <x:c r="J178" t="str">
        <x:v>生產需求</x:v>
      </x:c>
      <x:c r="K178"/>
      <x:c r="L178" t="str">
        <x:v>已收貨</x:v>
      </x:c>
    </x:row>
    <x:row r="179" ht="20" customHeight="1">
      <x:c r="A179" t="str">
        <x:v>PO000178</x:v>
      </x:c>
      <x:c r="B179" t="str">
        <x:v>RAW-PM-BRG-B</x:v>
      </x:c>
      <x:c r="C179" t="str">
        <x:v>SUP01</x:v>
      </x:c>
      <x:c r="D179" s="20" t="n">
        <x:v>45178</x:v>
      </x:c>
      <x:c r="E179" t="n">
        <x:v>1416.97</x:v>
      </x:c>
      <x:c r="F179" t="n">
        <x:v>3162.59</x:v>
      </x:c>
      <x:c r="G179" s="20" t="n">
        <x:v>45199</x:v>
      </x:c>
      <x:c r="H179" s="20" t="n">
        <x:v>45199</x:v>
      </x:c>
      <x:c r="I179" t="n">
        <x:v>1411.12</x:v>
      </x:c>
      <x:c r="J179" t="str">
        <x:v>需求預測</x:v>
      </x:c>
      <x:c r="K179"/>
      <x:c r="L179" t="str">
        <x:v>已收貨</x:v>
      </x:c>
    </x:row>
    <x:row r="180" ht="20" customHeight="1">
      <x:c r="A180" t="str">
        <x:v>PO000179</x:v>
      </x:c>
      <x:c r="B180" t="str">
        <x:v>RAW-PM-BRG-B</x:v>
      </x:c>
      <x:c r="C180" t="str">
        <x:v>SUP01</x:v>
      </x:c>
      <x:c r="D180" s="20" t="n">
        <x:v>46098</x:v>
      </x:c>
      <x:c r="E180" t="n">
        <x:v>1220.77</x:v>
      </x:c>
      <x:c r="F180" t="n">
        <x:v>2971.57</x:v>
      </x:c>
      <x:c r="G180" s="20" t="n">
        <x:v>46119</x:v>
      </x:c>
      <x:c r="H180" s="20" t="n">
        <x:v>46123</x:v>
      </x:c>
      <x:c r="I180" t="n">
        <x:v>1216.25</x:v>
      </x:c>
      <x:c r="J180" t="str">
        <x:v>生產需求</x:v>
      </x:c>
      <x:c r="K180"/>
      <x:c r="L180" t="str">
        <x:v>已收貨</x:v>
      </x:c>
    </x:row>
    <x:row r="181" ht="20" customHeight="1">
      <x:c r="A181" t="str">
        <x:v>PO000180</x:v>
      </x:c>
      <x:c r="B181" t="str">
        <x:v>RAW-PM-BRG-B</x:v>
      </x:c>
      <x:c r="C181" t="str">
        <x:v>SUP01</x:v>
      </x:c>
      <x:c r="D181" s="20" t="n">
        <x:v>45723</x:v>
      </x:c>
      <x:c r="E181" t="n">
        <x:v>2136.92</x:v>
      </x:c>
      <x:c r="F181" t="n">
        <x:v>2861.85</x:v>
      </x:c>
      <x:c r="G181" s="20" t="n">
        <x:v>45744</x:v>
      </x:c>
      <x:c r="H181" s="20" t="n">
        <x:v>45742</x:v>
      </x:c>
      <x:c r="I181" t="n">
        <x:v>2108.18</x:v>
      </x:c>
      <x:c r="J181" t="str">
        <x:v>補庫</x:v>
      </x:c>
      <x:c r="K181"/>
      <x:c r="L181" t="str">
        <x:v>已收貨</x:v>
      </x:c>
    </x:row>
    <x:row r="182" ht="20" customHeight="1">
      <x:c r="A182" t="str">
        <x:v>PO000181</x:v>
      </x:c>
      <x:c r="B182" t="str">
        <x:v>RAW-PM-BRG-B</x:v>
      </x:c>
      <x:c r="C182" t="str">
        <x:v>SUP01</x:v>
      </x:c>
      <x:c r="D182" s="20" t="n">
        <x:v>45238</x:v>
      </x:c>
      <x:c r="E182" t="n">
        <x:v>1263.77</x:v>
      </x:c>
      <x:c r="F182" t="n">
        <x:v>3161.36</x:v>
      </x:c>
      <x:c r="G182" s="20" t="n">
        <x:v>45259</x:v>
      </x:c>
      <x:c r="H182" s="20" t="n">
        <x:v>45257</x:v>
      </x:c>
      <x:c r="I182" t="n">
        <x:v>1261.77</x:v>
      </x:c>
      <x:c r="J182" t="str">
        <x:v>生產需求</x:v>
      </x:c>
      <x:c r="K182"/>
      <x:c r="L182" t="str">
        <x:v>已收貨</x:v>
      </x:c>
    </x:row>
    <x:row r="183" ht="20" customHeight="1">
      <x:c r="A183" t="str">
        <x:v>PO000182</x:v>
      </x:c>
      <x:c r="B183" t="str">
        <x:v>RAW-PM-BRG-B</x:v>
      </x:c>
      <x:c r="C183" t="str">
        <x:v>SUP01</x:v>
      </x:c>
      <x:c r="D183" s="20" t="n">
        <x:v>45248</x:v>
      </x:c>
      <x:c r="E183" t="n">
        <x:v>1789.64</x:v>
      </x:c>
      <x:c r="F183" t="n">
        <x:v>2856.3</x:v>
      </x:c>
      <x:c r="G183" s="20" t="n">
        <x:v>45269</x:v>
      </x:c>
      <x:c r="H183" s="20" t="n">
        <x:v>45271</x:v>
      </x:c>
      <x:c r="I183" t="n">
        <x:v>1766.52</x:v>
      </x:c>
      <x:c r="J183" t="str">
        <x:v>生產需求</x:v>
      </x:c>
      <x:c r="K183"/>
      <x:c r="L183" t="str">
        <x:v>已收貨</x:v>
      </x:c>
    </x:row>
    <x:row r="184" ht="20" customHeight="1">
      <x:c r="A184" t="str">
        <x:v>PO000183</x:v>
      </x:c>
      <x:c r="B184" t="str">
        <x:v>RAW-PM-BRG-B</x:v>
      </x:c>
      <x:c r="C184" t="str">
        <x:v>SUP01</x:v>
      </x:c>
      <x:c r="D184" s="20" t="n">
        <x:v>45312</x:v>
      </x:c>
      <x:c r="E184" t="n">
        <x:v>1522</x:v>
      </x:c>
      <x:c r="F184" t="n">
        <x:v>3040.69</x:v>
      </x:c>
      <x:c r="G184" s="20" t="n">
        <x:v>45333</x:v>
      </x:c>
      <x:c r="H184" s="20" t="n">
        <x:v>45333</x:v>
      </x:c>
      <x:c r="I184" t="n">
        <x:v>1516.54</x:v>
      </x:c>
      <x:c r="J184" t="str">
        <x:v>補庫</x:v>
      </x:c>
      <x:c r="K184"/>
      <x:c r="L184" t="str">
        <x:v>已收貨</x:v>
      </x:c>
    </x:row>
    <x:row r="185" ht="20" customHeight="1">
      <x:c r="A185" t="str">
        <x:v>PO000184</x:v>
      </x:c>
      <x:c r="B185" t="str">
        <x:v>RAW-PM-BRG-B</x:v>
      </x:c>
      <x:c r="C185" t="str">
        <x:v>SUP01</x:v>
      </x:c>
      <x:c r="D185" s="20" t="n">
        <x:v>45330</x:v>
      </x:c>
      <x:c r="E185" t="n">
        <x:v>2134.15</x:v>
      </x:c>
      <x:c r="F185" t="n">
        <x:v>3123.11</x:v>
      </x:c>
      <x:c r="G185" s="20" t="n">
        <x:v>45351</x:v>
      </x:c>
      <x:c r="H185" s="20" t="n">
        <x:v>45352</x:v>
      </x:c>
      <x:c r="I185" t="n">
        <x:v>2114.65</x:v>
      </x:c>
      <x:c r="J185" t="str">
        <x:v>生產需求</x:v>
      </x:c>
      <x:c r="K185"/>
      <x:c r="L185" t="str">
        <x:v>已收貨</x:v>
      </x:c>
    </x:row>
    <x:row r="186" ht="20" customHeight="1">
      <x:c r="A186" t="str">
        <x:v>PO000185</x:v>
      </x:c>
      <x:c r="B186" t="str">
        <x:v>RAW-PM-VAC-A</x:v>
      </x:c>
      <x:c r="C186" t="str">
        <x:v>SUP11</x:v>
      </x:c>
      <x:c r="D186" s="20" t="n">
        <x:v>45249</x:v>
      </x:c>
      <x:c r="E186" t="n">
        <x:v>1017.88</x:v>
      </x:c>
      <x:c r="F186" t="n">
        <x:v>5788.51</x:v>
      </x:c>
      <x:c r="G186" s="20" t="n">
        <x:v>45263</x:v>
      </x:c>
      <x:c r="H186" s="20" t="n">
        <x:v>45267</x:v>
      </x:c>
      <x:c r="I186" t="n">
        <x:v>1006.31</x:v>
      </x:c>
      <x:c r="J186" t="str">
        <x:v>補庫</x:v>
      </x:c>
      <x:c r="K186"/>
      <x:c r="L186" t="str">
        <x:v>已收貨</x:v>
      </x:c>
    </x:row>
    <x:row r="187" ht="20" customHeight="1">
      <x:c r="A187" t="str">
        <x:v>PO000186</x:v>
      </x:c>
      <x:c r="B187" t="str">
        <x:v>RAW-PM-VAC-A</x:v>
      </x:c>
      <x:c r="C187" t="str">
        <x:v>SUP11</x:v>
      </x:c>
      <x:c r="D187" s="20" t="n">
        <x:v>45778</x:v>
      </x:c>
      <x:c r="E187" t="n">
        <x:v>866.72</x:v>
      </x:c>
      <x:c r="F187" t="n">
        <x:v>6075</x:v>
      </x:c>
      <x:c r="G187" s="20" t="n">
        <x:v>45792</x:v>
      </x:c>
      <x:c r="H187" s="20" t="n">
        <x:v>45793</x:v>
      </x:c>
      <x:c r="I187" t="n">
        <x:v>861.92</x:v>
      </x:c>
      <x:c r="J187" t="str">
        <x:v>生產需求</x:v>
      </x:c>
      <x:c r="K187"/>
      <x:c r="L187" t="str">
        <x:v>已收貨</x:v>
      </x:c>
    </x:row>
    <x:row r="188" ht="20" customHeight="1">
      <x:c r="A188" t="str">
        <x:v>PO000187</x:v>
      </x:c>
      <x:c r="B188" t="str">
        <x:v>RAW-PM-VAC-A</x:v>
      </x:c>
      <x:c r="C188" t="str">
        <x:v>SUP11</x:v>
      </x:c>
      <x:c r="D188" s="20" t="n">
        <x:v>45170</x:v>
      </x:c>
      <x:c r="E188" t="n">
        <x:v>1498.75</x:v>
      </x:c>
      <x:c r="F188" t="n">
        <x:v>6181.01</x:v>
      </x:c>
      <x:c r="G188" s="20" t="n">
        <x:v>45184</x:v>
      </x:c>
      <x:c r="H188" s="20" t="n">
        <x:v>45185</x:v>
      </x:c>
      <x:c r="I188" t="n">
        <x:v>1484.3</x:v>
      </x:c>
      <x:c r="J188" t="str">
        <x:v>補庫</x:v>
      </x:c>
      <x:c r="K188"/>
      <x:c r="L188" t="str">
        <x:v>已收貨</x:v>
      </x:c>
    </x:row>
    <x:row r="189" ht="20" customHeight="1">
      <x:c r="A189" t="str">
        <x:v>PO000188</x:v>
      </x:c>
      <x:c r="B189" t="str">
        <x:v>RAW-PM-VAC-A</x:v>
      </x:c>
      <x:c r="C189" t="str">
        <x:v>SUP11</x:v>
      </x:c>
      <x:c r="D189" s="20" t="n">
        <x:v>45906</x:v>
      </x:c>
      <x:c r="E189" t="n">
        <x:v>862.32</x:v>
      </x:c>
      <x:c r="F189" t="n">
        <x:v>5912.38</x:v>
      </x:c>
      <x:c r="G189" s="20" t="n">
        <x:v>45920</x:v>
      </x:c>
      <x:c r="H189" s="20" t="n">
        <x:v>45922</x:v>
      </x:c>
      <x:c r="I189" t="n">
        <x:v>862.14</x:v>
      </x:c>
      <x:c r="J189" t="str">
        <x:v>補庫</x:v>
      </x:c>
      <x:c r="K189"/>
      <x:c r="L189" t="str">
        <x:v>已收貨</x:v>
      </x:c>
    </x:row>
    <x:row r="190" ht="20" customHeight="1">
      <x:c r="A190" t="str">
        <x:v>PO000189</x:v>
      </x:c>
      <x:c r="B190" t="str">
        <x:v>RAW-PM-VAC-A</x:v>
      </x:c>
      <x:c r="C190" t="str">
        <x:v>SUP11</x:v>
      </x:c>
      <x:c r="D190" s="20" t="n">
        <x:v>45832</x:v>
      </x:c>
      <x:c r="E190" t="n">
        <x:v>880.9</x:v>
      </x:c>
      <x:c r="F190" t="n">
        <x:v>6418.9</x:v>
      </x:c>
      <x:c r="G190" s="20" t="n">
        <x:v>45846</x:v>
      </x:c>
      <x:c r="H190" s="20" t="n">
        <x:v>45846</x:v>
      </x:c>
      <x:c r="I190" t="n">
        <x:v>864.5</x:v>
      </x:c>
      <x:c r="J190" t="str">
        <x:v>補庫</x:v>
      </x:c>
      <x:c r="K190"/>
      <x:c r="L190" t="str">
        <x:v>已收貨</x:v>
      </x:c>
    </x:row>
    <x:row r="191" ht="20" customHeight="1">
      <x:c r="A191" t="str">
        <x:v>PO000190</x:v>
      </x:c>
      <x:c r="B191" t="str">
        <x:v>RAW-PM-VAC-B</x:v>
      </x:c>
      <x:c r="C191" t="str">
        <x:v>SUP03</x:v>
      </x:c>
      <x:c r="D191" s="20" t="n">
        <x:v>45798</x:v>
      </x:c>
      <x:c r="E191" t="n">
        <x:v>1154.76</x:v>
      </x:c>
      <x:c r="F191" t="n">
        <x:v>9340.61</x:v>
      </x:c>
      <x:c r="G191" s="20" t="n">
        <x:v>45819</x:v>
      </x:c>
      <x:c r="H191" s="20" t="n">
        <x:v>45817</x:v>
      </x:c>
      <x:c r="I191" t="n">
        <x:v>1141.27</x:v>
      </x:c>
      <x:c r="J191" t="str">
        <x:v>補庫</x:v>
      </x:c>
      <x:c r="K191"/>
      <x:c r="L191" t="str">
        <x:v>已收貨</x:v>
      </x:c>
    </x:row>
    <x:row r="192" ht="20" customHeight="1">
      <x:c r="A192" t="str">
        <x:v>PO000191</x:v>
      </x:c>
      <x:c r="B192" t="str">
        <x:v>RAW-PM-VAC-B</x:v>
      </x:c>
      <x:c r="C192" t="str">
        <x:v>SUP03</x:v>
      </x:c>
      <x:c r="D192" s="20" t="n">
        <x:v>45722</x:v>
      </x:c>
      <x:c r="E192" t="n">
        <x:v>948.38</x:v>
      </x:c>
      <x:c r="F192" t="n">
        <x:v>8931.52</x:v>
      </x:c>
      <x:c r="G192" s="20" t="n">
        <x:v>45743</x:v>
      </x:c>
      <x:c r="H192" s="20" t="n">
        <x:v>45741</x:v>
      </x:c>
      <x:c r="I192" t="n">
        <x:v>934.5</x:v>
      </x:c>
      <x:c r="J192" t="str">
        <x:v>需求預測</x:v>
      </x:c>
      <x:c r="K192"/>
      <x:c r="L192" t="str">
        <x:v>已收貨</x:v>
      </x:c>
    </x:row>
    <x:row r="193" ht="20" customHeight="1">
      <x:c r="A193" t="str">
        <x:v>PO000192</x:v>
      </x:c>
      <x:c r="B193" t="str">
        <x:v>RAW-PM-VAC-B</x:v>
      </x:c>
      <x:c r="C193" t="str">
        <x:v>SUP03</x:v>
      </x:c>
      <x:c r="D193" s="20" t="n">
        <x:v>45658</x:v>
      </x:c>
      <x:c r="E193" t="n">
        <x:v>929.81</x:v>
      </x:c>
      <x:c r="F193" t="n">
        <x:v>9207.82</x:v>
      </x:c>
      <x:c r="G193" s="20" t="n">
        <x:v>45679</x:v>
      </x:c>
      <x:c r="H193" s="20" t="n">
        <x:v>45683</x:v>
      </x:c>
      <x:c r="I193" t="n">
        <x:v>916.03</x:v>
      </x:c>
      <x:c r="J193" t="str">
        <x:v>需求預測</x:v>
      </x:c>
      <x:c r="K193"/>
      <x:c r="L193" t="str">
        <x:v>已收貨</x:v>
      </x:c>
    </x:row>
    <x:row r="194" ht="20" customHeight="1">
      <x:c r="A194" t="str">
        <x:v>PO000193</x:v>
      </x:c>
      <x:c r="B194" t="str">
        <x:v>RAW-PM-VAC-B</x:v>
      </x:c>
      <x:c r="C194" t="str">
        <x:v>SUP03</x:v>
      </x:c>
      <x:c r="D194" s="20" t="n">
        <x:v>45477</x:v>
      </x:c>
      <x:c r="E194" t="n">
        <x:v>1362.67</x:v>
      </x:c>
      <x:c r="F194" t="n">
        <x:v>8932.47</x:v>
      </x:c>
      <x:c r="G194" s="20" t="n">
        <x:v>45498</x:v>
      </x:c>
      <x:c r="H194" s="20" t="n">
        <x:v>45497</x:v>
      </x:c>
      <x:c r="I194" t="n">
        <x:v>1351.16</x:v>
      </x:c>
      <x:c r="J194" t="str">
        <x:v>生產需求</x:v>
      </x:c>
      <x:c r="K194"/>
      <x:c r="L194" t="str">
        <x:v>已收貨</x:v>
      </x:c>
    </x:row>
    <x:row r="195" ht="20" customHeight="1">
      <x:c r="A195" t="str">
        <x:v>PO000194</x:v>
      </x:c>
      <x:c r="B195" t="str">
        <x:v>RAW-PM-VAC-B</x:v>
      </x:c>
      <x:c r="C195" t="str">
        <x:v>SUP03</x:v>
      </x:c>
      <x:c r="D195" s="20" t="n">
        <x:v>46054</x:v>
      </x:c>
      <x:c r="E195" t="n">
        <x:v>966.31</x:v>
      </x:c>
      <x:c r="F195" t="n">
        <x:v>9315.94</x:v>
      </x:c>
      <x:c r="G195" s="20" t="n">
        <x:v>46075</x:v>
      </x:c>
      <x:c r="H195" s="20" t="n">
        <x:v>46076</x:v>
      </x:c>
      <x:c r="I195" t="n">
        <x:v>949.36</x:v>
      </x:c>
      <x:c r="J195" t="str">
        <x:v>補庫</x:v>
      </x:c>
      <x:c r="K195"/>
      <x:c r="L195" t="str">
        <x:v>已收貨</x:v>
      </x:c>
    </x:row>
    <x:row r="196" ht="20" customHeight="1">
      <x:c r="A196" t="str">
        <x:v>PO000195</x:v>
      </x:c>
      <x:c r="B196" t="str">
        <x:v>RAW-PM-VAC-B</x:v>
      </x:c>
      <x:c r="C196" t="str">
        <x:v>SUP03</x:v>
      </x:c>
      <x:c r="D196" s="20" t="n">
        <x:v>45851</x:v>
      </x:c>
      <x:c r="E196" t="n">
        <x:v>900.39</x:v>
      </x:c>
      <x:c r="F196" t="n">
        <x:v>8873.29</x:v>
      </x:c>
      <x:c r="G196" s="20" t="n">
        <x:v>45872</x:v>
      </x:c>
      <x:c r="H196" s="20" t="n">
        <x:v>45871</x:v>
      </x:c>
      <x:c r="I196" t="n">
        <x:v>888.82</x:v>
      </x:c>
      <x:c r="J196" t="str">
        <x:v>需求預測</x:v>
      </x:c>
      <x:c r="K196"/>
      <x:c r="L196" t="str">
        <x:v>已收貨</x:v>
      </x:c>
    </x:row>
    <x:row r="197" ht="20" customHeight="1">
      <x:c r="A197" t="str">
        <x:v>PO000196</x:v>
      </x:c>
      <x:c r="B197" t="str">
        <x:v>RAW-PM-VAC-B</x:v>
      </x:c>
      <x:c r="C197" t="str">
        <x:v>SUP03</x:v>
      </x:c>
      <x:c r="D197" s="20" t="n">
        <x:v>46007</x:v>
      </x:c>
      <x:c r="E197" t="n">
        <x:v>890.58</x:v>
      </x:c>
      <x:c r="F197" t="n">
        <x:v>8950.62</x:v>
      </x:c>
      <x:c r="G197" s="20" t="n">
        <x:v>46028</x:v>
      </x:c>
      <x:c r="H197" s="20" t="n">
        <x:v>46028</x:v>
      </x:c>
      <x:c r="I197" t="n">
        <x:v>873.27</x:v>
      </x:c>
      <x:c r="J197" t="str">
        <x:v>補庫</x:v>
      </x:c>
      <x:c r="K197"/>
      <x:c r="L197" t="str">
        <x:v>已收貨</x:v>
      </x:c>
    </x:row>
    <x:row r="198" ht="20" customHeight="1">
      <x:c r="A198" t="str">
        <x:v>PO000197</x:v>
      </x:c>
      <x:c r="B198" t="str">
        <x:v>RAW-MECH-STG-A</x:v>
      </x:c>
      <x:c r="C198" t="str">
        <x:v>SUP08</x:v>
      </x:c>
      <x:c r="D198" s="20" t="n">
        <x:v>45451</x:v>
      </x:c>
      <x:c r="E198" t="n">
        <x:v>24.92</x:v>
      </x:c>
      <x:c r="F198" t="n">
        <x:v>9340.47</x:v>
      </x:c>
      <x:c r="G198" s="20" t="n">
        <x:v>45472</x:v>
      </x:c>
      <x:c r="H198" s="20" t="n">
        <x:v>45470</x:v>
      </x:c>
      <x:c r="I198" t="n">
        <x:v>24.67</x:v>
      </x:c>
      <x:c r="J198" t="str">
        <x:v>需求預測</x:v>
      </x:c>
      <x:c r="K198"/>
      <x:c r="L198" t="str">
        <x:v>已收貨</x:v>
      </x:c>
    </x:row>
    <x:row r="199" ht="20" customHeight="1">
      <x:c r="A199" t="str">
        <x:v>PO000198</x:v>
      </x:c>
      <x:c r="B199" t="str">
        <x:v>RAW-MECH-STG-A</x:v>
      </x:c>
      <x:c r="C199" t="str">
        <x:v>SUP08</x:v>
      </x:c>
      <x:c r="D199" s="20" t="n">
        <x:v>46190</x:v>
      </x:c>
      <x:c r="E199" t="n">
        <x:v>28.64</x:v>
      </x:c>
      <x:c r="F199" t="n">
        <x:v>9367.35</x:v>
      </x:c>
      <x:c r="G199" s="20" t="n">
        <x:v>46211</x:v>
      </x:c>
      <x:c r="H199" s="20" t="n">
        <x:v>46212</x:v>
      </x:c>
      <x:c r="I199" t="n">
        <x:v>28.17</x:v>
      </x:c>
      <x:c r="J199" t="str">
        <x:v>生產需求</x:v>
      </x:c>
      <x:c r="K199"/>
      <x:c r="L199" t="str">
        <x:v>已收貨</x:v>
      </x:c>
    </x:row>
    <x:row r="200" ht="20" customHeight="1">
      <x:c r="A200" t="str">
        <x:v>PO000199</x:v>
      </x:c>
      <x:c r="B200" t="str">
        <x:v>RAW-MECH-STG-A</x:v>
      </x:c>
      <x:c r="C200" t="str">
        <x:v>SUP08</x:v>
      </x:c>
      <x:c r="D200" s="20" t="n">
        <x:v>45769</x:v>
      </x:c>
      <x:c r="E200" t="n">
        <x:v>34.29</x:v>
      </x:c>
      <x:c r="F200" t="n">
        <x:v>9331.57</x:v>
      </x:c>
      <x:c r="G200" s="20" t="n">
        <x:v>45790</x:v>
      </x:c>
      <x:c r="H200" s="20" t="n">
        <x:v>45794</x:v>
      </x:c>
      <x:c r="I200" t="n">
        <x:v>33.9</x:v>
      </x:c>
      <x:c r="J200" t="str">
        <x:v>需求預測</x:v>
      </x:c>
      <x:c r="K200"/>
      <x:c r="L200" t="str">
        <x:v>已收貨</x:v>
      </x:c>
    </x:row>
    <x:row r="201" ht="20" customHeight="1">
      <x:c r="A201" t="str">
        <x:v>PO000200</x:v>
      </x:c>
      <x:c r="B201" t="str">
        <x:v>RAW-MECH-STG-A</x:v>
      </x:c>
      <x:c r="C201" t="str">
        <x:v>SUP08</x:v>
      </x:c>
      <x:c r="D201" s="20" t="n">
        <x:v>45611</x:v>
      </x:c>
      <x:c r="E201" t="n">
        <x:v>33.1</x:v>
      </x:c>
      <x:c r="F201" t="n">
        <x:v>8912.77</x:v>
      </x:c>
      <x:c r="G201" s="20" t="n">
        <x:v>45632</x:v>
      </x:c>
      <x:c r="H201" s="20" t="n">
        <x:v>45630</x:v>
      </x:c>
      <x:c r="I201" t="n">
        <x:v>32.5</x:v>
      </x:c>
      <x:c r="J201" t="str">
        <x:v>需求預測</x:v>
      </x:c>
      <x:c r="K201"/>
      <x:c r="L201" t="str">
        <x:v>已收貨</x:v>
      </x:c>
    </x:row>
    <x:row r="202" ht="20" customHeight="1">
      <x:c r="A202" t="str">
        <x:v>PO000201</x:v>
      </x:c>
      <x:c r="B202" t="str">
        <x:v>RAW-MECH-STG-A</x:v>
      </x:c>
      <x:c r="C202" t="str">
        <x:v>SUP08</x:v>
      </x:c>
      <x:c r="D202" s="20" t="n">
        <x:v>45543</x:v>
      </x:c>
      <x:c r="E202" t="n">
        <x:v>34.32</x:v>
      </x:c>
      <x:c r="F202" t="n">
        <x:v>9069.79</x:v>
      </x:c>
      <x:c r="G202" s="20" t="n">
        <x:v>45564</x:v>
      </x:c>
      <x:c r="H202" s="20" t="n">
        <x:v>45563</x:v>
      </x:c>
      <x:c r="I202" t="n">
        <x:v>33.84</x:v>
      </x:c>
      <x:c r="J202" t="str">
        <x:v>補庫</x:v>
      </x:c>
      <x:c r="K202"/>
      <x:c r="L202" t="str">
        <x:v>已收貨</x:v>
      </x:c>
    </x:row>
    <x:row r="203" ht="20" customHeight="1">
      <x:c r="A203" t="str">
        <x:v>PO000202</x:v>
      </x:c>
      <x:c r="B203" t="str">
        <x:v>RAW-MECH-STG-A</x:v>
      </x:c>
      <x:c r="C203" t="str">
        <x:v>SUP08</x:v>
      </x:c>
      <x:c r="D203" s="20" t="n">
        <x:v>45639</x:v>
      </x:c>
      <x:c r="E203" t="n">
        <x:v>30.89</x:v>
      </x:c>
      <x:c r="F203" t="n">
        <x:v>8842.84</x:v>
      </x:c>
      <x:c r="G203" s="20" t="n">
        <x:v>45660</x:v>
      </x:c>
      <x:c r="H203" s="20" t="n">
        <x:v>45662</x:v>
      </x:c>
      <x:c r="I203" t="n">
        <x:v>30.46</x:v>
      </x:c>
      <x:c r="J203" t="str">
        <x:v>生產需求</x:v>
      </x:c>
      <x:c r="K203"/>
      <x:c r="L203" t="str">
        <x:v>已收貨</x:v>
      </x:c>
    </x:row>
    <x:row r="204" ht="20" customHeight="1">
      <x:c r="A204" t="str">
        <x:v>PO000203</x:v>
      </x:c>
      <x:c r="B204" t="str">
        <x:v>RAW-MECH-STG-A</x:v>
      </x:c>
      <x:c r="C204" t="str">
        <x:v>SUP08</x:v>
      </x:c>
      <x:c r="D204" s="20" t="n">
        <x:v>45613</x:v>
      </x:c>
      <x:c r="E204" t="n">
        <x:v>30.72</x:v>
      </x:c>
      <x:c r="F204" t="n">
        <x:v>8593.82</x:v>
      </x:c>
      <x:c r="G204" s="20" t="n">
        <x:v>45634</x:v>
      </x:c>
      <x:c r="H204" s="20" t="n">
        <x:v>45635</x:v>
      </x:c>
      <x:c r="I204" t="n">
        <x:v>30.5</x:v>
      </x:c>
      <x:c r="J204" t="str">
        <x:v>生產需求</x:v>
      </x:c>
      <x:c r="K204"/>
      <x:c r="L204" t="str">
        <x:v>已收貨</x:v>
      </x:c>
    </x:row>
    <x:row r="205" ht="20" customHeight="1">
      <x:c r="A205" t="str">
        <x:v>PO000204</x:v>
      </x:c>
      <x:c r="B205" t="str">
        <x:v>RAW-MECH-STG-A</x:v>
      </x:c>
      <x:c r="C205" t="str">
        <x:v>SUP08</x:v>
      </x:c>
      <x:c r="D205" s="20" t="n">
        <x:v>46019</x:v>
      </x:c>
      <x:c r="E205" t="n">
        <x:v>36.49</x:v>
      </x:c>
      <x:c r="F205" t="n">
        <x:v>8626.21</x:v>
      </x:c>
      <x:c r="G205" s="20" t="n">
        <x:v>46040</x:v>
      </x:c>
      <x:c r="H205" s="20" t="n">
        <x:v>46042</x:v>
      </x:c>
      <x:c r="I205" t="n">
        <x:v>35.85</x:v>
      </x:c>
      <x:c r="J205" t="str">
        <x:v>需求預測</x:v>
      </x:c>
      <x:c r="K205"/>
      <x:c r="L205" t="str">
        <x:v>已收貨</x:v>
      </x:c>
    </x:row>
    <x:row r="206" ht="20" customHeight="1">
      <x:c r="A206" t="str">
        <x:v>PO000205</x:v>
      </x:c>
      <x:c r="B206" t="str">
        <x:v>RAW-MECH-STG-B</x:v>
      </x:c>
      <x:c r="C206" t="str">
        <x:v>SUP04</x:v>
      </x:c>
      <x:c r="D206" s="20" t="n">
        <x:v>46023</x:v>
      </x:c>
      <x:c r="E206" t="n">
        <x:v>25.96</x:v>
      </x:c>
      <x:c r="F206" t="n">
        <x:v>39447.6</x:v>
      </x:c>
      <x:c r="G206" s="20" t="n">
        <x:v>46053</x:v>
      </x:c>
      <x:c r="H206" s="20" t="n">
        <x:v>46054</x:v>
      </x:c>
      <x:c r="I206" t="n">
        <x:v>25.86</x:v>
      </x:c>
      <x:c r="J206" t="str">
        <x:v>補庫</x:v>
      </x:c>
      <x:c r="K206"/>
      <x:c r="L206" t="str">
        <x:v>已收貨</x:v>
      </x:c>
    </x:row>
    <x:row r="207" ht="20" customHeight="1">
      <x:c r="A207" t="str">
        <x:v>PO000206</x:v>
      </x:c>
      <x:c r="B207" t="str">
        <x:v>RAW-MECH-STG-B</x:v>
      </x:c>
      <x:c r="C207" t="str">
        <x:v>SUP04</x:v>
      </x:c>
      <x:c r="D207" s="20" t="n">
        <x:v>45992</x:v>
      </x:c>
      <x:c r="E207" t="n">
        <x:v>25.75</x:v>
      </x:c>
      <x:c r="F207" t="n">
        <x:v>37070.38</x:v>
      </x:c>
      <x:c r="G207" s="20" t="n">
        <x:v>46022</x:v>
      </x:c>
      <x:c r="H207" s="20" t="n">
        <x:v>46024</x:v>
      </x:c>
      <x:c r="I207" t="n">
        <x:v>25.62</x:v>
      </x:c>
      <x:c r="J207" t="str">
        <x:v>需求預測</x:v>
      </x:c>
      <x:c r="K207"/>
      <x:c r="L207" t="str">
        <x:v>已收貨</x:v>
      </x:c>
    </x:row>
    <x:row r="208" ht="20" customHeight="1">
      <x:c r="A208" t="str">
        <x:v>PO000207</x:v>
      </x:c>
      <x:c r="B208" t="str">
        <x:v>RAW-MECH-STG-B</x:v>
      </x:c>
      <x:c r="C208" t="str">
        <x:v>SUP04</x:v>
      </x:c>
      <x:c r="D208" s="20" t="n">
        <x:v>46003</x:v>
      </x:c>
      <x:c r="E208" t="n">
        <x:v>24.48</x:v>
      </x:c>
      <x:c r="F208" t="n">
        <x:v>40467.36</x:v>
      </x:c>
      <x:c r="G208" s="20" t="n">
        <x:v>46033</x:v>
      </x:c>
      <x:c r="H208" s="20" t="n">
        <x:v>46035</x:v>
      </x:c>
      <x:c r="I208" t="n">
        <x:v>24.1</x:v>
      </x:c>
      <x:c r="J208" t="str">
        <x:v>需求預測</x:v>
      </x:c>
      <x:c r="K208"/>
      <x:c r="L208" t="str">
        <x:v>已收貨</x:v>
      </x:c>
    </x:row>
    <x:row r="209" ht="20" customHeight="1">
      <x:c r="A209" t="str">
        <x:v>PO000208</x:v>
      </x:c>
      <x:c r="B209" t="str">
        <x:v>RAW-MECH-STG-B</x:v>
      </x:c>
      <x:c r="C209" t="str">
        <x:v>SUP04</x:v>
      </x:c>
      <x:c r="D209" s="20" t="n">
        <x:v>46017</x:v>
      </x:c>
      <x:c r="E209" t="n">
        <x:v>27.38</x:v>
      </x:c>
      <x:c r="F209" t="n">
        <x:v>39626.93</x:v>
      </x:c>
      <x:c r="G209" s="20" t="n">
        <x:v>46047</x:v>
      </x:c>
      <x:c r="H209" s="20" t="n">
        <x:v>46047</x:v>
      </x:c>
      <x:c r="I209" t="n">
        <x:v>26.98</x:v>
      </x:c>
      <x:c r="J209" t="str">
        <x:v>生產需求</x:v>
      </x:c>
      <x:c r="K209"/>
      <x:c r="L209" t="str">
        <x:v>已收貨</x:v>
      </x:c>
    </x:row>
    <x:row r="210" ht="20" customHeight="1">
      <x:c r="A210" t="str">
        <x:v>PO000209</x:v>
      </x:c>
      <x:c r="B210" t="str">
        <x:v>RAW-MECH-STG-B</x:v>
      </x:c>
      <x:c r="C210" t="str">
        <x:v>SUP04</x:v>
      </x:c>
      <x:c r="D210" s="20" t="n">
        <x:v>45525</x:v>
      </x:c>
      <x:c r="E210" t="n">
        <x:v>22.78</x:v>
      </x:c>
      <x:c r="F210" t="n">
        <x:v>41650.22</x:v>
      </x:c>
      <x:c r="G210" s="20" t="n">
        <x:v>45555</x:v>
      </x:c>
      <x:c r="H210" s="20" t="n">
        <x:v>45553</x:v>
      </x:c>
      <x:c r="I210" t="n">
        <x:v>22.76</x:v>
      </x:c>
      <x:c r="J210" t="str">
        <x:v>補庫</x:v>
      </x:c>
      <x:c r="K210"/>
      <x:c r="L210" t="str">
        <x:v>已收貨</x:v>
      </x:c>
    </x:row>
    <x:row r="211" ht="20" customHeight="1">
      <x:c r="A211" t="str">
        <x:v>PO000210</x:v>
      </x:c>
      <x:c r="B211" t="str">
        <x:v>RAW-MECH-STG-B</x:v>
      </x:c>
      <x:c r="C211" t="str">
        <x:v>SUP04</x:v>
      </x:c>
      <x:c r="D211" s="20" t="n">
        <x:v>45429</x:v>
      </x:c>
      <x:c r="E211" t="n">
        <x:v>25.75</x:v>
      </x:c>
      <x:c r="F211" t="n">
        <x:v>37755.18</x:v>
      </x:c>
      <x:c r="G211" s="20" t="n">
        <x:v>45459</x:v>
      </x:c>
      <x:c r="H211" s="20" t="n">
        <x:v>45459</x:v>
      </x:c>
      <x:c r="I211" t="n">
        <x:v>25.51</x:v>
      </x:c>
      <x:c r="J211" t="str">
        <x:v>補庫</x:v>
      </x:c>
      <x:c r="K211"/>
      <x:c r="L211" t="str">
        <x:v>已收貨</x:v>
      </x:c>
    </x:row>
    <x:row r="212" ht="20" customHeight="1">
      <x:c r="A212" t="str">
        <x:v>PO000211</x:v>
      </x:c>
      <x:c r="B212" t="str">
        <x:v>RAW-MECH-STG-B</x:v>
      </x:c>
      <x:c r="C212" t="str">
        <x:v>SUP04</x:v>
      </x:c>
      <x:c r="D212" s="20" t="n">
        <x:v>45755</x:v>
      </x:c>
      <x:c r="E212" t="n">
        <x:v>27.01</x:v>
      </x:c>
      <x:c r="F212" t="n">
        <x:v>40553.84</x:v>
      </x:c>
      <x:c r="G212" s="20" t="n">
        <x:v>45785</x:v>
      </x:c>
      <x:c r="H212" s="20" t="n">
        <x:v>45783</x:v>
      </x:c>
      <x:c r="I212" t="n">
        <x:v>26.85</x:v>
      </x:c>
      <x:c r="J212" t="str">
        <x:v>需求預測</x:v>
      </x:c>
      <x:c r="K212"/>
      <x:c r="L212" t="str">
        <x:v>已收貨</x:v>
      </x:c>
    </x:row>
    <x:row r="213" ht="20" customHeight="1">
      <x:c r="A213" t="str">
        <x:v>PO000212</x:v>
      </x:c>
      <x:c r="B213" t="str">
        <x:v>RAW-MECH-STG-B</x:v>
      </x:c>
      <x:c r="C213" t="str">
        <x:v>SUP04</x:v>
      </x:c>
      <x:c r="D213" s="20" t="n">
        <x:v>46102</x:v>
      </x:c>
      <x:c r="E213" t="n">
        <x:v>21.31</x:v>
      </x:c>
      <x:c r="F213" t="n">
        <x:v>40997.02</x:v>
      </x:c>
      <x:c r="G213" s="20" t="n">
        <x:v>46132</x:v>
      </x:c>
      <x:c r="H213" s="20" t="n">
        <x:v>46133</x:v>
      </x:c>
      <x:c r="I213" t="n">
        <x:v>21.04</x:v>
      </x:c>
      <x:c r="J213" t="str">
        <x:v>需求預測</x:v>
      </x:c>
      <x:c r="K213"/>
      <x:c r="L213" t="str">
        <x:v>已收貨</x:v>
      </x:c>
    </x:row>
    <x:row r="214" ht="20" customHeight="1">
      <x:c r="A214" t="str">
        <x:v>PO000213</x:v>
      </x:c>
      <x:c r="B214" t="str">
        <x:v>RAW-MECH-CON-A</x:v>
      </x:c>
      <x:c r="C214" t="str">
        <x:v>SUP03</x:v>
      </x:c>
      <x:c r="D214" s="20" t="n">
        <x:v>45296</x:v>
      </x:c>
      <x:c r="E214" t="n">
        <x:v>97.14</x:v>
      </x:c>
      <x:c r="F214" t="n">
        <x:v>83.01</x:v>
      </x:c>
      <x:c r="G214" s="20" t="n">
        <x:v>45321</x:v>
      </x:c>
      <x:c r="H214" s="20" t="n">
        <x:v>45321</x:v>
      </x:c>
      <x:c r="I214" t="n">
        <x:v>95.29</x:v>
      </x:c>
      <x:c r="J214" t="str">
        <x:v>補庫</x:v>
      </x:c>
      <x:c r="K214"/>
      <x:c r="L214" t="str">
        <x:v>已收貨</x:v>
      </x:c>
    </x:row>
    <x:row r="215" ht="20" customHeight="1">
      <x:c r="A215" t="str">
        <x:v>PO000214</x:v>
      </x:c>
      <x:c r="B215" t="str">
        <x:v>RAW-MECH-CON-A</x:v>
      </x:c>
      <x:c r="C215" t="str">
        <x:v>SUP03</x:v>
      </x:c>
      <x:c r="D215" s="20" t="n">
        <x:v>46110</x:v>
      </x:c>
      <x:c r="E215" t="n">
        <x:v>77.67</x:v>
      </x:c>
      <x:c r="F215" t="n">
        <x:v>77.43</x:v>
      </x:c>
      <x:c r="G215" s="20" t="n">
        <x:v>46135</x:v>
      </x:c>
      <x:c r="H215" s="20" t="n">
        <x:v>46139</x:v>
      </x:c>
      <x:c r="I215" t="n">
        <x:v>76.3</x:v>
      </x:c>
      <x:c r="J215" t="str">
        <x:v>補庫</x:v>
      </x:c>
      <x:c r="K215"/>
      <x:c r="L215" t="str">
        <x:v>已收貨</x:v>
      </x:c>
    </x:row>
    <x:row r="216" ht="20" customHeight="1">
      <x:c r="A216" t="str">
        <x:v>PO000215</x:v>
      </x:c>
      <x:c r="B216" t="str">
        <x:v>RAW-MECH-CON-A</x:v>
      </x:c>
      <x:c r="C216" t="str">
        <x:v>SUP03</x:v>
      </x:c>
      <x:c r="D216" s="20" t="n">
        <x:v>46025</x:v>
      </x:c>
      <x:c r="E216" t="n">
        <x:v>106.75</x:v>
      </x:c>
      <x:c r="F216" t="n">
        <x:v>80.47</x:v>
      </x:c>
      <x:c r="G216" s="20" t="n">
        <x:v>46050</x:v>
      </x:c>
      <x:c r="H216" s="20" t="n">
        <x:v>46050</x:v>
      </x:c>
      <x:c r="I216" t="n">
        <x:v>105.7</x:v>
      </x:c>
      <x:c r="J216" t="str">
        <x:v>生產需求</x:v>
      </x:c>
      <x:c r="K216"/>
      <x:c r="L216" t="str">
        <x:v>已收貨</x:v>
      </x:c>
    </x:row>
    <x:row r="217" ht="20" customHeight="1">
      <x:c r="A217" t="str">
        <x:v>PO000216</x:v>
      </x:c>
      <x:c r="B217" t="str">
        <x:v>RAW-MECH-CON-A</x:v>
      </x:c>
      <x:c r="C217" t="str">
        <x:v>SUP03</x:v>
      </x:c>
      <x:c r="D217" s="20" t="n">
        <x:v>46034</x:v>
      </x:c>
      <x:c r="E217" t="n">
        <x:v>109.31</x:v>
      </x:c>
      <x:c r="F217" t="n">
        <x:v>79.63</x:v>
      </x:c>
      <x:c r="G217" s="20" t="n">
        <x:v>46059</x:v>
      </x:c>
      <x:c r="H217" s="20" t="n">
        <x:v>46057</x:v>
      </x:c>
      <x:c r="I217" t="n">
        <x:v>107.45</x:v>
      </x:c>
      <x:c r="J217" t="str">
        <x:v>生產需求</x:v>
      </x:c>
      <x:c r="K217"/>
      <x:c r="L217" t="str">
        <x:v>已收貨</x:v>
      </x:c>
    </x:row>
    <x:row r="218" ht="20" customHeight="1">
      <x:c r="A218" t="str">
        <x:v>PO000217</x:v>
      </x:c>
      <x:c r="B218" t="str">
        <x:v>RAW-MECH-CON-B</x:v>
      </x:c>
      <x:c r="C218" t="str">
        <x:v>SUP11</x:v>
      </x:c>
      <x:c r="D218" s="20" t="n">
        <x:v>46003</x:v>
      </x:c>
      <x:c r="E218" t="n">
        <x:v>17.13</x:v>
      </x:c>
      <x:c r="F218" t="n">
        <x:v>16856.3</x:v>
      </x:c>
      <x:c r="G218" s="20" t="n">
        <x:v>46033</x:v>
      </x:c>
      <x:c r="H218" s="20" t="n">
        <x:v>46037</x:v>
      </x:c>
      <x:c r="I218" t="n">
        <x:v>17.02</x:v>
      </x:c>
      <x:c r="J218" t="str">
        <x:v>生產需求</x:v>
      </x:c>
      <x:c r="K218"/>
      <x:c r="L218" t="str">
        <x:v>已收貨</x:v>
      </x:c>
    </x:row>
    <x:row r="219" ht="20" customHeight="1">
      <x:c r="A219" t="str">
        <x:v>PO000218</x:v>
      </x:c>
      <x:c r="B219" t="str">
        <x:v>RAW-MECH-CON-B</x:v>
      </x:c>
      <x:c r="C219" t="str">
        <x:v>SUP11</x:v>
      </x:c>
      <x:c r="D219" s="20" t="n">
        <x:v>46048</x:v>
      </x:c>
      <x:c r="E219" t="n">
        <x:v>21.11</x:v>
      </x:c>
      <x:c r="F219" t="n">
        <x:v>18090.02</x:v>
      </x:c>
      <x:c r="G219" s="20" t="n">
        <x:v>46078</x:v>
      </x:c>
      <x:c r="H219" s="20" t="n">
        <x:v>46078</x:v>
      </x:c>
      <x:c r="I219" t="n">
        <x:v>20.81</x:v>
      </x:c>
      <x:c r="J219" t="str">
        <x:v>需求預測</x:v>
      </x:c>
      <x:c r="K219"/>
      <x:c r="L219" t="str">
        <x:v>已收貨</x:v>
      </x:c>
    </x:row>
    <x:row r="220" ht="20" customHeight="1">
      <x:c r="A220" t="str">
        <x:v>PO000219</x:v>
      </x:c>
      <x:c r="B220" t="str">
        <x:v>RAW-MECH-CON-B</x:v>
      </x:c>
      <x:c r="C220" t="str">
        <x:v>SUP11</x:v>
      </x:c>
      <x:c r="D220" s="20" t="n">
        <x:v>45497</x:v>
      </x:c>
      <x:c r="E220" t="n">
        <x:v>17.02</x:v>
      </x:c>
      <x:c r="F220" t="n">
        <x:v>17569.9</x:v>
      </x:c>
      <x:c r="G220" s="20" t="n">
        <x:v>45527</x:v>
      </x:c>
      <x:c r="H220" s="20" t="n">
        <x:v>45531</x:v>
      </x:c>
      <x:c r="I220" t="n">
        <x:v>16.8</x:v>
      </x:c>
      <x:c r="J220" t="str">
        <x:v>需求預測</x:v>
      </x:c>
      <x:c r="K220"/>
      <x:c r="L220" t="str">
        <x:v>已收貨</x:v>
      </x:c>
    </x:row>
    <x:row r="221" ht="20" customHeight="1">
      <x:c r="A221" t="str">
        <x:v>PO000220</x:v>
      </x:c>
      <x:c r="B221" t="str">
        <x:v>RAW-MECH-CON-B</x:v>
      </x:c>
      <x:c r="C221" t="str">
        <x:v>SUP11</x:v>
      </x:c>
      <x:c r="D221" s="20" t="n">
        <x:v>45507</x:v>
      </x:c>
      <x:c r="E221" t="n">
        <x:v>22.67</x:v>
      </x:c>
      <x:c r="F221" t="n">
        <x:v>17388.42</x:v>
      </x:c>
      <x:c r="G221" s="20" t="n">
        <x:v>45537</x:v>
      </x:c>
      <x:c r="H221" s="20" t="n">
        <x:v>45536</x:v>
      </x:c>
      <x:c r="I221" t="n">
        <x:v>22.52</x:v>
      </x:c>
      <x:c r="J221" t="str">
        <x:v>生產需求</x:v>
      </x:c>
      <x:c r="K221"/>
      <x:c r="L221" t="str">
        <x:v>已收貨</x:v>
      </x:c>
    </x:row>
    <x:row r="222" ht="20" customHeight="1">
      <x:c r="A222" t="str">
        <x:v>PO000221</x:v>
      </x:c>
      <x:c r="B222" t="str">
        <x:v>RAW-MECH-CON-B</x:v>
      </x:c>
      <x:c r="C222" t="str">
        <x:v>SUP11</x:v>
      </x:c>
      <x:c r="D222" s="20" t="n">
        <x:v>45200</x:v>
      </x:c>
      <x:c r="E222" t="n">
        <x:v>26.97</x:v>
      </x:c>
      <x:c r="F222" t="n">
        <x:v>17038.03</x:v>
      </x:c>
      <x:c r="G222" s="20" t="n">
        <x:v>45230</x:v>
      </x:c>
      <x:c r="H222" s="20" t="n">
        <x:v>45231</x:v>
      </x:c>
      <x:c r="I222" t="n">
        <x:v>26.93</x:v>
      </x:c>
      <x:c r="J222" t="str">
        <x:v>補庫</x:v>
      </x:c>
      <x:c r="K222"/>
      <x:c r="L222" t="str">
        <x:v>已收貨</x:v>
      </x:c>
    </x:row>
    <x:row r="223" ht="20" customHeight="1">
      <x:c r="A223" t="str">
        <x:v>PO000222</x:v>
      </x:c>
      <x:c r="B223" t="str">
        <x:v>RAW-MECH-CON-B</x:v>
      </x:c>
      <x:c r="C223" t="str">
        <x:v>SUP11</x:v>
      </x:c>
      <x:c r="D223" s="20" t="n">
        <x:v>45216</x:v>
      </x:c>
      <x:c r="E223" t="n">
        <x:v>27.78</x:v>
      </x:c>
      <x:c r="F223" t="n">
        <x:v>17331.14</x:v>
      </x:c>
      <x:c r="G223" s="20" t="n">
        <x:v>45246</x:v>
      </x:c>
      <x:c r="H223" s="20" t="n">
        <x:v>45244</x:v>
      </x:c>
      <x:c r="I223" t="n">
        <x:v>27.28</x:v>
      </x:c>
      <x:c r="J223" t="str">
        <x:v>需求預測</x:v>
      </x:c>
      <x:c r="K223"/>
      <x:c r="L223" t="str">
        <x:v>已收貨</x:v>
      </x:c>
    </x:row>
    <x:row r="224" ht="20" customHeight="1">
      <x:c r="A224" t="str">
        <x:v>PO000223</x:v>
      </x:c>
      <x:c r="B224" t="str">
        <x:v>RAW-MECH-CON-B</x:v>
      </x:c>
      <x:c r="C224" t="str">
        <x:v>SUP11</x:v>
      </x:c>
      <x:c r="D224" s="20" t="n">
        <x:v>45360</x:v>
      </x:c>
      <x:c r="E224" t="n">
        <x:v>17.77</x:v>
      </x:c>
      <x:c r="F224" t="n">
        <x:v>18126.97</x:v>
      </x:c>
      <x:c r="G224" s="20" t="n">
        <x:v>45390</x:v>
      </x:c>
      <x:c r="H224" s="20" t="n">
        <x:v>45388</x:v>
      </x:c>
      <x:c r="I224" t="n">
        <x:v>17.46</x:v>
      </x:c>
      <x:c r="J224" t="str">
        <x:v>補庫</x:v>
      </x:c>
      <x:c r="K224"/>
      <x:c r="L224" t="str">
        <x:v>已收貨</x:v>
      </x:c>
    </x:row>
    <x:row r="225" ht="20" customHeight="1">
      <x:c r="A225" t="str">
        <x:v>PO000224</x:v>
      </x:c>
      <x:c r="B225" t="str">
        <x:v>RAW-MECH-CON-B</x:v>
      </x:c>
      <x:c r="C225" t="str">
        <x:v>SUP11</x:v>
      </x:c>
      <x:c r="D225" s="20" t="n">
        <x:v>45381</x:v>
      </x:c>
      <x:c r="E225" t="n">
        <x:v>17.43</x:v>
      </x:c>
      <x:c r="F225" t="n">
        <x:v>17734.66</x:v>
      </x:c>
      <x:c r="G225" s="20" t="n">
        <x:v>45411</x:v>
      </x:c>
      <x:c r="H225" s="20" t="n">
        <x:v>45411</x:v>
      </x:c>
      <x:c r="I225" t="n">
        <x:v>17.21</x:v>
      </x:c>
      <x:c r="J225" t="str">
        <x:v>補庫</x:v>
      </x:c>
      <x:c r="K225"/>
      <x:c r="L225" t="str">
        <x:v>已收貨</x:v>
      </x:c>
    </x:row>
    <x:row r="226" ht="20" customHeight="1">
      <x:c r="A226" t="str">
        <x:v>PO000225</x:v>
      </x:c>
      <x:c r="B226" t="str">
        <x:v>RAW-SEMI-CHB-A</x:v>
      </x:c>
      <x:c r="C226" t="str">
        <x:v>SUP10</x:v>
      </x:c>
      <x:c r="D226" s="20" t="n">
        <x:v>45608</x:v>
      </x:c>
      <x:c r="E226" t="n">
        <x:v>64.37</x:v>
      </x:c>
      <x:c r="F226" t="n">
        <x:v>39700.11</x:v>
      </x:c>
      <x:c r="G226" s="20" t="n">
        <x:v>45626</x:v>
      </x:c>
      <x:c r="H226" s="20" t="n">
        <x:v>45630</x:v>
      </x:c>
      <x:c r="I226" t="n">
        <x:v>63.59</x:v>
      </x:c>
      <x:c r="J226" t="str">
        <x:v>生產需求</x:v>
      </x:c>
      <x:c r="K226"/>
      <x:c r="L226" t="str">
        <x:v>已收貨</x:v>
      </x:c>
    </x:row>
    <x:row r="227" ht="20" customHeight="1">
      <x:c r="A227" t="str">
        <x:v>PO000226</x:v>
      </x:c>
      <x:c r="B227" t="str">
        <x:v>RAW-SEMI-CHB-A</x:v>
      </x:c>
      <x:c r="C227" t="str">
        <x:v>SUP10</x:v>
      </x:c>
      <x:c r="D227" s="20" t="n">
        <x:v>45460</x:v>
      </x:c>
      <x:c r="E227" t="n">
        <x:v>91.9</x:v>
      </x:c>
      <x:c r="F227" t="n">
        <x:v>37114.32</x:v>
      </x:c>
      <x:c r="G227" s="20" t="n">
        <x:v>45478</x:v>
      </x:c>
      <x:c r="H227" s="20" t="n">
        <x:v>45477</x:v>
      </x:c>
      <x:c r="I227" t="n">
        <x:v>91.29</x:v>
      </x:c>
      <x:c r="J227" t="str">
        <x:v>補庫</x:v>
      </x:c>
      <x:c r="K227"/>
      <x:c r="L227" t="str">
        <x:v>已收貨</x:v>
      </x:c>
    </x:row>
    <x:row r="228" ht="20" customHeight="1">
      <x:c r="A228" t="str">
        <x:v>PO000227</x:v>
      </x:c>
      <x:c r="B228" t="str">
        <x:v>RAW-SEMI-CHB-A</x:v>
      </x:c>
      <x:c r="C228" t="str">
        <x:v>SUP10</x:v>
      </x:c>
      <x:c r="D228" s="20" t="n">
        <x:v>45949</x:v>
      </x:c>
      <x:c r="E228" t="n">
        <x:v>75.54</x:v>
      </x:c>
      <x:c r="F228" t="n">
        <x:v>40575.92</x:v>
      </x:c>
      <x:c r="G228" s="20" t="n">
        <x:v>45967</x:v>
      </x:c>
      <x:c r="H228" s="20" t="n">
        <x:v>45969</x:v>
      </x:c>
      <x:c r="I228" t="n">
        <x:v>75.49</x:v>
      </x:c>
      <x:c r="J228" t="str">
        <x:v>生產需求</x:v>
      </x:c>
      <x:c r="K228"/>
      <x:c r="L228" t="str">
        <x:v>已收貨</x:v>
      </x:c>
    </x:row>
    <x:row r="229" ht="20" customHeight="1">
      <x:c r="A229" t="str">
        <x:v>PO000228</x:v>
      </x:c>
      <x:c r="B229" t="str">
        <x:v>RAW-SEMI-CHB-A</x:v>
      </x:c>
      <x:c r="C229" t="str">
        <x:v>SUP10</x:v>
      </x:c>
      <x:c r="D229" s="20" t="n">
        <x:v>45271</x:v>
      </x:c>
      <x:c r="E229" t="n">
        <x:v>76.64</x:v>
      </x:c>
      <x:c r="F229" t="n">
        <x:v>38272.9</x:v>
      </x:c>
      <x:c r="G229" s="20" t="n">
        <x:v>45289</x:v>
      </x:c>
      <x:c r="H229" s="20" t="n">
        <x:v>45288</x:v>
      </x:c>
      <x:c r="I229" t="n">
        <x:v>75.22</x:v>
      </x:c>
      <x:c r="J229" t="str">
        <x:v>補庫</x:v>
      </x:c>
      <x:c r="K229"/>
      <x:c r="L229" t="str">
        <x:v>已收貨</x:v>
      </x:c>
    </x:row>
    <x:row r="230" ht="20" customHeight="1">
      <x:c r="A230" t="str">
        <x:v>PO000229</x:v>
      </x:c>
      <x:c r="B230" t="str">
        <x:v>RAW-SEMI-CHB-A</x:v>
      </x:c>
      <x:c r="C230" t="str">
        <x:v>SUP10</x:v>
      </x:c>
      <x:c r="D230" s="20" t="n">
        <x:v>45699</x:v>
      </x:c>
      <x:c r="E230" t="n">
        <x:v>89.5</x:v>
      </x:c>
      <x:c r="F230" t="n">
        <x:v>39698.53</x:v>
      </x:c>
      <x:c r="G230" s="20" t="n">
        <x:v>45717</x:v>
      </x:c>
      <x:c r="H230" s="20" t="n">
        <x:v>45721</x:v>
      </x:c>
      <x:c r="I230" t="n">
        <x:v>88.09</x:v>
      </x:c>
      <x:c r="J230" t="str">
        <x:v>補庫</x:v>
      </x:c>
      <x:c r="K230"/>
      <x:c r="L230" t="str">
        <x:v>已收貨</x:v>
      </x:c>
    </x:row>
    <x:row r="231" ht="20" customHeight="1">
      <x:c r="A231" t="str">
        <x:v>PO000230</x:v>
      </x:c>
      <x:c r="B231" t="str">
        <x:v>RAW-SEMI-CHB-A</x:v>
      </x:c>
      <x:c r="C231" t="str">
        <x:v>SUP10</x:v>
      </x:c>
      <x:c r="D231" s="20" t="n">
        <x:v>45830</x:v>
      </x:c>
      <x:c r="E231" t="n">
        <x:v>76.1</x:v>
      </x:c>
      <x:c r="F231" t="n">
        <x:v>37808.04</x:v>
      </x:c>
      <x:c r="G231" s="20" t="n">
        <x:v>45848</x:v>
      </x:c>
      <x:c r="H231" s="20" t="n">
        <x:v>45852</x:v>
      </x:c>
      <x:c r="I231" t="n">
        <x:v>75.94</x:v>
      </x:c>
      <x:c r="J231" t="str">
        <x:v>需求預測</x:v>
      </x:c>
      <x:c r="K231"/>
      <x:c r="L231" t="str">
        <x:v>已收貨</x:v>
      </x:c>
    </x:row>
    <x:row r="232" ht="20" customHeight="1">
      <x:c r="A232" t="str">
        <x:v>PO000231</x:v>
      </x:c>
      <x:c r="B232" t="str">
        <x:v>RAW-SEMI-CHB-A</x:v>
      </x:c>
      <x:c r="C232" t="str">
        <x:v>SUP10</x:v>
      </x:c>
      <x:c r="D232" s="20" t="n">
        <x:v>45302</x:v>
      </x:c>
      <x:c r="E232" t="n">
        <x:v>93.15</x:v>
      </x:c>
      <x:c r="F232" t="n">
        <x:v>38923.32</x:v>
      </x:c>
      <x:c r="G232" s="20" t="n">
        <x:v>45320</x:v>
      </x:c>
      <x:c r="H232" s="20" t="n">
        <x:v>45320</x:v>
      </x:c>
      <x:c r="I232" t="n">
        <x:v>91.51</x:v>
      </x:c>
      <x:c r="J232" t="str">
        <x:v>需求預測</x:v>
      </x:c>
      <x:c r="K232"/>
      <x:c r="L232" t="str">
        <x:v>已收貨</x:v>
      </x:c>
    </x:row>
    <x:row r="233" ht="20" customHeight="1">
      <x:c r="A233" t="str">
        <x:v>PO000232</x:v>
      </x:c>
      <x:c r="B233" t="str">
        <x:v>RAW-SEMI-CHB-B</x:v>
      </x:c>
      <x:c r="C233" t="str">
        <x:v>SUP04</x:v>
      </x:c>
      <x:c r="D233" s="20" t="n">
        <x:v>45525</x:v>
      </x:c>
      <x:c r="E233" t="n">
        <x:v>79.15</x:v>
      </x:c>
      <x:c r="F233" t="n">
        <x:v>63094.27</x:v>
      </x:c>
      <x:c r="G233" s="20" t="n">
        <x:v>45543</x:v>
      </x:c>
      <x:c r="H233" s="20" t="n">
        <x:v>45543</x:v>
      </x:c>
      <x:c r="I233" t="n">
        <x:v>78.7</x:v>
      </x:c>
      <x:c r="J233" t="str">
        <x:v>需求預測</x:v>
      </x:c>
      <x:c r="K233"/>
      <x:c r="L233" t="str">
        <x:v>已收貨</x:v>
      </x:c>
    </x:row>
    <x:row r="234" ht="20" customHeight="1">
      <x:c r="A234" t="str">
        <x:v>PO000233</x:v>
      </x:c>
      <x:c r="B234" t="str">
        <x:v>RAW-SEMI-CHB-B</x:v>
      </x:c>
      <x:c r="C234" t="str">
        <x:v>SUP04</x:v>
      </x:c>
      <x:c r="D234" s="20" t="n">
        <x:v>45739</x:v>
      </x:c>
      <x:c r="E234" t="n">
        <x:v>80.58</x:v>
      </x:c>
      <x:c r="F234" t="n">
        <x:v>67289.01</x:v>
      </x:c>
      <x:c r="G234" s="20" t="n">
        <x:v>45757</x:v>
      </x:c>
      <x:c r="H234" s="20" t="n">
        <x:v>45757</x:v>
      </x:c>
      <x:c r="I234" t="n">
        <x:v>79.06</x:v>
      </x:c>
      <x:c r="J234" t="str">
        <x:v>補庫</x:v>
      </x:c>
      <x:c r="K234"/>
      <x:c r="L234" t="str">
        <x:v>已收貨</x:v>
      </x:c>
    </x:row>
    <x:row r="235" ht="20" customHeight="1">
      <x:c r="A235" t="str">
        <x:v>PO000234</x:v>
      </x:c>
      <x:c r="B235" t="str">
        <x:v>RAW-SEMI-CHB-B</x:v>
      </x:c>
      <x:c r="C235" t="str">
        <x:v>SUP04</x:v>
      </x:c>
      <x:c r="D235" s="20" t="n">
        <x:v>45638</x:v>
      </x:c>
      <x:c r="E235" t="n">
        <x:v>94.61</x:v>
      </x:c>
      <x:c r="F235" t="n">
        <x:v>66746.06</x:v>
      </x:c>
      <x:c r="G235" s="20" t="n">
        <x:v>45656</x:v>
      </x:c>
      <x:c r="H235" s="20" t="n">
        <x:v>45655</x:v>
      </x:c>
      <x:c r="I235" t="n">
        <x:v>93.77</x:v>
      </x:c>
      <x:c r="J235" t="str">
        <x:v>生產需求</x:v>
      </x:c>
      <x:c r="K235"/>
      <x:c r="L235" t="str">
        <x:v>已收貨</x:v>
      </x:c>
    </x:row>
    <x:row r="236" ht="20" customHeight="1">
      <x:c r="A236" t="str">
        <x:v>PO000235</x:v>
      </x:c>
      <x:c r="B236" t="str">
        <x:v>RAW-SEMI-CHB-B</x:v>
      </x:c>
      <x:c r="C236" t="str">
        <x:v>SUP04</x:v>
      </x:c>
      <x:c r="D236" s="20" t="n">
        <x:v>45342</x:v>
      </x:c>
      <x:c r="E236" t="n">
        <x:v>60.12</x:v>
      </x:c>
      <x:c r="F236" t="n">
        <x:v>63253.99</x:v>
      </x:c>
      <x:c r="G236" s="20" t="n">
        <x:v>45360</x:v>
      </x:c>
      <x:c r="H236" s="20" t="n">
        <x:v>45358</x:v>
      </x:c>
      <x:c r="I236" t="n">
        <x:v>59.76</x:v>
      </x:c>
      <x:c r="J236" t="str">
        <x:v>生產需求</x:v>
      </x:c>
      <x:c r="K236"/>
      <x:c r="L236" t="str">
        <x:v>已收貨</x:v>
      </x:c>
    </x:row>
    <x:row r="237" ht="20" customHeight="1">
      <x:c r="A237" t="str">
        <x:v>PO000236</x:v>
      </x:c>
      <x:c r="B237" t="str">
        <x:v>RAW-SEMI-CHB-B</x:v>
      </x:c>
      <x:c r="C237" t="str">
        <x:v>SUP04</x:v>
      </x:c>
      <x:c r="D237" s="20" t="n">
        <x:v>45841</x:v>
      </x:c>
      <x:c r="E237" t="n">
        <x:v>61.49</x:v>
      </x:c>
      <x:c r="F237" t="n">
        <x:v>66450.07</x:v>
      </x:c>
      <x:c r="G237" s="20" t="n">
        <x:v>45859</x:v>
      </x:c>
      <x:c r="H237" s="20" t="n">
        <x:v>45858</x:v>
      </x:c>
      <x:c r="I237" t="n">
        <x:v>61.09</x:v>
      </x:c>
      <x:c r="J237" t="str">
        <x:v>生產需求</x:v>
      </x:c>
      <x:c r="K237"/>
      <x:c r="L237" t="str">
        <x:v>已收貨</x:v>
      </x:c>
    </x:row>
    <x:row r="238" ht="20" customHeight="1">
      <x:c r="A238" t="str">
        <x:v>PO000237</x:v>
      </x:c>
      <x:c r="B238" t="str">
        <x:v>RAW-SEMI-CHB-B</x:v>
      </x:c>
      <x:c r="C238" t="str">
        <x:v>SUP04</x:v>
      </x:c>
      <x:c r="D238" s="20" t="n">
        <x:v>46229</x:v>
      </x:c>
      <x:c r="E238" t="n">
        <x:v>76.13</x:v>
      </x:c>
      <x:c r="F238" t="n">
        <x:v>65228.99</x:v>
      </x:c>
      <x:c r="G238" s="20" t="n">
        <x:v>46247</x:v>
      </x:c>
      <x:c r="H238" s="20" t="n">
        <x:v>46248</x:v>
      </x:c>
      <x:c r="I238" t="n">
        <x:v>74.99</x:v>
      </x:c>
      <x:c r="J238" t="str">
        <x:v>補庫</x:v>
      </x:c>
      <x:c r="K238"/>
      <x:c r="L238" t="str">
        <x:v>已收貨</x:v>
      </x:c>
    </x:row>
    <x:row r="239" ht="20" customHeight="1">
      <x:c r="A239" t="str">
        <x:v>PO000238</x:v>
      </x:c>
      <x:c r="B239" t="str">
        <x:v>RAW-SEMI-WH-A</x:v>
      </x:c>
      <x:c r="C239" t="str">
        <x:v>SUP12</x:v>
      </x:c>
      <x:c r="D239" s="20" t="n">
        <x:v>45855</x:v>
      </x:c>
      <x:c r="E239" t="n">
        <x:v>111.25</x:v>
      </x:c>
      <x:c r="F239" t="n">
        <x:v>51516.59</x:v>
      </x:c>
      <x:c r="G239" s="20" t="n">
        <x:v>45876</x:v>
      </x:c>
      <x:c r="H239" s="20" t="n">
        <x:v>45875</x:v>
      </x:c>
      <x:c r="I239" t="n">
        <x:v>110.72</x:v>
      </x:c>
      <x:c r="J239" t="str">
        <x:v>生產需求</x:v>
      </x:c>
      <x:c r="K239"/>
      <x:c r="L239" t="str">
        <x:v>已收貨</x:v>
      </x:c>
    </x:row>
    <x:row r="240" ht="20" customHeight="1">
      <x:c r="A240" t="str">
        <x:v>PO000239</x:v>
      </x:c>
      <x:c r="B240" t="str">
        <x:v>RAW-SEMI-WH-A</x:v>
      </x:c>
      <x:c r="C240" t="str">
        <x:v>SUP12</x:v>
      </x:c>
      <x:c r="D240" s="20" t="n">
        <x:v>45389</x:v>
      </x:c>
      <x:c r="E240" t="n">
        <x:v>89.73</x:v>
      </x:c>
      <x:c r="F240" t="n">
        <x:v>47542.59</x:v>
      </x:c>
      <x:c r="G240" s="20" t="n">
        <x:v>45410</x:v>
      </x:c>
      <x:c r="H240" s="20" t="n">
        <x:v>45408</x:v>
      </x:c>
      <x:c r="I240" t="n">
        <x:v>89.38</x:v>
      </x:c>
      <x:c r="J240" t="str">
        <x:v>需求預測</x:v>
      </x:c>
      <x:c r="K240"/>
      <x:c r="L240" t="str">
        <x:v>已收貨</x:v>
      </x:c>
    </x:row>
    <x:row r="241" ht="20" customHeight="1">
      <x:c r="A241" t="str">
        <x:v>PO000240</x:v>
      </x:c>
      <x:c r="B241" t="str">
        <x:v>RAW-SEMI-WH-A</x:v>
      </x:c>
      <x:c r="C241" t="str">
        <x:v>SUP12</x:v>
      </x:c>
      <x:c r="D241" s="20" t="n">
        <x:v>45582</x:v>
      </x:c>
      <x:c r="E241" t="n">
        <x:v>111.42</x:v>
      </x:c>
      <x:c r="F241" t="n">
        <x:v>50223.3</x:v>
      </x:c>
      <x:c r="G241" s="20" t="n">
        <x:v>45603</x:v>
      </x:c>
      <x:c r="H241" s="20" t="n">
        <x:v>45603</x:v>
      </x:c>
      <x:c r="I241" t="n">
        <x:v>110.52</x:v>
      </x:c>
      <x:c r="J241" t="str">
        <x:v>需求預測</x:v>
      </x:c>
      <x:c r="K241"/>
      <x:c r="L241" t="str">
        <x:v>已收貨</x:v>
      </x:c>
    </x:row>
    <x:row r="242" ht="20" customHeight="1">
      <x:c r="A242" t="str">
        <x:v>PO000241</x:v>
      </x:c>
      <x:c r="B242" t="str">
        <x:v>RAW-SEMI-WH-A</x:v>
      </x:c>
      <x:c r="C242" t="str">
        <x:v>SUP12</x:v>
      </x:c>
      <x:c r="D242" s="20" t="n">
        <x:v>45431</x:v>
      </x:c>
      <x:c r="E242" t="n">
        <x:v>82.29</x:v>
      </x:c>
      <x:c r="F242" t="n">
        <x:v>48311.5</x:v>
      </x:c>
      <x:c r="G242" s="20" t="n">
        <x:v>45452</x:v>
      </x:c>
      <x:c r="H242" s="20" t="n">
        <x:v>45453</x:v>
      </x:c>
      <x:c r="I242" t="n">
        <x:v>81.06</x:v>
      </x:c>
      <x:c r="J242" t="str">
        <x:v>需求預測</x:v>
      </x:c>
      <x:c r="K242"/>
      <x:c r="L242" t="str">
        <x:v>已收貨</x:v>
      </x:c>
    </x:row>
    <x:row r="243" ht="20" customHeight="1">
      <x:c r="A243" t="str">
        <x:v>PO000242</x:v>
      </x:c>
      <x:c r="B243" t="str">
        <x:v>RAW-SEMI-WH-A</x:v>
      </x:c>
      <x:c r="C243" t="str">
        <x:v>SUP12</x:v>
      </x:c>
      <x:c r="D243" s="20" t="n">
        <x:v>45581</x:v>
      </x:c>
      <x:c r="E243" t="n">
        <x:v>69.75</x:v>
      </x:c>
      <x:c r="F243" t="n">
        <x:v>46408.41</x:v>
      </x:c>
      <x:c r="G243" s="20" t="n">
        <x:v>45602</x:v>
      </x:c>
      <x:c r="H243" s="20" t="n">
        <x:v>45602</x:v>
      </x:c>
      <x:c r="I243" t="n">
        <x:v>68.6</x:v>
      </x:c>
      <x:c r="J243" t="str">
        <x:v>生產需求</x:v>
      </x:c>
      <x:c r="K243"/>
      <x:c r="L243" t="str">
        <x:v>已收貨</x:v>
      </x:c>
    </x:row>
    <x:row r="244" ht="20" customHeight="1">
      <x:c r="A244" t="str">
        <x:v>PO000243</x:v>
      </x:c>
      <x:c r="B244" t="str">
        <x:v>RAW-SEMI-WH-A</x:v>
      </x:c>
      <x:c r="C244" t="str">
        <x:v>SUP12</x:v>
      </x:c>
      <x:c r="D244" s="20" t="n">
        <x:v>45696</x:v>
      </x:c>
      <x:c r="E244" t="n">
        <x:v>89.27</x:v>
      </x:c>
      <x:c r="F244" t="n">
        <x:v>50608.23</x:v>
      </x:c>
      <x:c r="G244" s="20" t="n">
        <x:v>45717</x:v>
      </x:c>
      <x:c r="H244" s="20" t="n">
        <x:v>45717</x:v>
      </x:c>
      <x:c r="I244" t="n">
        <x:v>88.49</x:v>
      </x:c>
      <x:c r="J244" t="str">
        <x:v>生產需求</x:v>
      </x:c>
      <x:c r="K244"/>
      <x:c r="L244" t="str">
        <x:v>已收貨</x:v>
      </x:c>
    </x:row>
    <x:row r="245" ht="20" customHeight="1">
      <x:c r="A245" t="str">
        <x:v>PO000244</x:v>
      </x:c>
      <x:c r="B245" t="str">
        <x:v>RAW-SEMI-WH-A</x:v>
      </x:c>
      <x:c r="C245" t="str">
        <x:v>SUP12</x:v>
      </x:c>
      <x:c r="D245" s="20" t="n">
        <x:v>45839</x:v>
      </x:c>
      <x:c r="E245" t="n">
        <x:v>98.9</x:v>
      </x:c>
      <x:c r="F245" t="n">
        <x:v>47659.85</x:v>
      </x:c>
      <x:c r="G245" s="20" t="n">
        <x:v>45860</x:v>
      </x:c>
      <x:c r="H245" s="20" t="n">
        <x:v>45860</x:v>
      </x:c>
      <x:c r="I245" t="n">
        <x:v>98.44</x:v>
      </x:c>
      <x:c r="J245" t="str">
        <x:v>補庫</x:v>
      </x:c>
      <x:c r="K245"/>
      <x:c r="L245" t="str">
        <x:v>已收貨</x:v>
      </x:c>
    </x:row>
    <x:row r="246" ht="20" customHeight="1">
      <x:c r="A246" t="str">
        <x:v>PO000245</x:v>
      </x:c>
      <x:c r="B246" t="str">
        <x:v>RAW-SEMI-WH-A</x:v>
      </x:c>
      <x:c r="C246" t="str">
        <x:v>SUP12</x:v>
      </x:c>
      <x:c r="D246" s="20" t="n">
        <x:v>45641</x:v>
      </x:c>
      <x:c r="E246" t="n">
        <x:v>100.3</x:v>
      </x:c>
      <x:c r="F246" t="n">
        <x:v>51312.5</x:v>
      </x:c>
      <x:c r="G246" s="20" t="n">
        <x:v>45662</x:v>
      </x:c>
      <x:c r="H246" s="20" t="n">
        <x:v>45662</x:v>
      </x:c>
      <x:c r="I246" t="n">
        <x:v>98.91</x:v>
      </x:c>
      <x:c r="J246" t="str">
        <x:v>生產需求</x:v>
      </x:c>
      <x:c r="K246"/>
      <x:c r="L246" t="str">
        <x:v>已收貨</x:v>
      </x:c>
    </x:row>
    <x:row r="247" ht="20" customHeight="1">
      <x:c r="A247" t="str">
        <x:v>PO000246</x:v>
      </x:c>
      <x:c r="B247" t="str">
        <x:v>RAW-SEMI-WH-B</x:v>
      </x:c>
      <x:c r="C247" t="str">
        <x:v>SUP02</x:v>
      </x:c>
      <x:c r="D247" s="20" t="n">
        <x:v>46185</x:v>
      </x:c>
      <x:c r="E247" t="n">
        <x:v>83.67</x:v>
      </x:c>
      <x:c r="F247" t="n">
        <x:v>76376.65</x:v>
      </x:c>
      <x:c r="G247" s="20" t="n">
        <x:v>46206</x:v>
      </x:c>
      <x:c r="H247" s="20" t="n">
        <x:v>46206</x:v>
      </x:c>
      <x:c r="I247" t="n">
        <x:v>83.42</x:v>
      </x:c>
      <x:c r="J247" t="str">
        <x:v>補庫</x:v>
      </x:c>
      <x:c r="K247"/>
      <x:c r="L247" t="str">
        <x:v>已收貨</x:v>
      </x:c>
    </x:row>
    <x:row r="248" ht="20" customHeight="1">
      <x:c r="A248" t="str">
        <x:v>PO000247</x:v>
      </x:c>
      <x:c r="B248" t="str">
        <x:v>RAW-SEMI-WH-B</x:v>
      </x:c>
      <x:c r="C248" t="str">
        <x:v>SUP02</x:v>
      </x:c>
      <x:c r="D248" s="20" t="n">
        <x:v>46225</x:v>
      </x:c>
      <x:c r="E248" t="n">
        <x:v>98.6</x:v>
      </x:c>
      <x:c r="F248" t="n">
        <x:v>73829.74</x:v>
      </x:c>
      <x:c r="G248" s="20" t="n">
        <x:v>46246</x:v>
      </x:c>
      <x:c r="H248" s="20" t="n">
        <x:v>46244</x:v>
      </x:c>
      <x:c r="I248" t="n">
        <x:v>96.68</x:v>
      </x:c>
      <x:c r="J248" t="str">
        <x:v>補庫</x:v>
      </x:c>
      <x:c r="K248"/>
      <x:c r="L248" t="str">
        <x:v>已收貨</x:v>
      </x:c>
    </x:row>
    <x:row r="249" ht="20" customHeight="1">
      <x:c r="A249" t="str">
        <x:v>PO000248</x:v>
      </x:c>
      <x:c r="B249" t="str">
        <x:v>RAW-SEMI-WH-B</x:v>
      </x:c>
      <x:c r="C249" t="str">
        <x:v>SUP02</x:v>
      </x:c>
      <x:c r="D249" s="20" t="n">
        <x:v>45991</x:v>
      </x:c>
      <x:c r="E249" t="n">
        <x:v>127.45</x:v>
      </x:c>
      <x:c r="F249" t="n">
        <x:v>77920.23</x:v>
      </x:c>
      <x:c r="G249" s="20" t="n">
        <x:v>46012</x:v>
      </x:c>
      <x:c r="H249" s="20" t="n">
        <x:v>46010</x:v>
      </x:c>
      <x:c r="I249" t="n">
        <x:v>126.84</x:v>
      </x:c>
      <x:c r="J249" t="str">
        <x:v>生產需求</x:v>
      </x:c>
      <x:c r="K249"/>
      <x:c r="L249" t="str">
        <x:v>已收貨</x:v>
      </x:c>
    </x:row>
    <x:row r="250" ht="20" customHeight="1">
      <x:c r="A250" t="str">
        <x:v>PO000249</x:v>
      </x:c>
      <x:c r="B250" t="str">
        <x:v>RAW-SEMI-WH-B</x:v>
      </x:c>
      <x:c r="C250" t="str">
        <x:v>SUP02</x:v>
      </x:c>
      <x:c r="D250" s="20" t="n">
        <x:v>45697</x:v>
      </x:c>
      <x:c r="E250" t="n">
        <x:v>113.59</x:v>
      </x:c>
      <x:c r="F250" t="n">
        <x:v>78321.08</x:v>
      </x:c>
      <x:c r="G250" s="20" t="n">
        <x:v>45718</x:v>
      </x:c>
      <x:c r="H250" s="20" t="n">
        <x:v>45718</x:v>
      </x:c>
      <x:c r="I250" t="n">
        <x:v>112</x:v>
      </x:c>
      <x:c r="J250" t="str">
        <x:v>補庫</x:v>
      </x:c>
      <x:c r="K250"/>
      <x:c r="L250" t="str">
        <x:v>已收貨</x:v>
      </x:c>
    </x:row>
    <x:row r="251" ht="20" customHeight="1">
      <x:c r="A251" t="str">
        <x:v>PO000250</x:v>
      </x:c>
      <x:c r="B251" t="str">
        <x:v>MAT-BRG-01</x:v>
      </x:c>
      <x:c r="C251" t="str">
        <x:v>SUP04</x:v>
      </x:c>
      <x:c r="D251" s="20" t="n">
        <x:v>46257</x:v>
      </x:c>
      <x:c r="E251" t="n">
        <x:v>186861.5</x:v>
      </x:c>
      <x:c r="F251" t="n">
        <x:v>502.89</x:v>
      </x:c>
      <x:c r="G251" s="20" t="n">
        <x:v>46272</x:v>
      </x:c>
      <x:c r="H251" s="20"/>
      <x:c r="I251" t="n">
        <x:v>0</x:v>
      </x:c>
      <x:c r="J251" t="str">
        <x:v>急單／缺料</x:v>
      </x:c>
      <x:c r="K251"/>
      <x:c r="L251" t="str">
        <x:v>已下單未收</x:v>
      </x:c>
    </x:row>
    <x:row r="252" ht="20" customHeight="1">
      <x:c r="A252" t="str">
        <x:v>PO000251</x:v>
      </x:c>
      <x:c r="B252" t="str">
        <x:v>MAT-PKG-01</x:v>
      </x:c>
      <x:c r="C252" t="str">
        <x:v>SUP01</x:v>
      </x:c>
      <x:c r="D252" s="20" t="n">
        <x:v>46263</x:v>
      </x:c>
      <x:c r="E252" t="n">
        <x:v>201241.88</x:v>
      </x:c>
      <x:c r="F252" t="n">
        <x:v>35.96</x:v>
      </x:c>
      <x:c r="G252" s="20" t="n">
        <x:v>46273</x:v>
      </x:c>
      <x:c r="H252" s="20"/>
      <x:c r="I252" t="n">
        <x:v>0</x:v>
      </x:c>
      <x:c r="J252" t="str">
        <x:v>急單／缺料</x:v>
      </x:c>
      <x:c r="K252"/>
      <x:c r="L252" t="str">
        <x:v>已下單未收</x:v>
      </x:c>
    </x:row>
    <x:row r="253" ht="20" customHeight="1">
      <x:c r="A253" t="str">
        <x:v>PO000252</x:v>
      </x:c>
      <x:c r="B253" t="str">
        <x:v>MAT-BOLT-01</x:v>
      </x:c>
      <x:c r="C253" t="str">
        <x:v>SUP02</x:v>
      </x:c>
      <x:c r="D253" s="20" t="n">
        <x:v>46256</x:v>
      </x:c>
      <x:c r="E253" t="n">
        <x:v>201524.68</x:v>
      </x:c>
      <x:c r="F253" t="n">
        <x:v>96.45</x:v>
      </x:c>
      <x:c r="G253" s="20" t="n">
        <x:v>46273</x:v>
      </x:c>
      <x:c r="H253" s="20"/>
      <x:c r="I253" t="n">
        <x:v>0</x:v>
      </x:c>
      <x:c r="J253" t="str">
        <x:v>急單／缺料</x:v>
      </x:c>
      <x:c r="K253"/>
      <x:c r="L253" t="str">
        <x:v>已下單未收</x:v>
      </x:c>
    </x:row>
    <x:row r="254" ht="20" customHeight="1">
      <x:c r="A254" t="str">
        <x:v>PO000253</x:v>
      </x:c>
      <x:c r="B254" t="str">
        <x:v>RAW-AUTO-BRK-A</x:v>
      </x:c>
      <x:c r="C254" t="str">
        <x:v>SUP08</x:v>
      </x:c>
      <x:c r="D254" s="20" t="n">
        <x:v>46259</x:v>
      </x:c>
      <x:c r="E254" t="n">
        <x:v>40498.5</x:v>
      </x:c>
      <x:c r="F254" t="n">
        <x:v>291.84</x:v>
      </x:c>
      <x:c r="G254" s="20" t="n">
        <x:v>46275</x:v>
      </x:c>
      <x:c r="H254" s="20"/>
      <x:c r="I254" t="n">
        <x:v>0</x:v>
      </x:c>
      <x:c r="J254" t="str">
        <x:v>急單／缺料</x:v>
      </x:c>
      <x:c r="K254"/>
      <x:c r="L254" t="str">
        <x:v>已下單未收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0" customHeight="1">
      <x:c r="A1" s="14" t="str">
        <x:v>物料ID</x:v>
      </x:c>
      <x:c r="B1" s="14" t="str">
        <x:v>快照日期</x:v>
      </x:c>
      <x:c r="C1" s="14" t="str">
        <x:v>期初庫存_12月前</x:v>
      </x:c>
      <x:c r="D1" s="14" t="str">
        <x:v>近12月收貨量</x:v>
      </x:c>
      <x:c r="E1" s="14" t="str">
        <x:v>近12月領料量</x:v>
      </x:c>
      <x:c r="F1" s="14" t="str">
        <x:v>現有庫存</x:v>
      </x:c>
      <x:c r="G1" s="14" t="str">
        <x:v>安全庫存</x:v>
      </x:c>
      <x:c r="H1" s="14" t="str">
        <x:v>已下單未收量</x:v>
      </x:c>
      <x:c r="I1" s="14" t="str">
        <x:v>最後異動日期</x:v>
      </x:c>
      <x:c r="J1" s="14" t="str">
        <x:v>庫齡天數</x:v>
      </x:c>
      <x:c r="K1" s="14" t="str">
        <x:v>近6月平均月耗用</x:v>
      </x:c>
      <x:c r="L1" s="14" t="str">
        <x:v>庫存月數</x:v>
      </x:c>
      <x:c r="M1" s="14" t="str">
        <x:v>庫存狀態</x:v>
      </x:c>
    </x:row>
    <x:row r="2" ht="20" customHeight="1">
      <x:c r="A2" t="str">
        <x:v>MAT-PKG-01</x:v>
      </x:c>
      <x:c r="B2" s="20" t="n">
        <x:v>46265</x:v>
      </x:c>
      <x:c r="C2" t="n">
        <x:v>72091.68</x:v>
      </x:c>
      <x:c r="D2" t="n">
        <x:v>821847.5</x:v>
      </x:c>
      <x:c r="E2" t="n">
        <x:v>838619.9</x:v>
      </x:c>
      <x:c r="F2" t="n">
        <x:f>C2+D2-E2</x:f>
        <x:v>55319.27999999991</x:v>
      </x:c>
      <x:c r="G2" t="n">
        <x:v>200</x:v>
      </x:c>
      <x:c r="H2" t="n">
        <x:v>201241.88</x:v>
      </x:c>
      <x:c r="I2" s="20" t="n">
        <x:v>46261</x:v>
      </x:c>
      <x:c r="J2" t="n">
        <x:f>B2-I2</x:f>
        <x:v>4</x:v>
      </x:c>
      <x:c r="K2" t="n">
        <x:v>69884.99</x:v>
      </x:c>
      <x:c r="L2" t="n">
        <x:f>IF(K2=0,999,F2/K2)</x:f>
        <x:v>0.7915759879195792</x:v>
      </x:c>
      <x:c r="M2" t="str">
        <x:f>IF(J2&gt;=180,"呆滯",IF(K2=0,"呆滯",IF(L2&gt;6,"過量",IF(F2&lt;G2,"缺料",IF(F2&lt;G2*1.2,"偏低","正常")))))</x:f>
        <x:v>正常</x:v>
      </x:c>
    </x:row>
    <x:row r="3" ht="20" customHeight="1">
      <x:c r="A3" t="str">
        <x:v>MAT-BOLT-01</x:v>
      </x:c>
      <x:c r="B3" s="20" t="n">
        <x:v>46265</x:v>
      </x:c>
      <x:c r="C3" t="n">
        <x:v>33201.99</x:v>
      </x:c>
      <x:c r="D3" t="n">
        <x:v>822985.77</x:v>
      </x:c>
      <x:c r="E3" t="n">
        <x:v>839781.4</x:v>
      </x:c>
      <x:c r="F3" t="n">
        <x:f>C3+D3-E3</x:f>
        <x:v>16406.359999999986</x:v>
      </x:c>
      <x:c r="G3" t="n">
        <x:v>150</x:v>
      </x:c>
      <x:c r="H3" t="n">
        <x:v>201524.68</x:v>
      </x:c>
      <x:c r="I3" s="20" t="n">
        <x:v>46264</x:v>
      </x:c>
      <x:c r="J3" t="n">
        <x:f>B3-I3</x:f>
        <x:v>1</x:v>
      </x:c>
      <x:c r="K3" t="n">
        <x:v>69981.78</x:v>
      </x:c>
      <x:c r="L3" t="n">
        <x:f>IF(K3=0,999,F3/K3)</x:f>
        <x:v>0.23443759218470844</x:v>
      </x:c>
      <x:c r="M3" t="str">
        <x:f>IF(J3&gt;=180,"呆滯",IF(K3=0,"呆滯",IF(L3&gt;6,"過量",IF(F3&lt;G3,"缺料",IF(F3&lt;G3*1.2,"偏低","正常")))))</x:f>
        <x:v>正常</x:v>
      </x:c>
    </x:row>
    <x:row r="4" ht="20" customHeight="1">
      <x:c r="A4" t="str">
        <x:v>MAT-BUSH-01</x:v>
      </x:c>
      <x:c r="B4" s="20" t="n">
        <x:v>46265</x:v>
      </x:c>
      <x:c r="C4" t="n">
        <x:v>100</x:v>
      </x:c>
      <x:c r="D4" t="n">
        <x:v>0</x:v>
      </x:c>
      <x:c r="E4" t="n">
        <x:v>0</x:v>
      </x:c>
      <x:c r="F4" t="n">
        <x:f>C4+D4-E4</x:f>
        <x:v>100</x:v>
      </x:c>
      <x:c r="G4" t="n">
        <x:v>100</x:v>
      </x:c>
      <x:c r="H4" t="n">
        <x:v>0</x:v>
      </x:c>
      <x:c r="I4" s="20" t="n">
        <x:v>46247</x:v>
      </x:c>
      <x:c r="J4" t="n">
        <x:f>B4-I4</x:f>
        <x:v>18</x:v>
      </x:c>
      <x:c r="K4" t="n">
        <x:v>0</x:v>
      </x:c>
      <x:c r="L4" t="n">
        <x:f>IF(K4=0,999,F4/K4)</x:f>
        <x:v>999</x:v>
      </x:c>
      <x:c r="M4" t="str">
        <x:f>IF(J4&gt;=180,"呆滯",IF(K4=0,"呆滯",IF(L4&gt;6,"過量",IF(F4&lt;G4,"缺料",IF(F4&lt;G4*1.2,"偏低","正常")))))</x:f>
        <x:v>呆滯</x:v>
      </x:c>
    </x:row>
    <x:row r="5" ht="20" customHeight="1">
      <x:c r="A5" t="str">
        <x:v>MAT-BRG-01</x:v>
      </x:c>
      <x:c r="B5" s="20" t="n">
        <x:v>46265</x:v>
      </x:c>
      <x:c r="C5" t="n">
        <x:v>72808.26</x:v>
      </x:c>
      <x:c r="D5" t="n">
        <x:v>768903.1</x:v>
      </x:c>
      <x:c r="E5" t="n">
        <x:v>784595</x:v>
      </x:c>
      <x:c r="F5" t="n">
        <x:f>C5+D5-E5</x:f>
        <x:v>57116.359999999986</x:v>
      </x:c>
      <x:c r="G5" t="n">
        <x:v>80</x:v>
      </x:c>
      <x:c r="H5" t="n">
        <x:v>186861.5</x:v>
      </x:c>
      <x:c r="I5" s="20" t="n">
        <x:v>46264</x:v>
      </x:c>
      <x:c r="J5" t="n">
        <x:f>B5-I5</x:f>
        <x:v>1</x:v>
      </x:c>
      <x:c r="K5" t="n">
        <x:v>65382.92</x:v>
      </x:c>
      <x:c r="L5" t="n">
        <x:f>IF(K5=0,999,F5/K5)</x:f>
        <x:v>0.8735669804897057</x:v>
      </x:c>
      <x:c r="M5" t="str">
        <x:f>IF(J5&gt;=180,"呆滯",IF(K5=0,"呆滯",IF(L5&gt;6,"過量",IF(F5&lt;G5,"缺料",IF(F5&lt;G5*1.2,"偏低","正常")))))</x:f>
        <x:v>正常</x:v>
      </x:c>
    </x:row>
    <x:row r="6" ht="20" customHeight="1">
      <x:c r="A6" t="str">
        <x:v>MAT-VAC-01</x:v>
      </x:c>
      <x:c r="B6" s="20" t="n">
        <x:v>46265</x:v>
      </x:c>
      <x:c r="C6" t="n">
        <x:v>749.13</x:v>
      </x:c>
      <x:c r="D6" t="n">
        <x:v>2118.17</x:v>
      </x:c>
      <x:c r="E6" t="n">
        <x:v>2161.4</x:v>
      </x:c>
      <x:c r="F6" t="n">
        <x:f>C6+D6-E6</x:f>
        <x:v>705.9000000000001</x:v>
      </x:c>
      <x:c r="G6" t="n">
        <x:v>30</x:v>
      </x:c>
      <x:c r="H6" t="n">
        <x:v>0</x:v>
      </x:c>
      <x:c r="I6" s="20" t="n">
        <x:v>46227</x:v>
      </x:c>
      <x:c r="J6" t="n">
        <x:f>B6-I6</x:f>
        <x:v>38</x:v>
      </x:c>
      <x:c r="K6" t="n">
        <x:v>180.12</x:v>
      </x:c>
      <x:c r="L6" t="n">
        <x:f>IF(K6=0,999,F6/K6)</x:f>
        <x:v>3.9190539640239845</x:v>
      </x:c>
      <x:c r="M6" t="str">
        <x:f>IF(J6&gt;=180,"呆滯",IF(K6=0,"呆滯",IF(L6&gt;6,"過量",IF(F6&lt;G6,"缺料",IF(F6&lt;G6*1.2,"偏低","正常")))))</x:f>
        <x:v>正常</x:v>
      </x:c>
    </x:row>
    <x:row r="7" ht="20" customHeight="1">
      <x:c r="A7" t="str">
        <x:v>MAT-LG-01</x:v>
      </x:c>
      <x:c r="B7" s="20" t="n">
        <x:v>46265</x:v>
      </x:c>
      <x:c r="C7" t="n">
        <x:v>239.22</x:v>
      </x:c>
      <x:c r="D7" t="n">
        <x:v>979.9</x:v>
      </x:c>
      <x:c r="E7" t="n">
        <x:v>999.9</x:v>
      </x:c>
      <x:c r="F7" t="n">
        <x:f>C7+D7-E7</x:f>
        <x:v>219.2199999999999</x:v>
      </x:c>
      <x:c r="G7" t="n">
        <x:v>20</x:v>
      </x:c>
      <x:c r="H7" t="n">
        <x:v>0</x:v>
      </x:c>
      <x:c r="I7" s="20" t="n">
        <x:v>46263</x:v>
      </x:c>
      <x:c r="J7" t="n">
        <x:f>B7-I7</x:f>
        <x:v>2</x:v>
      </x:c>
      <x:c r="K7" t="n">
        <x:v>83.33</x:v>
      </x:c>
      <x:c r="L7" t="n">
        <x:f>IF(K7=0,999,F7/K7)</x:f>
        <x:v>2.6307452298091913</x:v>
      </x:c>
      <x:c r="M7" t="str">
        <x:f>IF(J7&gt;=180,"呆滯",IF(K7=0,"呆滯",IF(L7&gt;6,"過量",IF(F7&lt;G7,"缺料",IF(F7&lt;G7*1.2,"偏低","正常")))))</x:f>
        <x:v>正常</x:v>
      </x:c>
    </x:row>
    <x:row r="8" ht="20" customHeight="1">
      <x:c r="A8" t="str">
        <x:v>MAT-SERVO-01</x:v>
      </x:c>
      <x:c r="B8" s="20" t="n">
        <x:v>46265</x:v>
      </x:c>
      <x:c r="C8" t="n">
        <x:v>240.43</x:v>
      </x:c>
      <x:c r="D8" t="n">
        <x:v>979.9</x:v>
      </x:c>
      <x:c r="E8" t="n">
        <x:v>999.9</x:v>
      </x:c>
      <x:c r="F8" t="n">
        <x:f>C8+D8-E8</x:f>
        <x:v>220.42999999999995</x:v>
      </x:c>
      <x:c r="G8" t="n">
        <x:v>15</x:v>
      </x:c>
      <x:c r="H8" t="n">
        <x:v>0</x:v>
      </x:c>
      <x:c r="I8" s="20" t="n">
        <x:v>46227</x:v>
      </x:c>
      <x:c r="J8" t="n">
        <x:f>B8-I8</x:f>
        <x:v>38</x:v>
      </x:c>
      <x:c r="K8" t="n">
        <x:v>83.33</x:v>
      </x:c>
      <x:c r="L8" t="n">
        <x:f>IF(K8=0,999,F8/K8)</x:f>
        <x:v>2.645265810632425</x:v>
      </x:c>
      <x:c r="M8" t="str">
        <x:f>IF(J8&gt;=180,"呆滯",IF(K8=0,"呆滯",IF(L8&gt;6,"過量",IF(F8&lt;G8,"缺料",IF(F8&lt;G8*1.2,"偏低","正常")))))</x:f>
        <x:v>正常</x:v>
      </x:c>
    </x:row>
    <x:row r="9" ht="20" customHeight="1">
      <x:c r="A9" t="str">
        <x:v>MAT-SENSOR-01</x:v>
      </x:c>
      <x:c r="B9" s="20" t="n">
        <x:v>46265</x:v>
      </x:c>
      <x:c r="C9" t="n">
        <x:v>271.49</x:v>
      </x:c>
      <x:c r="D9" t="n">
        <x:v>979.9</x:v>
      </x:c>
      <x:c r="E9" t="n">
        <x:v>999.9</x:v>
      </x:c>
      <x:c r="F9" t="n">
        <x:f>C9+D9-E9</x:f>
        <x:v>251.4899999999999</x:v>
      </x:c>
      <x:c r="G9" t="n">
        <x:v>20</x:v>
      </x:c>
      <x:c r="H9" t="n">
        <x:v>0</x:v>
      </x:c>
      <x:c r="I9" s="20" t="n">
        <x:v>46231</x:v>
      </x:c>
      <x:c r="J9" t="n">
        <x:f>B9-I9</x:f>
        <x:v>34</x:v>
      </x:c>
      <x:c r="K9" t="n">
        <x:v>83.33</x:v>
      </x:c>
      <x:c r="L9" t="n">
        <x:f>IF(K9=0,999,F9/K9)</x:f>
        <x:v>3.0180007200288</x:v>
      </x:c>
      <x:c r="M9" t="str">
        <x:f>IF(J9&gt;=180,"呆滯",IF(K9=0,"呆滯",IF(L9&gt;6,"過量",IF(F9&lt;G9,"缺料",IF(F9&lt;G9*1.2,"偏低","正常")))))</x:f>
        <x:v>正常</x:v>
      </x:c>
    </x:row>
    <x:row r="10" ht="20" customHeight="1">
      <x:c r="A10" t="str">
        <x:v>MAT-CABLE-01</x:v>
      </x:c>
      <x:c r="B10" s="20" t="n">
        <x:v>46265</x:v>
      </x:c>
      <x:c r="C10" t="n">
        <x:v>282.41</x:v>
      </x:c>
      <x:c r="D10" t="n">
        <x:v>979.9</x:v>
      </x:c>
      <x:c r="E10" t="n">
        <x:v>999.9</x:v>
      </x:c>
      <x:c r="F10" t="n">
        <x:f>C10+D10-E10</x:f>
        <x:v>262.40999999999997</x:v>
      </x:c>
      <x:c r="G10" t="n">
        <x:v>20</x:v>
      </x:c>
      <x:c r="H10" t="n">
        <x:v>0</x:v>
      </x:c>
      <x:c r="I10" s="20" t="n">
        <x:v>46247</x:v>
      </x:c>
      <x:c r="J10" t="n">
        <x:f>B10-I10</x:f>
        <x:v>18</x:v>
      </x:c>
      <x:c r="K10" t="n">
        <x:v>83.33</x:v>
      </x:c>
      <x:c r="L10" t="n">
        <x:f>IF(K10=0,999,F10/K10)</x:f>
        <x:v>3.1490459618384734</x:v>
      </x:c>
      <x:c r="M10" t="str">
        <x:f>IF(J10&gt;=180,"呆滯",IF(K10=0,"呆滯",IF(L10&gt;6,"過量",IF(F10&lt;G10,"缺料",IF(F10&lt;G10*1.2,"偏低","正常")))))</x:f>
        <x:v>正常</x:v>
      </x:c>
    </x:row>
    <x:row r="11" ht="20" customHeight="1">
      <x:c r="A11" t="str">
        <x:v>MAT-CTRL-01</x:v>
      </x:c>
      <x:c r="B11" s="20" t="n">
        <x:v>46265</x:v>
      </x:c>
      <x:c r="C11" t="n">
        <x:v>243.81</x:v>
      </x:c>
      <x:c r="D11" t="n">
        <x:v>979.9</x:v>
      </x:c>
      <x:c r="E11" t="n">
        <x:v>999.9</x:v>
      </x:c>
      <x:c r="F11" t="n">
        <x:f>C11+D11-E11</x:f>
        <x:v>223.81000000000006</x:v>
      </x:c>
      <x:c r="G11" t="n">
        <x:v>15</x:v>
      </x:c>
      <x:c r="H11" t="n">
        <x:v>0</x:v>
      </x:c>
      <x:c r="I11" s="20" t="n">
        <x:v>46232</x:v>
      </x:c>
      <x:c r="J11" t="n">
        <x:f>B11-I11</x:f>
        <x:v>33</x:v>
      </x:c>
      <x:c r="K11" t="n">
        <x:v>83.33</x:v>
      </x:c>
      <x:c r="L11" t="n">
        <x:f>IF(K11=0,999,F11/K11)</x:f>
        <x:v>2.685827433097325</x:v>
      </x:c>
      <x:c r="M11" t="str">
        <x:f>IF(J11&gt;=180,"呆滯",IF(K11=0,"呆滯",IF(L11&gt;6,"過量",IF(F11&lt;G11,"缺料",IF(F11&lt;G11*1.2,"偏低","正常")))))</x:f>
        <x:v>正常</x:v>
      </x:c>
    </x:row>
    <x:row r="12" ht="20" customHeight="1">
      <x:c r="A12" t="str">
        <x:v>MAT-CLEAN-01</x:v>
      </x:c>
      <x:c r="B12" s="20" t="n">
        <x:v>46265</x:v>
      </x:c>
      <x:c r="C12" t="n">
        <x:v>786.51</x:v>
      </x:c>
      <x:c r="D12" t="n">
        <x:v>2118.17</x:v>
      </x:c>
      <x:c r="E12" t="n">
        <x:v>2161.4</x:v>
      </x:c>
      <x:c r="F12" t="n">
        <x:f>C12+D12-E12</x:f>
        <x:v>743.2800000000002</x:v>
      </x:c>
      <x:c r="G12" t="n">
        <x:v>40</x:v>
      </x:c>
      <x:c r="H12" t="n">
        <x:v>0</x:v>
      </x:c>
      <x:c r="I12" s="20" t="n">
        <x:v>46262</x:v>
      </x:c>
      <x:c r="J12" t="n">
        <x:f>B12-I12</x:f>
        <x:v>3</x:v>
      </x:c>
      <x:c r="K12" t="n">
        <x:v>180.12</x:v>
      </x:c>
      <x:c r="L12" t="n">
        <x:f>IF(K12=0,999,F12/K12)</x:f>
        <x:v>4.126582278481013</x:v>
      </x:c>
      <x:c r="M12" t="str">
        <x:f>IF(J12&gt;=180,"呆滯",IF(K12=0,"呆滯",IF(L12&gt;6,"過量",IF(F12&lt;G12,"缺料",IF(F12&lt;G12*1.2,"偏低","正常")))))</x:f>
        <x:v>正常</x:v>
      </x:c>
    </x:row>
    <x:row r="13" ht="20" customHeight="1">
      <x:c r="A13" t="str">
        <x:v>RAW-AUTO-BRK-A</x:v>
      </x:c>
      <x:c r="B13" s="20" t="n">
        <x:v>46265</x:v>
      </x:c>
      <x:c r="C13" t="n">
        <x:v>6324.32</x:v>
      </x:c>
      <x:c r="D13" t="n">
        <x:v>89523</x:v>
      </x:c>
      <x:c r="E13" t="n">
        <x:v>91350</x:v>
      </x:c>
      <x:c r="F13" t="n">
        <x:f>C13+D13-E13</x:f>
        <x:v>4497.320000000007</x:v>
      </x:c>
      <x:c r="G13" t="n">
        <x:v>1000</x:v>
      </x:c>
      <x:c r="H13" t="n">
        <x:v>40498.5</x:v>
      </x:c>
      <x:c r="I13" s="20" t="n">
        <x:v>46259</x:v>
      </x:c>
      <x:c r="J13" t="n">
        <x:f>B13-I13</x:f>
        <x:v>6</x:v>
      </x:c>
      <x:c r="K13" t="n">
        <x:v>7612.5</x:v>
      </x:c>
      <x:c r="L13" t="n">
        <x:f>IF(K13=0,999,F13/K13)</x:f>
        <x:v>0.5907809523809533</x:v>
      </x:c>
      <x:c r="M13" t="str">
        <x:f>IF(J13&gt;=180,"呆滯",IF(K13=0,"呆滯",IF(L13&gt;6,"過量",IF(F13&lt;G13,"缺料",IF(F13&lt;G13*1.2,"偏低","正常")))))</x:f>
        <x:v>正常</x:v>
      </x:c>
    </x:row>
    <x:row r="14" ht="20" customHeight="1">
      <x:c r="A14" t="str">
        <x:v>RAW-AUTO-BRK-B</x:v>
      </x:c>
      <x:c r="B14" s="20" t="n">
        <x:v>46265</x:v>
      </x:c>
      <x:c r="C14" t="n">
        <x:v>6169.84</x:v>
      </x:c>
      <x:c r="D14" t="n">
        <x:v>21883.4</x:v>
      </x:c>
      <x:c r="E14" t="n">
        <x:v>22330</x:v>
      </x:c>
      <x:c r="F14" t="n">
        <x:f>C14+D14-E14</x:f>
        <x:v>5723.240000000002</x:v>
      </x:c>
      <x:c r="G14" t="n">
        <x:v>1000</x:v>
      </x:c>
      <x:c r="H14" t="n">
        <x:v>0</x:v>
      </x:c>
      <x:c r="I14" s="20" t="n">
        <x:v>46239</x:v>
      </x:c>
      <x:c r="J14" t="n">
        <x:f>B14-I14</x:f>
        <x:v>26</x:v>
      </x:c>
      <x:c r="K14" t="n">
        <x:v>1860.83</x:v>
      </x:c>
      <x:c r="L14" t="n">
        <x:f>IF(K14=0,999,F14/K14)</x:f>
        <x:v>3.0756382904402884</x:v>
      </x:c>
      <x:c r="M14" t="str">
        <x:f>IF(J14&gt;=180,"呆滯",IF(K14=0,"呆滯",IF(L14&gt;6,"過量",IF(F14&lt;G14,"缺料",IF(F14&lt;G14*1.2,"偏低","正常")))))</x:f>
        <x:v>正常</x:v>
      </x:c>
    </x:row>
    <x:row r="15" ht="20" customHeight="1">
      <x:c r="A15" t="str">
        <x:v>RAW-AUTO-MH-A</x:v>
      </x:c>
      <x:c r="B15" s="20" t="n">
        <x:v>46265</x:v>
      </x:c>
      <x:c r="C15" t="n">
        <x:v>33736.73</x:v>
      </x:c>
      <x:c r="D15" t="n">
        <x:v>71618.4</x:v>
      </x:c>
      <x:c r="E15" t="n">
        <x:v>73080</x:v>
      </x:c>
      <x:c r="F15" t="n">
        <x:f>C15+D15-E15</x:f>
        <x:v>32275.130000000005</x:v>
      </x:c>
      <x:c r="G15" t="n">
        <x:v>1000</x:v>
      </x:c>
      <x:c r="H15" t="n">
        <x:v>0</x:v>
      </x:c>
      <x:c r="I15" s="20" t="n">
        <x:v>46245</x:v>
      </x:c>
      <x:c r="J15" t="n">
        <x:f>B15-I15</x:f>
        <x:v>20</x:v>
      </x:c>
      <x:c r="K15" t="n">
        <x:v>6090</x:v>
      </x:c>
      <x:c r="L15" t="n">
        <x:f>IF(K15=0,999,F15/K15)</x:f>
        <x:v>5.299692939244665</x:v>
      </x:c>
      <x:c r="M15" t="str">
        <x:f>IF(J15&gt;=180,"呆滯",IF(K15=0,"呆滯",IF(L15&gt;6,"過量",IF(F15&lt;G15,"缺料",IF(F15&lt;G15*1.2,"偏低","正常")))))</x:f>
        <x:v>正常</x:v>
      </x:c>
    </x:row>
    <x:row r="16" ht="20" customHeight="1">
      <x:c r="A16" t="str">
        <x:v>RAW-AUTO-MH-B</x:v>
      </x:c>
      <x:c r="B16" s="20" t="n">
        <x:v>46265</x:v>
      </x:c>
      <x:c r="C16" t="n">
        <x:v>13995.06</x:v>
      </x:c>
      <x:c r="D16" t="n">
        <x:v>62666.1</x:v>
      </x:c>
      <x:c r="E16" t="n">
        <x:v>63945</x:v>
      </x:c>
      <x:c r="F16" t="n">
        <x:f>C16+D16-E16</x:f>
        <x:v>12716.160000000003</x:v>
      </x:c>
      <x:c r="G16" t="n">
        <x:v>1000</x:v>
      </x:c>
      <x:c r="H16" t="n">
        <x:v>0</x:v>
      </x:c>
      <x:c r="I16" s="20" t="n">
        <x:v>46257</x:v>
      </x:c>
      <x:c r="J16" t="n">
        <x:f>B16-I16</x:f>
        <x:v>8</x:v>
      </x:c>
      <x:c r="K16" t="n">
        <x:v>5328.75</x:v>
      </x:c>
      <x:c r="L16" t="n">
        <x:f>IF(K16=0,999,F16/K16)</x:f>
        <x:v>2.386330752990852</x:v>
      </x:c>
      <x:c r="M16" t="str">
        <x:f>IF(J16&gt;=180,"呆滯",IF(K16=0,"呆滯",IF(L16&gt;6,"過量",IF(F16&lt;G16,"缺料",IF(F16&lt;G16*1.2,"偏低","正常")))))</x:f>
        <x:v>正常</x:v>
      </x:c>
    </x:row>
    <x:row r="17" ht="20" customHeight="1">
      <x:c r="A17" t="str">
        <x:v>RAW-AUTO-KN-A</x:v>
      </x:c>
      <x:c r="B17" s="20" t="n">
        <x:v>46265</x:v>
      </x:c>
      <x:c r="C17" t="n">
        <x:v>32866.93</x:v>
      </x:c>
      <x:c r="D17" t="n">
        <x:v>89523</x:v>
      </x:c>
      <x:c r="E17" t="n">
        <x:v>91350</x:v>
      </x:c>
      <x:c r="F17" t="n">
        <x:f>C17+D17-E17</x:f>
        <x:v>31039.929999999993</x:v>
      </x:c>
      <x:c r="G17" t="n">
        <x:v>1000</x:v>
      </x:c>
      <x:c r="H17" t="n">
        <x:v>0</x:v>
      </x:c>
      <x:c r="I17" s="20" t="n">
        <x:v>46223</x:v>
      </x:c>
      <x:c r="J17" t="n">
        <x:f>B17-I17</x:f>
        <x:v>42</x:v>
      </x:c>
      <x:c r="K17" t="n">
        <x:v>7612.5</x:v>
      </x:c>
      <x:c r="L17" t="n">
        <x:f>IF(K17=0,999,F17/K17)</x:f>
        <x:v>4.077494909688013</x:v>
      </x:c>
      <x:c r="M17" t="str">
        <x:f>IF(J17&gt;=180,"呆滯",IF(K17=0,"呆滯",IF(L17&gt;6,"過量",IF(F17&lt;G17,"缺料",IF(F17&lt;G17*1.2,"偏低","正常")))))</x:f>
        <x:v>正常</x:v>
      </x:c>
    </x:row>
    <x:row r="18" ht="20" customHeight="1">
      <x:c r="A18" t="str">
        <x:v>RAW-AUTO-KN-B</x:v>
      </x:c>
      <x:c r="B18" s="20" t="n">
        <x:v>46265</x:v>
      </x:c>
      <x:c r="C18" t="n">
        <x:v>22033.68</x:v>
      </x:c>
      <x:c r="D18" t="n">
        <x:v>33819.8</x:v>
      </x:c>
      <x:c r="E18" t="n">
        <x:v>34510</x:v>
      </x:c>
      <x:c r="F18" t="n">
        <x:f>C18+D18-E18</x:f>
        <x:v>21343.480000000003</x:v>
      </x:c>
      <x:c r="G18" t="n">
        <x:v>1000</x:v>
      </x:c>
      <x:c r="H18" t="n">
        <x:v>0</x:v>
      </x:c>
      <x:c r="I18" s="20" t="n">
        <x:v>46224</x:v>
      </x:c>
      <x:c r="J18" t="n">
        <x:f>B18-I18</x:f>
        <x:v>41</x:v>
      </x:c>
      <x:c r="K18" t="n">
        <x:v>2875.83</x:v>
      </x:c>
      <x:c r="L18" t="n">
        <x:f>IF(K18=0,999,F18/K18)</x:f>
        <x:v>7.421676524690264</x:v>
      </x:c>
      <x:c r="M18" t="str">
        <x:f>IF(J18&gt;=180,"呆滯",IF(K18=0,"呆滯",IF(L18&gt;6,"過量",IF(F18&lt;G18,"缺料",IF(F18&lt;G18*1.2,"偏低","正常")))))</x:f>
        <x:v>過量</x:v>
      </x:c>
    </x:row>
    <x:row r="19" ht="20" customHeight="1">
      <x:c r="A19" t="str">
        <x:v>RAW-AUTO-FL-A</x:v>
      </x:c>
      <x:c r="B19" s="20" t="n">
        <x:v>46265</x:v>
      </x:c>
      <x:c r="C19" t="n">
        <x:v>57399.51</x:v>
      </x:c>
      <x:c r="D19" t="n">
        <x:v>97480.6</x:v>
      </x:c>
      <x:c r="E19" t="n">
        <x:v>99470</x:v>
      </x:c>
      <x:c r="F19" t="n">
        <x:f>C19+D19-E19</x:f>
        <x:v>55410.110000000015</x:v>
      </x:c>
      <x:c r="G19" t="n">
        <x:v>1000</x:v>
      </x:c>
      <x:c r="H19" t="n">
        <x:v>0</x:v>
      </x:c>
      <x:c r="I19" s="20" t="n">
        <x:v>46234</x:v>
      </x:c>
      <x:c r="J19" t="n">
        <x:f>B19-I19</x:f>
        <x:v>31</x:v>
      </x:c>
      <x:c r="K19" t="n">
        <x:v>8289.17</x:v>
      </x:c>
      <x:c r="L19" t="n">
        <x:f>IF(K19=0,999,F19/K19)</x:f>
        <x:v>6.684639113445618</x:v>
      </x:c>
      <x:c r="M19" t="str">
        <x:f>IF(J19&gt;=180,"呆滯",IF(K19=0,"呆滯",IF(L19&gt;6,"過量",IF(F19&lt;G19,"缺料",IF(F19&lt;G19*1.2,"偏低","正常")))))</x:f>
        <x:v>過量</x:v>
      </x:c>
    </x:row>
    <x:row r="20" ht="20" customHeight="1">
      <x:c r="A20" t="str">
        <x:v>RAW-AUTO-FL-B</x:v>
      </x:c>
      <x:c r="B20" s="20" t="n">
        <x:v>46265</x:v>
      </x:c>
      <x:c r="C20" t="n">
        <x:v>22942.85</x:v>
      </x:c>
      <x:c r="D20" t="n">
        <x:v>78581.3</x:v>
      </x:c>
      <x:c r="E20" t="n">
        <x:v>80185</x:v>
      </x:c>
      <x:c r="F20" t="n">
        <x:f>C20+D20-E20</x:f>
        <x:v>21339.149999999994</x:v>
      </x:c>
      <x:c r="G20" t="n">
        <x:v>1000</x:v>
      </x:c>
      <x:c r="H20" t="n">
        <x:v>0</x:v>
      </x:c>
      <x:c r="I20" s="20" t="n">
        <x:v>46243</x:v>
      </x:c>
      <x:c r="J20" t="n">
        <x:f>B20-I20</x:f>
        <x:v>22</x:v>
      </x:c>
      <x:c r="K20" t="n">
        <x:v>6682.08</x:v>
      </x:c>
      <x:c r="L20" t="n">
        <x:f>IF(K20=0,999,F20/K20)</x:f>
        <x:v>3.1934891530780827</x:v>
      </x:c>
      <x:c r="M20" t="str">
        <x:f>IF(J20&gt;=180,"呆滯",IF(K20=0,"呆滯",IF(L20&gt;6,"過量",IF(F20&lt;G20,"缺料",IF(F20&lt;G20*1.2,"偏低","正常")))))</x:f>
        <x:v>正常</x:v>
      </x:c>
    </x:row>
    <x:row r="21" ht="20" customHeight="1">
      <x:c r="A21" t="str">
        <x:v>RAW-AUTO-BS-A</x:v>
      </x:c>
      <x:c r="B21" s="20" t="n">
        <x:v>46265</x:v>
      </x:c>
      <x:c r="C21" t="n">
        <x:v>35341.12</x:v>
      </x:c>
      <x:c r="D21" t="n">
        <x:v>86538.9</x:v>
      </x:c>
      <x:c r="E21" t="n">
        <x:v>88305</x:v>
      </x:c>
      <x:c r="F21" t="n">
        <x:f>C21+D21-E21</x:f>
        <x:v>33575.01999999999</x:v>
      </x:c>
      <x:c r="G21" t="n">
        <x:v>1000</x:v>
      </x:c>
      <x:c r="H21" t="n">
        <x:v>0</x:v>
      </x:c>
      <x:c r="I21" s="20" t="n">
        <x:v>46238</x:v>
      </x:c>
      <x:c r="J21" t="n">
        <x:f>B21-I21</x:f>
        <x:v>27</x:v>
      </x:c>
      <x:c r="K21" t="n">
        <x:v>7358.75</x:v>
      </x:c>
      <x:c r="L21" t="n">
        <x:f>IF(K21=0,999,F21/K21)</x:f>
        <x:v>4.562598267368777</x:v>
      </x:c>
      <x:c r="M21" t="str">
        <x:f>IF(J21&gt;=180,"呆滯",IF(K21=0,"呆滯",IF(L21&gt;6,"過量",IF(F21&lt;G21,"缺料",IF(F21&lt;G21*1.2,"偏低","正常")))))</x:f>
        <x:v>正常</x:v>
      </x:c>
    </x:row>
    <x:row r="22" ht="20" customHeight="1">
      <x:c r="A22" t="str">
        <x:v>RAW-AUTO-BS-B</x:v>
      </x:c>
      <x:c r="B22" s="20" t="n">
        <x:v>46265</x:v>
      </x:c>
      <x:c r="C22" t="n">
        <x:v>26384.65</x:v>
      </x:c>
      <x:c r="D22" t="n">
        <x:v>95491.2</x:v>
      </x:c>
      <x:c r="E22" t="n">
        <x:v>97440</x:v>
      </x:c>
      <x:c r="F22" t="n">
        <x:f>C22+D22-E22</x:f>
        <x:v>24435.850000000006</x:v>
      </x:c>
      <x:c r="G22" t="n">
        <x:v>1000</x:v>
      </x:c>
      <x:c r="H22" t="n">
        <x:v>0</x:v>
      </x:c>
      <x:c r="I22" s="20" t="n">
        <x:v>46228</x:v>
      </x:c>
      <x:c r="J22" t="n">
        <x:f>B22-I22</x:f>
        <x:v>37</x:v>
      </x:c>
      <x:c r="K22" t="n">
        <x:v>8120</x:v>
      </x:c>
      <x:c r="L22" t="n">
        <x:f>IF(K22=0,999,F22/K22)</x:f>
        <x:v>3.0093411330049267</x:v>
      </x:c>
      <x:c r="M22" t="str">
        <x:f>IF(J22&gt;=180,"呆滯",IF(K22=0,"呆滯",IF(L22&gt;6,"過量",IF(F22&lt;G22,"缺料",IF(F22&lt;G22*1.2,"偏低","正常")))))</x:f>
        <x:v>正常</x:v>
      </x:c>
    </x:row>
    <x:row r="23" ht="20" customHeight="1">
      <x:c r="A23" t="str">
        <x:v>RAW-AUTO-LG-A</x:v>
      </x:c>
      <x:c r="B23" s="20" t="n">
        <x:v>46265</x:v>
      </x:c>
      <x:c r="C23" t="n">
        <x:v>2304.5</x:v>
      </x:c>
      <x:c r="D23" t="n">
        <x:v>34814.5</x:v>
      </x:c>
      <x:c r="E23" t="n">
        <x:v>35525</x:v>
      </x:c>
      <x:c r="F23" t="n">
        <x:f>C23+D23-E23</x:f>
        <x:v>1594</x:v>
      </x:c>
      <x:c r="G23" t="n">
        <x:v>1000</x:v>
      </x:c>
      <x:c r="H23" t="n">
        <x:v>0</x:v>
      </x:c>
      <x:c r="I23" s="20" t="n">
        <x:v>45978</x:v>
      </x:c>
      <x:c r="J23" t="n">
        <x:f>B23-I23</x:f>
        <x:v>287</x:v>
      </x:c>
      <x:c r="K23" t="n">
        <x:v>2960.42</x:v>
      </x:c>
      <x:c r="L23" t="n">
        <x:f>IF(K23=0,999,F23/K23)</x:f>
        <x:v>0.5384371136527925</x:v>
      </x:c>
      <x:c r="M23" t="str">
        <x:f>IF(J23&gt;=180,"呆滯",IF(K23=0,"呆滯",IF(L23&gt;6,"過量",IF(F23&lt;G23,"缺料",IF(F23&lt;G23*1.2,"偏低","正常")))))</x:f>
        <x:v>呆滯</x:v>
      </x:c>
    </x:row>
    <x:row r="24" ht="20" customHeight="1">
      <x:c r="A24" t="str">
        <x:v>RAW-AUTO-LG-B</x:v>
      </x:c>
      <x:c r="B24" s="20" t="n">
        <x:v>46265</x:v>
      </x:c>
      <x:c r="C24" t="n">
        <x:v>1238.1</x:v>
      </x:c>
      <x:c r="D24" t="n">
        <x:v>6962.9</x:v>
      </x:c>
      <x:c r="E24" t="n">
        <x:v>7105</x:v>
      </x:c>
      <x:c r="F24" t="n">
        <x:f>C24+D24-E24</x:f>
        <x:v>1096</x:v>
      </x:c>
      <x:c r="G24" t="n">
        <x:v>1000</x:v>
      </x:c>
      <x:c r="H24" t="n">
        <x:v>0</x:v>
      </x:c>
      <x:c r="I24" s="20" t="n">
        <x:v>45845</x:v>
      </x:c>
      <x:c r="J24" t="n">
        <x:f>B24-I24</x:f>
        <x:v>420</x:v>
      </x:c>
      <x:c r="K24" t="n">
        <x:v>592.08</x:v>
      </x:c>
      <x:c r="L24" t="n">
        <x:f>IF(K24=0,999,F24/K24)</x:f>
        <x:v>1.8511012025401972</x:v>
      </x:c>
      <x:c r="M24" t="str">
        <x:f>IF(J24&gt;=180,"呆滯",IF(K24=0,"呆滯",IF(L24&gt;6,"過量",IF(F24&lt;G24,"缺料",IF(F24&lt;G24*1.2,"偏低","正常")))))</x:f>
        <x:v>呆滯</x:v>
      </x:c>
    </x:row>
    <x:row r="25" ht="20" customHeight="1">
      <x:c r="A25" t="str">
        <x:v>RAW-PM-ALB-A</x:v>
      </x:c>
      <x:c r="B25" s="20" t="n">
        <x:v>46265</x:v>
      </x:c>
      <x:c r="C25" t="n">
        <x:v>1708.47</x:v>
      </x:c>
      <x:c r="D25" t="n">
        <x:v>7621.46</x:v>
      </x:c>
      <x:c r="E25" t="n">
        <x:v>7777</x:v>
      </x:c>
      <x:c r="F25" t="n">
        <x:f>C25+D25-E25</x:f>
        <x:v>1552.9300000000003</x:v>
      </x:c>
      <x:c r="G25" t="n">
        <x:v>0</x:v>
      </x:c>
      <x:c r="H25" t="n">
        <x:v>0</x:v>
      </x:c>
      <x:c r="I25" s="20" t="n">
        <x:v>46238</x:v>
      </x:c>
      <x:c r="J25" t="n">
        <x:f>B25-I25</x:f>
        <x:v>27</x:v>
      </x:c>
      <x:c r="K25" t="n">
        <x:v>648.08</x:v>
      </x:c>
      <x:c r="L25" t="n">
        <x:f>IF(K25=0,999,F25/K25)</x:f>
        <x:v>2.396201086285644</x:v>
      </x:c>
      <x:c r="M25" t="str">
        <x:f>IF(J25&gt;=180,"呆滯",IF(K25=0,"呆滯",IF(L25&gt;6,"過量",IF(F25&lt;G25,"缺料",IF(F25&lt;G25*1.2,"偏低","正常")))))</x:f>
        <x:v>正常</x:v>
      </x:c>
    </x:row>
    <x:row r="26" ht="20" customHeight="1">
      <x:c r="A26" t="str">
        <x:v>RAW-PM-ALB-B</x:v>
      </x:c>
      <x:c r="B26" s="20" t="n">
        <x:v>46265</x:v>
      </x:c>
      <x:c r="C26" t="n">
        <x:v>1933.98</x:v>
      </x:c>
      <x:c r="D26" t="n">
        <x:v>6631.66</x:v>
      </x:c>
      <x:c r="E26" t="n">
        <x:v>6767</x:v>
      </x:c>
      <x:c r="F26" t="n">
        <x:f>C26+D26-E26</x:f>
        <x:v>1798.6399999999994</x:v>
      </x:c>
      <x:c r="G26" t="n">
        <x:v>0</x:v>
      </x:c>
      <x:c r="H26" t="n">
        <x:v>0</x:v>
      </x:c>
      <x:c r="I26" s="20" t="n">
        <x:v>46221</x:v>
      </x:c>
      <x:c r="J26" t="n">
        <x:f>B26-I26</x:f>
        <x:v>44</x:v>
      </x:c>
      <x:c r="K26" t="n">
        <x:v>563.92</x:v>
      </x:c>
      <x:c r="L26" t="n">
        <x:f>IF(K26=0,999,F26/K26)</x:f>
        <x:v>3.1895304298482046</x:v>
      </x:c>
      <x:c r="M26" t="str">
        <x:f>IF(J26&gt;=180,"呆滯",IF(K26=0,"呆滯",IF(L26&gt;6,"過量",IF(F26&lt;G26,"缺料",IF(F26&lt;G26*1.2,"偏低","正常")))))</x:f>
        <x:v>正常</x:v>
      </x:c>
    </x:row>
    <x:row r="27" ht="20" customHeight="1">
      <x:c r="A27" t="str">
        <x:v>RAW-PM-SUS-A</x:v>
      </x:c>
      <x:c r="B27" s="20" t="n">
        <x:v>46265</x:v>
      </x:c>
      <x:c r="C27" t="n">
        <x:v>2997.17</x:v>
      </x:c>
      <x:c r="D27" t="n">
        <x:v>5146.96</x:v>
      </x:c>
      <x:c r="E27" t="n">
        <x:v>5252</x:v>
      </x:c>
      <x:c r="F27" t="n">
        <x:f>C27+D27-E27</x:f>
        <x:v>2892.13</x:v>
      </x:c>
      <x:c r="G27" t="n">
        <x:v>0</x:v>
      </x:c>
      <x:c r="H27" t="n">
        <x:v>0</x:v>
      </x:c>
      <x:c r="I27" s="20" t="n">
        <x:v>46256</x:v>
      </x:c>
      <x:c r="J27" t="n">
        <x:f>B27-I27</x:f>
        <x:v>9</x:v>
      </x:c>
      <x:c r="K27" t="n">
        <x:v>437.67</x:v>
      </x:c>
      <x:c r="L27" t="n">
        <x:f>IF(K27=0,999,F27/K27)</x:f>
        <x:v>6.608015171247744</x:v>
      </x:c>
      <x:c r="M27" t="str">
        <x:f>IF(J27&gt;=180,"呆滯",IF(K27=0,"呆滯",IF(L27&gt;6,"過量",IF(F27&lt;G27,"缺料",IF(F27&lt;G27*1.2,"偏低","正常")))))</x:f>
        <x:v>過量</x:v>
      </x:c>
    </x:row>
    <x:row r="28" ht="20" customHeight="1">
      <x:c r="A28" t="str">
        <x:v>RAW-PM-SUS-B</x:v>
      </x:c>
      <x:c r="B28" s="20" t="n">
        <x:v>46265</x:v>
      </x:c>
      <x:c r="C28" t="n">
        <x:v>4196.38</x:v>
      </x:c>
      <x:c r="D28" t="n">
        <x:v>5047.98</x:v>
      </x:c>
      <x:c r="E28" t="n">
        <x:v>5151</x:v>
      </x:c>
      <x:c r="F28" t="n">
        <x:f>C28+D28-E28</x:f>
        <x:v>4093.3600000000006</x:v>
      </x:c>
      <x:c r="G28" t="n">
        <x:v>0</x:v>
      </x:c>
      <x:c r="H28" t="n">
        <x:v>0</x:v>
      </x:c>
      <x:c r="I28" s="20" t="n">
        <x:v>46241</x:v>
      </x:c>
      <x:c r="J28" t="n">
        <x:f>B28-I28</x:f>
        <x:v>24</x:v>
      </x:c>
      <x:c r="K28" t="n">
        <x:v>429.25</x:v>
      </x:c>
      <x:c r="L28" t="n">
        <x:f>IF(K28=0,999,F28/K28)</x:f>
        <x:v>9.536074548631335</x:v>
      </x:c>
      <x:c r="M28" t="str">
        <x:f>IF(J28&gt;=180,"呆滯",IF(K28=0,"呆滯",IF(L28&gt;6,"過量",IF(F28&lt;G28,"缺料",IF(F28&lt;G28*1.2,"偏低","正常")))))</x:f>
        <x:v>過量</x:v>
      </x:c>
    </x:row>
    <x:row r="29" ht="20" customHeight="1">
      <x:c r="A29" t="str">
        <x:v>RAW-PM-BRG-A</x:v>
      </x:c>
      <x:c r="B29" s="20" t="n">
        <x:v>46265</x:v>
      </x:c>
      <x:c r="C29" t="n">
        <x:v>694.98</x:v>
      </x:c>
      <x:c r="D29" t="n">
        <x:v>2969.4</x:v>
      </x:c>
      <x:c r="E29" t="n">
        <x:v>3030</x:v>
      </x:c>
      <x:c r="F29" t="n">
        <x:f>C29+D29-E29</x:f>
        <x:v>634.3800000000001</x:v>
      </x:c>
      <x:c r="G29" t="n">
        <x:v>0</x:v>
      </x:c>
      <x:c r="H29" t="n">
        <x:v>0</x:v>
      </x:c>
      <x:c r="I29" s="20" t="n">
        <x:v>46248</x:v>
      </x:c>
      <x:c r="J29" t="n">
        <x:f>B29-I29</x:f>
        <x:v>17</x:v>
      </x:c>
      <x:c r="K29" t="n">
        <x:v>252.5</x:v>
      </x:c>
      <x:c r="L29" t="n">
        <x:f>IF(K29=0,999,F29/K29)</x:f>
        <x:v>2.512396039603961</x:v>
      </x:c>
      <x:c r="M29" t="str">
        <x:f>IF(J29&gt;=180,"呆滯",IF(K29=0,"呆滯",IF(L29&gt;6,"過量",IF(F29&lt;G29,"缺料",IF(F29&lt;G29*1.2,"偏低","正常")))))</x:f>
        <x:v>正常</x:v>
      </x:c>
    </x:row>
    <x:row r="30" ht="20" customHeight="1">
      <x:c r="A30" t="str">
        <x:v>RAW-PM-BRG-B</x:v>
      </x:c>
      <x:c r="B30" s="20" t="n">
        <x:v>46265</x:v>
      </x:c>
      <x:c r="C30" t="n">
        <x:v>4248.1</x:v>
      </x:c>
      <x:c r="D30" t="n">
        <x:v>11382.7</x:v>
      </x:c>
      <x:c r="E30" t="n">
        <x:v>11615</x:v>
      </x:c>
      <x:c r="F30" t="n">
        <x:f>C30+D30-E30</x:f>
        <x:v>4015.800000000001</x:v>
      </x:c>
      <x:c r="G30" t="n">
        <x:v>0</x:v>
      </x:c>
      <x:c r="H30" t="n">
        <x:v>0</x:v>
      </x:c>
      <x:c r="I30" s="20" t="n">
        <x:v>46253</x:v>
      </x:c>
      <x:c r="J30" t="n">
        <x:f>B30-I30</x:f>
        <x:v>12</x:v>
      </x:c>
      <x:c r="K30" t="n">
        <x:v>967.92</x:v>
      </x:c>
      <x:c r="L30" t="n">
        <x:f>IF(K30=0,999,F30/K30)</x:f>
        <x:v>4.148896603025045</x:v>
      </x:c>
      <x:c r="M30" t="str">
        <x:f>IF(J30&gt;=180,"呆滯",IF(K30=0,"呆滯",IF(L30&gt;6,"過量",IF(F30&lt;G30,"缺料",IF(F30&lt;G30*1.2,"偏低","正常")))))</x:f>
        <x:v>正常</x:v>
      </x:c>
    </x:row>
    <x:row r="31" ht="20" customHeight="1">
      <x:c r="A31" t="str">
        <x:v>RAW-PM-VAC-A</x:v>
      </x:c>
      <x:c r="B31" s="20" t="n">
        <x:v>46265</x:v>
      </x:c>
      <x:c r="C31" t="n">
        <x:v>2111.45</x:v>
      </x:c>
      <x:c r="D31" t="n">
        <x:v>5839.82</x:v>
      </x:c>
      <x:c r="E31" t="n">
        <x:v>5959</x:v>
      </x:c>
      <x:c r="F31" t="n">
        <x:f>C31+D31-E31</x:f>
        <x:v>1992.2699999999995</x:v>
      </x:c>
      <x:c r="G31" t="n">
        <x:v>0</x:v>
      </x:c>
      <x:c r="H31" t="n">
        <x:v>0</x:v>
      </x:c>
      <x:c r="I31" s="20" t="n">
        <x:v>46243</x:v>
      </x:c>
      <x:c r="J31" t="n">
        <x:f>B31-I31</x:f>
        <x:v>22</x:v>
      </x:c>
      <x:c r="K31" t="n">
        <x:v>496.58</x:v>
      </x:c>
      <x:c r="L31" t="n">
        <x:f>IF(K31=0,999,F31/K31)</x:f>
        <x:v>4.0119819565830275</x:v>
      </x:c>
      <x:c r="M31" t="str">
        <x:f>IF(J31&gt;=180,"呆滯",IF(K31=0,"呆滯",IF(L31&gt;6,"過量",IF(F31&lt;G31,"缺料",IF(F31&lt;G31*1.2,"偏低","正常")))))</x:f>
        <x:v>正常</x:v>
      </x:c>
    </x:row>
    <x:row r="32" ht="20" customHeight="1">
      <x:c r="A32" t="str">
        <x:v>RAW-PM-VAC-B</x:v>
      </x:c>
      <x:c r="B32" s="20" t="n">
        <x:v>46265</x:v>
      </x:c>
      <x:c r="C32" t="n">
        <x:v>3005.48</x:v>
      </x:c>
      <x:c r="D32" t="n">
        <x:v>7324.52</x:v>
      </x:c>
      <x:c r="E32" t="n">
        <x:v>7474</x:v>
      </x:c>
      <x:c r="F32" t="n">
        <x:f>C32+D32-E32</x:f>
        <x:v>2856</x:v>
      </x:c>
      <x:c r="G32" t="n">
        <x:v>0</x:v>
      </x:c>
      <x:c r="H32" t="n">
        <x:v>0</x:v>
      </x:c>
      <x:c r="I32" s="20" t="n">
        <x:v>46233</x:v>
      </x:c>
      <x:c r="J32" t="n">
        <x:f>B32-I32</x:f>
        <x:v>32</x:v>
      </x:c>
      <x:c r="K32" t="n">
        <x:v>622.83</x:v>
      </x:c>
      <x:c r="L32" t="n">
        <x:f>IF(K32=0,999,F32/K32)</x:f>
        <x:v>4.585520928664322</x:v>
      </x:c>
      <x:c r="M32" t="str">
        <x:f>IF(J32&gt;=180,"呆滯",IF(K32=0,"呆滯",IF(L32&gt;6,"過量",IF(F32&lt;G32,"缺料",IF(F32&lt;G32*1.2,"偏低","正常")))))</x:f>
        <x:v>正常</x:v>
      </x:c>
    </x:row>
    <x:row r="33" ht="20" customHeight="1">
      <x:c r="A33" t="str">
        <x:v>RAW-MECH-STG-A</x:v>
      </x:c>
      <x:c r="B33" s="20" t="n">
        <x:v>46265</x:v>
      </x:c>
      <x:c r="C33" t="n">
        <x:v>86.74</x:v>
      </x:c>
      <x:c r="D33" t="n">
        <x:v>247.45</x:v>
      </x:c>
      <x:c r="E33" t="n">
        <x:v>252.5</x:v>
      </x:c>
      <x:c r="F33" t="n">
        <x:f>C33+D33-E33</x:f>
        <x:v>81.69</x:v>
      </x:c>
      <x:c r="G33" t="n">
        <x:v>0</x:v>
      </x:c>
      <x:c r="H33" t="n">
        <x:v>0</x:v>
      </x:c>
      <x:c r="I33" s="20" t="n">
        <x:v>46232</x:v>
      </x:c>
      <x:c r="J33" t="n">
        <x:f>B33-I33</x:f>
        <x:v>33</x:v>
      </x:c>
      <x:c r="K33" t="n">
        <x:v>21.04</x:v>
      </x:c>
      <x:c r="L33" t="n">
        <x:f>IF(K33=0,999,F33/K33)</x:f>
        <x:v>3.8826045627376424</x:v>
      </x:c>
      <x:c r="M33" t="str">
        <x:f>IF(J33&gt;=180,"呆滯",IF(K33=0,"呆滯",IF(L33&gt;6,"過量",IF(F33&lt;G33,"缺料",IF(F33&lt;G33*1.2,"偏低","正常")))))</x:f>
        <x:v>正常</x:v>
      </x:c>
    </x:row>
    <x:row r="34" ht="20" customHeight="1">
      <x:c r="A34" t="str">
        <x:v>RAW-MECH-STG-B</x:v>
      </x:c>
      <x:c r="B34" s="20" t="n">
        <x:v>46265</x:v>
      </x:c>
      <x:c r="C34" t="n">
        <x:v>36.55</x:v>
      </x:c>
      <x:c r="D34" t="n">
        <x:v>207.86</x:v>
      </x:c>
      <x:c r="E34" t="n">
        <x:v>212.1</x:v>
      </x:c>
      <x:c r="F34" t="n">
        <x:f>C34+D34-E34</x:f>
        <x:v>32.31000000000003</x:v>
      </x:c>
      <x:c r="G34" t="n">
        <x:v>0</x:v>
      </x:c>
      <x:c r="H34" t="n">
        <x:v>0</x:v>
      </x:c>
      <x:c r="I34" s="20" t="n">
        <x:v>46244</x:v>
      </x:c>
      <x:c r="J34" t="n">
        <x:f>B34-I34</x:f>
        <x:v>21</x:v>
      </x:c>
      <x:c r="K34" t="n">
        <x:v>17.68</x:v>
      </x:c>
      <x:c r="L34" t="n">
        <x:f>IF(K34=0,999,F34/K34)</x:f>
        <x:v>1.8274886877828072</x:v>
      </x:c>
      <x:c r="M34" t="str">
        <x:f>IF(J34&gt;=180,"呆滯",IF(K34=0,"呆滯",IF(L34&gt;6,"過量",IF(F34&lt;G34,"缺料",IF(F34&lt;G34*1.2,"偏低","正常")))))</x:f>
        <x:v>正常</x:v>
      </x:c>
    </x:row>
    <x:row r="35" ht="20" customHeight="1">
      <x:c r="A35" t="str">
        <x:v>RAW-MECH-CON-A</x:v>
      </x:c>
      <x:c r="B35" s="20" t="n">
        <x:v>46265</x:v>
      </x:c>
      <x:c r="C35" t="n">
        <x:v>124.26</x:v>
      </x:c>
      <x:c r="D35" t="n">
        <x:v>346.43</x:v>
      </x:c>
      <x:c r="E35" t="n">
        <x:v>353.5</x:v>
      </x:c>
      <x:c r="F35" t="n">
        <x:f>C35+D35-E35</x:f>
        <x:v>117.19</x:v>
      </x:c>
      <x:c r="G35" t="n">
        <x:v>0</x:v>
      </x:c>
      <x:c r="H35" t="n">
        <x:v>0</x:v>
      </x:c>
      <x:c r="I35" s="20" t="n">
        <x:v>46257</x:v>
      </x:c>
      <x:c r="J35" t="n">
        <x:f>B35-I35</x:f>
        <x:v>8</x:v>
      </x:c>
      <x:c r="K35" t="n">
        <x:v>29.46</x:v>
      </x:c>
      <x:c r="L35" t="n">
        <x:f>IF(K35=0,999,F35/K35)</x:f>
        <x:v>3.977936184657162</x:v>
      </x:c>
      <x:c r="M35" t="str">
        <x:f>IF(J35&gt;=180,"呆滯",IF(K35=0,"呆滯",IF(L35&gt;6,"過量",IF(F35&lt;G35,"缺料",IF(F35&lt;G35*1.2,"偏低","正常")))))</x:f>
        <x:v>正常</x:v>
      </x:c>
    </x:row>
    <x:row r="36" ht="20" customHeight="1">
      <x:c r="A36" t="str">
        <x:v>RAW-MECH-CON-B</x:v>
      </x:c>
      <x:c r="B36" s="20" t="n">
        <x:v>46265</x:v>
      </x:c>
      <x:c r="C36" t="n">
        <x:v>47.57</x:v>
      </x:c>
      <x:c r="D36" t="n">
        <x:v>178.16</x:v>
      </x:c>
      <x:c r="E36" t="n">
        <x:v>181.8</x:v>
      </x:c>
      <x:c r="F36" t="n">
        <x:f>C36+D36-E36</x:f>
        <x:v>43.92999999999998</x:v>
      </x:c>
      <x:c r="G36" t="n">
        <x:v>0</x:v>
      </x:c>
      <x:c r="H36" t="n">
        <x:v>0</x:v>
      </x:c>
      <x:c r="I36" s="20" t="n">
        <x:v>46241</x:v>
      </x:c>
      <x:c r="J36" t="n">
        <x:f>B36-I36</x:f>
        <x:v>24</x:v>
      </x:c>
      <x:c r="K36" t="n">
        <x:v>15.15</x:v>
      </x:c>
      <x:c r="L36" t="n">
        <x:f>IF(K36=0,999,F36/K36)</x:f>
        <x:v>2.899669966996698</x:v>
      </x:c>
      <x:c r="M36" t="str">
        <x:f>IF(J36&gt;=180,"呆滯",IF(K36=0,"呆滯",IF(L36&gt;6,"過量",IF(F36&lt;G36,"缺料",IF(F36&lt;G36*1.2,"偏低","正常")))))</x:f>
        <x:v>正常</x:v>
      </x:c>
    </x:row>
    <x:row r="37" ht="20" customHeight="1">
      <x:c r="A37" t="str">
        <x:v>RAW-SEMI-CHB-A</x:v>
      </x:c>
      <x:c r="B37" s="20" t="n">
        <x:v>46265</x:v>
      </x:c>
      <x:c r="C37" t="n">
        <x:v>196.05</x:v>
      </x:c>
      <x:c r="D37" t="n">
        <x:v>494.9</x:v>
      </x:c>
      <x:c r="E37" t="n">
        <x:v>505</x:v>
      </x:c>
      <x:c r="F37" t="n">
        <x:f>C37+D37-E37</x:f>
        <x:v>185.95000000000005</x:v>
      </x:c>
      <x:c r="G37" t="n">
        <x:v>0</x:v>
      </x:c>
      <x:c r="H37" t="n">
        <x:v>0</x:v>
      </x:c>
      <x:c r="I37" s="20" t="n">
        <x:v>46234</x:v>
      </x:c>
      <x:c r="J37" t="n">
        <x:f>B37-I37</x:f>
        <x:v>31</x:v>
      </x:c>
      <x:c r="K37" t="n">
        <x:v>42.08</x:v>
      </x:c>
      <x:c r="L37" t="n">
        <x:f>IF(K37=0,999,F37/K37)</x:f>
        <x:v>4.4189638783269976</x:v>
      </x:c>
      <x:c r="M37" t="str">
        <x:f>IF(J37&gt;=180,"呆滯",IF(K37=0,"呆滯",IF(L37&gt;6,"過量",IF(F37&lt;G37,"缺料",IF(F37&lt;G37*1.2,"偏低","正常")))))</x:f>
        <x:v>正常</x:v>
      </x:c>
    </x:row>
    <x:row r="38" ht="20" customHeight="1">
      <x:c r="A38" t="str">
        <x:v>RAW-SEMI-CHB-B</x:v>
      </x:c>
      <x:c r="B38" s="20" t="n">
        <x:v>46265</x:v>
      </x:c>
      <x:c r="C38" t="n">
        <x:v>79.61</x:v>
      </x:c>
      <x:c r="D38" t="n">
        <x:v>494.9</x:v>
      </x:c>
      <x:c r="E38" t="n">
        <x:v>505</x:v>
      </x:c>
      <x:c r="F38" t="n">
        <x:f>C38+D38-E38</x:f>
        <x:v>69.50999999999999</x:v>
      </x:c>
      <x:c r="G38" t="n">
        <x:v>0</x:v>
      </x:c>
      <x:c r="H38" t="n">
        <x:v>0</x:v>
      </x:c>
      <x:c r="I38" s="20" t="n">
        <x:v>46252</x:v>
      </x:c>
      <x:c r="J38" t="n">
        <x:f>B38-I38</x:f>
        <x:v>13</x:v>
      </x:c>
      <x:c r="K38" t="n">
        <x:v>42.08</x:v>
      </x:c>
      <x:c r="L38" t="n">
        <x:f>IF(K38=0,999,F38/K38)</x:f>
        <x:v>1.6518536121673002</x:v>
      </x:c>
      <x:c r="M38" t="str">
        <x:f>IF(J38&gt;=180,"呆滯",IF(K38=0,"呆滯",IF(L38&gt;6,"過量",IF(F38&lt;G38,"缺料",IF(F38&lt;G38*1.2,"偏低","正常")))))</x:f>
        <x:v>正常</x:v>
      </x:c>
    </x:row>
    <x:row r="39" ht="20" customHeight="1">
      <x:c r="A39" t="str">
        <x:v>RAW-SEMI-WH-A</x:v>
      </x:c>
      <x:c r="B39" s="20" t="n">
        <x:v>46265</x:v>
      </x:c>
      <x:c r="C39" t="n">
        <x:v>546.8</x:v>
      </x:c>
      <x:c r="D39" t="n">
        <x:v>732.45</x:v>
      </x:c>
      <x:c r="E39" t="n">
        <x:v>747.4</x:v>
      </x:c>
      <x:c r="F39" t="n">
        <x:f>C39+D39-E39</x:f>
        <x:v>531.85</x:v>
      </x:c>
      <x:c r="G39" t="n">
        <x:v>0</x:v>
      </x:c>
      <x:c r="H39" t="n">
        <x:v>0</x:v>
      </x:c>
      <x:c r="I39" s="20" t="n">
        <x:v>46231</x:v>
      </x:c>
      <x:c r="J39" t="n">
        <x:f>B39-I39</x:f>
        <x:v>34</x:v>
      </x:c>
      <x:c r="K39" t="n">
        <x:v>62.28</x:v>
      </x:c>
      <x:c r="L39" t="n">
        <x:f>IF(K39=0,999,F39/K39)</x:f>
        <x:v>8.53965960179833</x:v>
      </x:c>
      <x:c r="M39" t="str">
        <x:f>IF(J39&gt;=180,"呆滯",IF(K39=0,"呆滯",IF(L39&gt;6,"過量",IF(F39&lt;G39,"缺料",IF(F39&lt;G39*1.2,"偏低","正常")))))</x:f>
        <x:v>過量</x:v>
      </x:c>
    </x:row>
    <x:row r="40" ht="20" customHeight="1">
      <x:c r="A40" t="str">
        <x:v>RAW-SEMI-WH-B</x:v>
      </x:c>
      <x:c r="B40" s="20" t="n">
        <x:v>46265</x:v>
      </x:c>
      <x:c r="C40" t="n">
        <x:v>68.05</x:v>
      </x:c>
      <x:c r="D40" t="n">
        <x:v>395.92</x:v>
      </x:c>
      <x:c r="E40" t="n">
        <x:v>404</x:v>
      </x:c>
      <x:c r="F40" t="n">
        <x:f>C40+D40-E40</x:f>
        <x:v>59.97000000000003</x:v>
      </x:c>
      <x:c r="G40" t="n">
        <x:v>0</x:v>
      </x:c>
      <x:c r="H40" t="n">
        <x:v>0</x:v>
      </x:c>
      <x:c r="I40" s="20" t="n">
        <x:v>46227</x:v>
      </x:c>
      <x:c r="J40" t="n">
        <x:f>B40-I40</x:f>
        <x:v>38</x:v>
      </x:c>
      <x:c r="K40" t="n">
        <x:v>33.67</x:v>
      </x:c>
      <x:c r="L40" t="n">
        <x:f>IF(K40=0,999,F40/K40)</x:f>
        <x:v>1.7811107811107818</x:v>
      </x:c>
      <x:c r="M40" t="str">
        <x:f>IF(J40&gt;=180,"呆滯",IF(K40=0,"呆滯",IF(L40&gt;6,"過量",IF(F40&lt;G40,"缺料",IF(F40&lt;G40*1.2,"偏低","正常")))))</x:f>
        <x:v>正常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0" customHeight="1">
      <x:c r="A1" s="14" t="str">
        <x:v>出貨明細ID</x:v>
      </x:c>
      <x:c r="B1" s="14" t="str">
        <x:v>訂單明細ID</x:v>
      </x:c>
      <x:c r="C1" s="14" t="str">
        <x:v>工單ID</x:v>
      </x:c>
      <x:c r="D1" s="14" t="str">
        <x:v>生產批號</x:v>
      </x:c>
      <x:c r="E1" s="14" t="str">
        <x:v>客戶ID</x:v>
      </x:c>
      <x:c r="F1" s="14" t="str">
        <x:v>SKU</x:v>
      </x:c>
      <x:c r="G1" s="14" t="str">
        <x:v>原始承諾交貨日</x:v>
      </x:c>
      <x:c r="H1" s="14" t="str">
        <x:v>出貨日期</x:v>
      </x:c>
      <x:c r="I1" s="14" t="str">
        <x:v>實際到貨日期</x:v>
      </x:c>
      <x:c r="J1" s="14" t="str">
        <x:v>出貨數量</x:v>
      </x:c>
      <x:c r="K1" s="14" t="str">
        <x:v>成交單價_TWD</x:v>
      </x:c>
      <x:c r="L1" s="14" t="str">
        <x:v>物流方式</x:v>
      </x:c>
      <x:c r="M1" s="14" t="str">
        <x:v>延遲天數</x:v>
      </x:c>
      <x:c r="N1" s="14" t="str">
        <x:v>準時交貨</x:v>
      </x:c>
      <x:c r="O1" s="14" t="str">
        <x:v>客退數量</x:v>
      </x:c>
      <x:c r="P1" s="14" t="str">
        <x:v>客退原因</x:v>
      </x:c>
    </x:row>
    <x:row r="2" ht="20" customHeight="1">
      <x:c r="A2" t="str">
        <x:v>SH000001</x:v>
      </x:c>
      <x:c r="B2" t="str">
        <x:v>SO00001-01</x:v>
      </x:c>
      <x:c r="C2" t="str">
        <x:v>WO00001</x:v>
      </x:c>
      <x:c r="D2" t="str">
        <x:v>LOT00001</x:v>
      </x:c>
      <x:c r="E2" t="str">
        <x:v>AUT-004</x:v>
      </x:c>
      <x:c r="F2" t="str">
        <x:v>AUTO-KN-A</x:v>
      </x:c>
      <x:c r="G2" s="20" t="n">
        <x:v>45226</x:v>
      </x:c>
      <x:c r="H2" s="20" t="n">
        <x:v>45223</x:v>
      </x:c>
      <x:c r="I2" s="20" t="n">
        <x:v>45228</x:v>
      </x:c>
      <x:c r="J2" t="n">
        <x:v>6447</x:v>
      </x:c>
      <x:c r="K2" t="n">
        <x:v>3102.86</x:v>
      </x:c>
      <x:c r="L2" t="str">
        <x:v>陸運</x:v>
      </x:c>
      <x:c r="M2" t="n">
        <x:v>2</x:v>
      </x:c>
      <x:c r="N2" t="str">
        <x:v>否</x:v>
      </x:c>
      <x:c r="O2" t="n">
        <x:v>0</x:v>
      </x:c>
      <x:c r="P2"/>
    </x:row>
    <x:row r="3" ht="20" customHeight="1">
      <x:c r="A3" t="str">
        <x:v>SH000002</x:v>
      </x:c>
      <x:c r="B3" t="str">
        <x:v>SO00001-01</x:v>
      </x:c>
      <x:c r="C3" t="str">
        <x:v>WO00002</x:v>
      </x:c>
      <x:c r="D3" t="str">
        <x:v>LOT00002</x:v>
      </x:c>
      <x:c r="E3" t="str">
        <x:v>AUT-004</x:v>
      </x:c>
      <x:c r="F3" t="str">
        <x:v>AUTO-KN-A</x:v>
      </x:c>
      <x:c r="G3" s="20" t="n">
        <x:v>45226</x:v>
      </x:c>
      <x:c r="H3" s="20" t="n">
        <x:v>45224</x:v>
      </x:c>
      <x:c r="I3" s="20" t="n">
        <x:v>45227</x:v>
      </x:c>
      <x:c r="J3" t="n">
        <x:v>6465</x:v>
      </x:c>
      <x:c r="K3" t="n">
        <x:v>3102.86</x:v>
      </x:c>
      <x:c r="L3" t="str">
        <x:v>空運</x:v>
      </x:c>
      <x:c r="M3" t="n">
        <x:v>1</x:v>
      </x:c>
      <x:c r="N3" t="str">
        <x:v>否</x:v>
      </x:c>
      <x:c r="O3" t="n">
        <x:v>0</x:v>
      </x:c>
      <x:c r="P3"/>
    </x:row>
    <x:row r="4" ht="20" customHeight="1">
      <x:c r="A4" t="str">
        <x:v>SH000003</x:v>
      </x:c>
      <x:c r="B4" t="str">
        <x:v>SO00002-01</x:v>
      </x:c>
      <x:c r="C4" t="str">
        <x:v>WO00003</x:v>
      </x:c>
      <x:c r="D4" t="str">
        <x:v>LOT00003</x:v>
      </x:c>
      <x:c r="E4" t="str">
        <x:v>IAT-002</x:v>
      </x:c>
      <x:c r="F4" t="str">
        <x:v>PM-SUS-A</x:v>
      </x:c>
      <x:c r="G4" s="20" t="n">
        <x:v>45206</x:v>
      </x:c>
      <x:c r="H4" s="20" t="n">
        <x:v>45206</x:v>
      </x:c>
      <x:c r="I4" s="20" t="n">
        <x:v>45208</x:v>
      </x:c>
      <x:c r="J4" t="n">
        <x:v>590</x:v>
      </x:c>
      <x:c r="K4" t="n">
        <x:v>10503.72</x:v>
      </x:c>
      <x:c r="L4" t="str">
        <x:v>海運</x:v>
      </x:c>
      <x:c r="M4" t="n">
        <x:v>2</x:v>
      </x:c>
      <x:c r="N4" t="str">
        <x:v>否</x:v>
      </x:c>
      <x:c r="O4" t="n">
        <x:v>0</x:v>
      </x:c>
      <x:c r="P4"/>
    </x:row>
    <x:row r="5" ht="20" customHeight="1">
      <x:c r="A5" t="str">
        <x:v>SH000004</x:v>
      </x:c>
      <x:c r="B5" t="str">
        <x:v>SO00002-01</x:v>
      </x:c>
      <x:c r="C5" t="str">
        <x:v>WO00004</x:v>
      </x:c>
      <x:c r="D5" t="str">
        <x:v>LOT00004</x:v>
      </x:c>
      <x:c r="E5" t="str">
        <x:v>IAT-002</x:v>
      </x:c>
      <x:c r="F5" t="str">
        <x:v>PM-SUS-A</x:v>
      </x:c>
      <x:c r="G5" s="20" t="n">
        <x:v>45206</x:v>
      </x:c>
      <x:c r="H5" s="20" t="n">
        <x:v>45208</x:v>
      </x:c>
      <x:c r="I5" s="20" t="n">
        <x:v>45212</x:v>
      </x:c>
      <x:c r="J5" t="n">
        <x:v>583</x:v>
      </x:c>
      <x:c r="K5" t="n">
        <x:v>10503.72</x:v>
      </x:c>
      <x:c r="L5" t="str">
        <x:v>陸運</x:v>
      </x:c>
      <x:c r="M5" t="n">
        <x:v>6</x:v>
      </x:c>
      <x:c r="N5" t="str">
        <x:v>否</x:v>
      </x:c>
      <x:c r="O5" t="n">
        <x:v>0</x:v>
      </x:c>
      <x:c r="P5"/>
    </x:row>
    <x:row r="6" ht="20" customHeight="1">
      <x:c r="A6" t="str">
        <x:v>SH000005</x:v>
      </x:c>
      <x:c r="B6" t="str">
        <x:v>SO00003-01</x:v>
      </x:c>
      <x:c r="C6" t="str">
        <x:v>WO00005</x:v>
      </x:c>
      <x:c r="D6" t="str">
        <x:v>LOT00005</x:v>
      </x:c>
      <x:c r="E6" t="str">
        <x:v>AFT-004</x:v>
      </x:c>
      <x:c r="F6" t="str">
        <x:v>AUTO-FL-A</x:v>
      </x:c>
      <x:c r="G6" s="20" t="n">
        <x:v>45215</x:v>
      </x:c>
      <x:c r="H6" s="20" t="n">
        <x:v>45214</x:v>
      </x:c>
      <x:c r="I6" s="20" t="n">
        <x:v>45215</x:v>
      </x:c>
      <x:c r="J6" t="n">
        <x:v>6934</x:v>
      </x:c>
      <x:c r="K6" t="n">
        <x:v>1214.02</x:v>
      </x:c>
      <x:c r="L6" t="str">
        <x:v>空運</x:v>
      </x:c>
      <x:c r="M6" t="n">
        <x:v>0</x:v>
      </x:c>
      <x:c r="N6" t="str">
        <x:v>是</x:v>
      </x:c>
      <x:c r="O6" t="n">
        <x:v>0</x:v>
      </x:c>
      <x:c r="P6"/>
    </x:row>
    <x:row r="7" ht="20" customHeight="1">
      <x:c r="A7" t="str">
        <x:v>SH000006</x:v>
      </x:c>
      <x:c r="B7" t="str">
        <x:v>SO00004-01</x:v>
      </x:c>
      <x:c r="C7" t="str">
        <x:v>WO00007</x:v>
      </x:c>
      <x:c r="D7" t="str">
        <x:v>LOT00007</x:v>
      </x:c>
      <x:c r="E7" t="str">
        <x:v>AUT-009</x:v>
      </x:c>
      <x:c r="F7" t="str">
        <x:v>PM-BRG-B</x:v>
      </x:c>
      <x:c r="G7" s="20" t="n">
        <x:v>45202</x:v>
      </x:c>
      <x:c r="H7" s="20" t="n">
        <x:v>45199</x:v>
      </x:c>
      <x:c r="I7" s="20" t="n">
        <x:v>45202</x:v>
      </x:c>
      <x:c r="J7" t="n">
        <x:v>584</x:v>
      </x:c>
      <x:c r="K7" t="n">
        <x:v>8144.12</x:v>
      </x:c>
      <x:c r="L7" t="str">
        <x:v>空運</x:v>
      </x:c>
      <x:c r="M7" t="n">
        <x:v>0</x:v>
      </x:c>
      <x:c r="N7" t="str">
        <x:v>是</x:v>
      </x:c>
      <x:c r="O7" t="n">
        <x:v>0</x:v>
      </x:c>
      <x:c r="P7"/>
    </x:row>
    <x:row r="8" ht="20" customHeight="1">
      <x:c r="A8" t="str">
        <x:v>SH000007</x:v>
      </x:c>
      <x:c r="B8" t="str">
        <x:v>SO00004-01</x:v>
      </x:c>
      <x:c r="C8" t="str">
        <x:v>WO00006</x:v>
      </x:c>
      <x:c r="D8" t="str">
        <x:v>LOT00006</x:v>
      </x:c>
      <x:c r="E8" t="str">
        <x:v>AUT-009</x:v>
      </x:c>
      <x:c r="F8" t="str">
        <x:v>PM-BRG-B</x:v>
      </x:c>
      <x:c r="G8" s="20" t="n">
        <x:v>45202</x:v>
      </x:c>
      <x:c r="H8" s="20" t="n">
        <x:v>45206</x:v>
      </x:c>
      <x:c r="I8" s="20" t="n">
        <x:v>45210</x:v>
      </x:c>
      <x:c r="J8" t="n">
        <x:v>591</x:v>
      </x:c>
      <x:c r="K8" t="n">
        <x:v>8144.12</x:v>
      </x:c>
      <x:c r="L8" t="str">
        <x:v>海運</x:v>
      </x:c>
      <x:c r="M8" t="n">
        <x:v>8</x:v>
      </x:c>
      <x:c r="N8" t="str">
        <x:v>否</x:v>
      </x:c>
      <x:c r="O8" t="n">
        <x:v>0</x:v>
      </x:c>
      <x:c r="P8"/>
    </x:row>
    <x:row r="9" ht="20" customHeight="1">
      <x:c r="A9" t="str">
        <x:v>SH000008</x:v>
      </x:c>
      <x:c r="B9" t="str">
        <x:v>SO00005-01</x:v>
      </x:c>
      <x:c r="C9" t="str">
        <x:v>WO00009</x:v>
      </x:c>
      <x:c r="D9" t="str">
        <x:v>LOT00009</x:v>
      </x:c>
      <x:c r="E9" t="str">
        <x:v>AFT-003</x:v>
      </x:c>
      <x:c r="F9" t="str">
        <x:v>AUTO-BRK-B</x:v>
      </x:c>
      <x:c r="G9" s="20" t="n">
        <x:v>45228</x:v>
      </x:c>
      <x:c r="H9" s="20" t="n">
        <x:v>45224</x:v>
      </x:c>
      <x:c r="I9" s="20" t="n">
        <x:v>45228</x:v>
      </x:c>
      <x:c r="J9" t="n">
        <x:v>6390</x:v>
      </x:c>
      <x:c r="K9" t="n">
        <x:v>2073.09</x:v>
      </x:c>
      <x:c r="L9" t="str">
        <x:v>海運</x:v>
      </x:c>
      <x:c r="M9" t="n">
        <x:v>0</x:v>
      </x:c>
      <x:c r="N9" t="str">
        <x:v>是</x:v>
      </x:c>
      <x:c r="O9" t="n">
        <x:v>0</x:v>
      </x:c>
      <x:c r="P9"/>
    </x:row>
    <x:row r="10" ht="20" customHeight="1">
      <x:c r="A10" t="str">
        <x:v>SH000009</x:v>
      </x:c>
      <x:c r="B10" t="str">
        <x:v>SO00005-01</x:v>
      </x:c>
      <x:c r="C10" t="str">
        <x:v>WO00008</x:v>
      </x:c>
      <x:c r="D10" t="str">
        <x:v>LOT00008</x:v>
      </x:c>
      <x:c r="E10" t="str">
        <x:v>AFT-003</x:v>
      </x:c>
      <x:c r="F10" t="str">
        <x:v>AUTO-BRK-B</x:v>
      </x:c>
      <x:c r="G10" s="20" t="n">
        <x:v>45228</x:v>
      </x:c>
      <x:c r="H10" s="20" t="n">
        <x:v>45227</x:v>
      </x:c>
      <x:c r="I10" s="20" t="n">
        <x:v>45230</x:v>
      </x:c>
      <x:c r="J10" t="n">
        <x:v>6431</x:v>
      </x:c>
      <x:c r="K10" t="n">
        <x:v>2073.09</x:v>
      </x:c>
      <x:c r="L10" t="str">
        <x:v>空運</x:v>
      </x:c>
      <x:c r="M10" t="n">
        <x:v>2</x:v>
      </x:c>
      <x:c r="N10" t="str">
        <x:v>否</x:v>
      </x:c>
      <x:c r="O10" t="n">
        <x:v>0</x:v>
      </x:c>
      <x:c r="P10"/>
    </x:row>
    <x:row r="11" ht="20" customHeight="1">
      <x:c r="A11" t="str">
        <x:v>SH000010</x:v>
      </x:c>
      <x:c r="B11" t="str">
        <x:v>SO00006-01</x:v>
      </x:c>
      <x:c r="C11" t="str">
        <x:v>WO00011</x:v>
      </x:c>
      <x:c r="D11" t="str">
        <x:v>LOT00011</x:v>
      </x:c>
      <x:c r="E11" t="str">
        <x:v>AUT-010</x:v>
      </x:c>
      <x:c r="F11" t="str">
        <x:v>AUTO-BRK-A</x:v>
      </x:c>
      <x:c r="G11" s="20" t="n">
        <x:v>45218</x:v>
      </x:c>
      <x:c r="H11" s="20" t="n">
        <x:v>45219</x:v>
      </x:c>
      <x:c r="I11" s="20" t="n">
        <x:v>45223</x:v>
      </x:c>
      <x:c r="J11" t="n">
        <x:v>6445</x:v>
      </x:c>
      <x:c r="K11" t="n">
        <x:v>1708.55</x:v>
      </x:c>
      <x:c r="L11" t="str">
        <x:v>空運</x:v>
      </x:c>
      <x:c r="M11" t="n">
        <x:v>5</x:v>
      </x:c>
      <x:c r="N11" t="str">
        <x:v>否</x:v>
      </x:c>
      <x:c r="O11" t="n">
        <x:v>0</x:v>
      </x:c>
      <x:c r="P11"/>
    </x:row>
    <x:row r="12" ht="20" customHeight="1">
      <x:c r="A12" t="str">
        <x:v>SH000011</x:v>
      </x:c>
      <x:c r="B12" t="str">
        <x:v>SO00006-01</x:v>
      </x:c>
      <x:c r="C12" t="str">
        <x:v>WO00010</x:v>
      </x:c>
      <x:c r="D12" t="str">
        <x:v>LOT00010</x:v>
      </x:c>
      <x:c r="E12" t="str">
        <x:v>AUT-010</x:v>
      </x:c>
      <x:c r="F12" t="str">
        <x:v>AUTO-BRK-A</x:v>
      </x:c>
      <x:c r="G12" s="20" t="n">
        <x:v>45218</x:v>
      </x:c>
      <x:c r="H12" s="20" t="n">
        <x:v>45217</x:v>
      </x:c>
      <x:c r="I12" s="20" t="n">
        <x:v>45219</x:v>
      </x:c>
      <x:c r="J12" t="n">
        <x:v>6364</x:v>
      </x:c>
      <x:c r="K12" t="n">
        <x:v>1708.55</x:v>
      </x:c>
      <x:c r="L12" t="str">
        <x:v>海運</x:v>
      </x:c>
      <x:c r="M12" t="n">
        <x:v>1</x:v>
      </x:c>
      <x:c r="N12" t="str">
        <x:v>否</x:v>
      </x:c>
      <x:c r="O12" t="n">
        <x:v>0</x:v>
      </x:c>
      <x:c r="P12"/>
    </x:row>
    <x:row r="13" ht="20" customHeight="1">
      <x:c r="A13" t="str">
        <x:v>SH000012</x:v>
      </x:c>
      <x:c r="B13" t="str">
        <x:v>SO00007-01</x:v>
      </x:c>
      <x:c r="C13" t="str">
        <x:v>WO00013</x:v>
      </x:c>
      <x:c r="D13" t="str">
        <x:v>LOT00013</x:v>
      </x:c>
      <x:c r="E13" t="str">
        <x:v>AUT-002</x:v>
      </x:c>
      <x:c r="F13" t="str">
        <x:v>PM-SUS-A</x:v>
      </x:c>
      <x:c r="G13" s="20" t="n">
        <x:v>45219</x:v>
      </x:c>
      <x:c r="H13" s="20" t="n">
        <x:v>45219</x:v>
      </x:c>
      <x:c r="I13" s="20" t="n">
        <x:v>45222</x:v>
      </x:c>
      <x:c r="J13" t="n">
        <x:v>790</x:v>
      </x:c>
      <x:c r="K13" t="n">
        <x:v>9842.49</x:v>
      </x:c>
      <x:c r="L13" t="str">
        <x:v>海運</x:v>
      </x:c>
      <x:c r="M13" t="n">
        <x:v>3</x:v>
      </x:c>
      <x:c r="N13" t="str">
        <x:v>否</x:v>
      </x:c>
      <x:c r="O13" t="n">
        <x:v>0</x:v>
      </x:c>
      <x:c r="P13"/>
    </x:row>
    <x:row r="14" ht="20" customHeight="1">
      <x:c r="A14" t="str">
        <x:v>SH000013</x:v>
      </x:c>
      <x:c r="B14" t="str">
        <x:v>SO00007-01</x:v>
      </x:c>
      <x:c r="C14" t="str">
        <x:v>WO00012</x:v>
      </x:c>
      <x:c r="D14" t="str">
        <x:v>LOT00012</x:v>
      </x:c>
      <x:c r="E14" t="str">
        <x:v>AUT-002</x:v>
      </x:c>
      <x:c r="F14" t="str">
        <x:v>PM-SUS-A</x:v>
      </x:c>
      <x:c r="G14" s="20" t="n">
        <x:v>45219</x:v>
      </x:c>
      <x:c r="H14" s="20" t="n">
        <x:v>45222</x:v>
      </x:c>
      <x:c r="I14" s="20" t="n">
        <x:v>45225</x:v>
      </x:c>
      <x:c r="J14" t="n">
        <x:v>782</x:v>
      </x:c>
      <x:c r="K14" t="n">
        <x:v>9842.49</x:v>
      </x:c>
      <x:c r="L14" t="str">
        <x:v>空運</x:v>
      </x:c>
      <x:c r="M14" t="n">
        <x:v>6</x:v>
      </x:c>
      <x:c r="N14" t="str">
        <x:v>否</x:v>
      </x:c>
      <x:c r="O14" t="n">
        <x:v>0</x:v>
      </x:c>
      <x:c r="P14"/>
    </x:row>
    <x:row r="15" ht="20" customHeight="1">
      <x:c r="A15" t="str">
        <x:v>SH000014</x:v>
      </x:c>
      <x:c r="B15" t="str">
        <x:v>SO00008-01</x:v>
      </x:c>
      <x:c r="C15" t="str">
        <x:v>WO00014</x:v>
      </x:c>
      <x:c r="D15" t="str">
        <x:v>LOT00014</x:v>
      </x:c>
      <x:c r="E15" t="str">
        <x:v>SEM-010</x:v>
      </x:c>
      <x:c r="F15" t="str">
        <x:v>SEMI-WH-A</x:v>
      </x:c>
      <x:c r="G15" s="20" t="n">
        <x:v>45254</x:v>
      </x:c>
      <x:c r="H15" s="20" t="n">
        <x:v>45257</x:v>
      </x:c>
      <x:c r="I15" s="20" t="n">
        <x:v>45259</x:v>
      </x:c>
      <x:c r="J15" t="n">
        <x:v>59</x:v>
      </x:c>
      <x:c r="K15" t="n">
        <x:v>112412.38</x:v>
      </x:c>
      <x:c r="L15" t="str">
        <x:v>陸運</x:v>
      </x:c>
      <x:c r="M15" t="n">
        <x:v>5</x:v>
      </x:c>
      <x:c r="N15" t="str">
        <x:v>否</x:v>
      </x:c>
      <x:c r="O15" t="n">
        <x:v>0</x:v>
      </x:c>
      <x:c r="P15"/>
    </x:row>
    <x:row r="16" ht="20" customHeight="1">
      <x:c r="A16" t="str">
        <x:v>SH000015</x:v>
      </x:c>
      <x:c r="B16" t="str">
        <x:v>SO00009-01</x:v>
      </x:c>
      <x:c r="C16" t="str">
        <x:v>WO00015</x:v>
      </x:c>
      <x:c r="D16" t="str">
        <x:v>LOT00015</x:v>
      </x:c>
      <x:c r="E16" t="str">
        <x:v>AUT-008</x:v>
      </x:c>
      <x:c r="F16" t="str">
        <x:v>MECH-CON-B</x:v>
      </x:c>
      <x:c r="G16" s="20" t="n">
        <x:v>45233</x:v>
      </x:c>
      <x:c r="H16" s="20" t="n">
        <x:v>45235</x:v>
      </x:c>
      <x:c r="I16" s="20" t="n">
        <x:v>45238</x:v>
      </x:c>
      <x:c r="J16" t="n">
        <x:v>17</x:v>
      </x:c>
      <x:c r="K16" t="n">
        <x:v>149459.42</x:v>
      </x:c>
      <x:c r="L16" t="str">
        <x:v>陸運</x:v>
      </x:c>
      <x:c r="M16" t="n">
        <x:v>5</x:v>
      </x:c>
      <x:c r="N16" t="str">
        <x:v>否</x:v>
      </x:c>
      <x:c r="O16" t="n">
        <x:v>0</x:v>
      </x:c>
      <x:c r="P16"/>
    </x:row>
    <x:row r="17" ht="20" customHeight="1">
      <x:c r="A17" t="str">
        <x:v>SH000016</x:v>
      </x:c>
      <x:c r="B17" t="str">
        <x:v>SO00009-01</x:v>
      </x:c>
      <x:c r="C17" t="str">
        <x:v>WO00017</x:v>
      </x:c>
      <x:c r="D17" t="str">
        <x:v>LOT00017</x:v>
      </x:c>
      <x:c r="E17" t="str">
        <x:v>AUT-008</x:v>
      </x:c>
      <x:c r="F17" t="str">
        <x:v>MECH-CON-B</x:v>
      </x:c>
      <x:c r="G17" s="20" t="n">
        <x:v>45233</x:v>
      </x:c>
      <x:c r="H17" s="20" t="n">
        <x:v>45233</x:v>
      </x:c>
      <x:c r="I17" s="20" t="n">
        <x:v>45237</x:v>
      </x:c>
      <x:c r="J17" t="n">
        <x:v>16</x:v>
      </x:c>
      <x:c r="K17" t="n">
        <x:v>149459.42</x:v>
      </x:c>
      <x:c r="L17" t="str">
        <x:v>陸運</x:v>
      </x:c>
      <x:c r="M17" t="n">
        <x:v>4</x:v>
      </x:c>
      <x:c r="N17" t="str">
        <x:v>否</x:v>
      </x:c>
      <x:c r="O17" t="n">
        <x:v>0</x:v>
      </x:c>
      <x:c r="P17"/>
    </x:row>
    <x:row r="18" ht="20" customHeight="1">
      <x:c r="A18" t="str">
        <x:v>SH000017</x:v>
      </x:c>
      <x:c r="B18" t="str">
        <x:v>SO00009-01</x:v>
      </x:c>
      <x:c r="C18" t="str">
        <x:v>WO00016</x:v>
      </x:c>
      <x:c r="D18" t="str">
        <x:v>LOT00016</x:v>
      </x:c>
      <x:c r="E18" t="str">
        <x:v>AUT-008</x:v>
      </x:c>
      <x:c r="F18" t="str">
        <x:v>MECH-CON-B</x:v>
      </x:c>
      <x:c r="G18" s="20" t="n">
        <x:v>45233</x:v>
      </x:c>
      <x:c r="H18" s="20" t="n">
        <x:v>45237</x:v>
      </x:c>
      <x:c r="I18" s="20" t="n">
        <x:v>45241</x:v>
      </x:c>
      <x:c r="J18" t="n">
        <x:v>17</x:v>
      </x:c>
      <x:c r="K18" t="n">
        <x:v>149459.42</x:v>
      </x:c>
      <x:c r="L18" t="str">
        <x:v>空運</x:v>
      </x:c>
      <x:c r="M18" t="n">
        <x:v>8</x:v>
      </x:c>
      <x:c r="N18" t="str">
        <x:v>否</x:v>
      </x:c>
      <x:c r="O18" t="n">
        <x:v>0</x:v>
      </x:c>
      <x:c r="P18"/>
    </x:row>
    <x:row r="19" ht="20" customHeight="1">
      <x:c r="A19" t="str">
        <x:v>SH000018</x:v>
      </x:c>
      <x:c r="B19" t="str">
        <x:v>SO00010-01</x:v>
      </x:c>
      <x:c r="C19" t="str">
        <x:v>WO00018</x:v>
      </x:c>
      <x:c r="D19" t="str">
        <x:v>LOT00018</x:v>
      </x:c>
      <x:c r="E19" t="str">
        <x:v>EMS-004</x:v>
      </x:c>
      <x:c r="F19" t="str">
        <x:v>AUTO-BS-B</x:v>
      </x:c>
      <x:c r="G19" s="20" t="n">
        <x:v>45205</x:v>
      </x:c>
      <x:c r="H19" s="20" t="n">
        <x:v>45199</x:v>
      </x:c>
      <x:c r="I19" s="20" t="n">
        <x:v>45203</x:v>
      </x:c>
      <x:c r="J19" t="n">
        <x:v>4925</x:v>
      </x:c>
      <x:c r="K19" t="n">
        <x:v>858.81</x:v>
      </x:c>
      <x:c r="L19" t="str">
        <x:v>空運</x:v>
      </x:c>
      <x:c r="M19" t="n">
        <x:v>0</x:v>
      </x:c>
      <x:c r="N19" t="str">
        <x:v>是</x:v>
      </x:c>
      <x:c r="O19" t="n">
        <x:v>0</x:v>
      </x:c>
      <x:c r="P19"/>
    </x:row>
    <x:row r="20" ht="20" customHeight="1">
      <x:c r="A20" t="str">
        <x:v>SH000019</x:v>
      </x:c>
      <x:c r="B20" t="str">
        <x:v>SO00011-01</x:v>
      </x:c>
      <x:c r="C20" t="str">
        <x:v>WO00019</x:v>
      </x:c>
      <x:c r="D20" t="str">
        <x:v>LOT00019</x:v>
      </x:c>
      <x:c r="E20" t="str">
        <x:v>IAT-005</x:v>
      </x:c>
      <x:c r="F20" t="str">
        <x:v>MECH-STG-A</x:v>
      </x:c>
      <x:c r="G20" s="20" t="n">
        <x:v>45221</x:v>
      </x:c>
      <x:c r="H20" s="20" t="n">
        <x:v>45221</x:v>
      </x:c>
      <x:c r="I20" s="20" t="n">
        <x:v>45222</x:v>
      </x:c>
      <x:c r="J20" t="n">
        <x:v>17</x:v>
      </x:c>
      <x:c r="K20" t="n">
        <x:v>132303.19</x:v>
      </x:c>
      <x:c r="L20" t="str">
        <x:v>海運</x:v>
      </x:c>
      <x:c r="M20" t="n">
        <x:v>1</x:v>
      </x:c>
      <x:c r="N20" t="str">
        <x:v>否</x:v>
      </x:c>
      <x:c r="O20" t="n">
        <x:v>0</x:v>
      </x:c>
      <x:c r="P20"/>
    </x:row>
    <x:row r="21" ht="20" customHeight="1">
      <x:c r="A21" t="str">
        <x:v>SH000020</x:v>
      </x:c>
      <x:c r="B21" t="str">
        <x:v>SO00011-01</x:v>
      </x:c>
      <x:c r="C21" t="str">
        <x:v>WO00020</x:v>
      </x:c>
      <x:c r="D21" t="str">
        <x:v>LOT00020</x:v>
      </x:c>
      <x:c r="E21" t="str">
        <x:v>IAT-005</x:v>
      </x:c>
      <x:c r="F21" t="str">
        <x:v>MECH-STG-A</x:v>
      </x:c>
      <x:c r="G21" s="20" t="n">
        <x:v>45221</x:v>
      </x:c>
      <x:c r="H21" s="20" t="n">
        <x:v>45224</x:v>
      </x:c>
      <x:c r="I21" s="20" t="n">
        <x:v>45227</x:v>
      </x:c>
      <x:c r="J21" t="n">
        <x:v>17</x:v>
      </x:c>
      <x:c r="K21" t="n">
        <x:v>132303.19</x:v>
      </x:c>
      <x:c r="L21" t="str">
        <x:v>空運</x:v>
      </x:c>
      <x:c r="M21" t="n">
        <x:v>6</x:v>
      </x:c>
      <x:c r="N21" t="str">
        <x:v>否</x:v>
      </x:c>
      <x:c r="O21" t="n">
        <x:v>0</x:v>
      </x:c>
      <x:c r="P21"/>
    </x:row>
    <x:row r="22" ht="20" customHeight="1">
      <x:c r="A22" t="str">
        <x:v>SH000021</x:v>
      </x:c>
      <x:c r="B22" t="str">
        <x:v>SO00011-01</x:v>
      </x:c>
      <x:c r="C22" t="str">
        <x:v>WO00021</x:v>
      </x:c>
      <x:c r="D22" t="str">
        <x:v>LOT00021</x:v>
      </x:c>
      <x:c r="E22" t="str">
        <x:v>IAT-005</x:v>
      </x:c>
      <x:c r="F22" t="str">
        <x:v>MECH-STG-A</x:v>
      </x:c>
      <x:c r="G22" s="20" t="n">
        <x:v>45221</x:v>
      </x:c>
      <x:c r="H22" s="20" t="n">
        <x:v>45224</x:v>
      </x:c>
      <x:c r="I22" s="20" t="n">
        <x:v>45226</x:v>
      </x:c>
      <x:c r="J22" t="n">
        <x:v>16</x:v>
      </x:c>
      <x:c r="K22" t="n">
        <x:v>132303.19</x:v>
      </x:c>
      <x:c r="L22" t="str">
        <x:v>海運</x:v>
      </x:c>
      <x:c r="M22" t="n">
        <x:v>5</x:v>
      </x:c>
      <x:c r="N22" t="str">
        <x:v>否</x:v>
      </x:c>
      <x:c r="O22" t="n">
        <x:v>0</x:v>
      </x:c>
      <x:c r="P22"/>
    </x:row>
    <x:row r="23" ht="20" customHeight="1">
      <x:c r="A23" t="str">
        <x:v>SH000022</x:v>
      </x:c>
      <x:c r="B23" t="str">
        <x:v>SO00012-01</x:v>
      </x:c>
      <x:c r="C23" t="str">
        <x:v>WO00022</x:v>
      </x:c>
      <x:c r="D23" t="str">
        <x:v>LOT00022</x:v>
      </x:c>
      <x:c r="E23" t="str">
        <x:v>SEM-005</x:v>
      </x:c>
      <x:c r="F23" t="str">
        <x:v>SEMI-WH-A</x:v>
      </x:c>
      <x:c r="G23" s="20" t="n">
        <x:v>45248</x:v>
      </x:c>
      <x:c r="H23" s="20" t="n">
        <x:v>45246</x:v>
      </x:c>
      <x:c r="I23" s="20" t="n">
        <x:v>45248</x:v>
      </x:c>
      <x:c r="J23" t="n">
        <x:v>78</x:v>
      </x:c>
      <x:c r="K23" t="n">
        <x:v>104531.43</x:v>
      </x:c>
      <x:c r="L23" t="str">
        <x:v>陸運</x:v>
      </x:c>
      <x:c r="M23" t="n">
        <x:v>0</x:v>
      </x:c>
      <x:c r="N23" t="str">
        <x:v>是</x:v>
      </x:c>
      <x:c r="O23" t="n">
        <x:v>0</x:v>
      </x:c>
      <x:c r="P23"/>
    </x:row>
    <x:row r="24" ht="20" customHeight="1">
      <x:c r="A24" t="str">
        <x:v>SH000023</x:v>
      </x:c>
      <x:c r="B24" t="str">
        <x:v>SO00013-01</x:v>
      </x:c>
      <x:c r="C24" t="str">
        <x:v>WO00023</x:v>
      </x:c>
      <x:c r="D24" t="str">
        <x:v>LOT00023</x:v>
      </x:c>
      <x:c r="E24" t="str">
        <x:v>IAT-001</x:v>
      </x:c>
      <x:c r="F24" t="str">
        <x:v>MECH-CON-A</x:v>
      </x:c>
      <x:c r="G24" s="20" t="n">
        <x:v>45214</x:v>
      </x:c>
      <x:c r="H24" s="20" t="n">
        <x:v>45212</x:v>
      </x:c>
      <x:c r="I24" s="20" t="n">
        <x:v>45214</x:v>
      </x:c>
      <x:c r="J24" t="n">
        <x:v>20</x:v>
      </x:c>
      <x:c r="K24" t="n">
        <x:v>112750.58</x:v>
      </x:c>
      <x:c r="L24" t="str">
        <x:v>空運</x:v>
      </x:c>
      <x:c r="M24" t="n">
        <x:v>0</x:v>
      </x:c>
      <x:c r="N24" t="str">
        <x:v>是</x:v>
      </x:c>
      <x:c r="O24" t="n">
        <x:v>0</x:v>
      </x:c>
      <x:c r="P24"/>
    </x:row>
    <x:row r="25" ht="20" customHeight="1">
      <x:c r="A25" t="str">
        <x:v>SH000024</x:v>
      </x:c>
      <x:c r="B25" t="str">
        <x:v>SO00014-01</x:v>
      </x:c>
      <x:c r="C25" t="str">
        <x:v>WO00024</x:v>
      </x:c>
      <x:c r="D25" t="str">
        <x:v>LOT00024</x:v>
      </x:c>
      <x:c r="E25" t="str">
        <x:v>IAT-002</x:v>
      </x:c>
      <x:c r="F25" t="str">
        <x:v>AUTO-BS-B</x:v>
      </x:c>
      <x:c r="G25" s="20" t="n">
        <x:v>45211</x:v>
      </x:c>
      <x:c r="H25" s="20" t="n">
        <x:v>45210</x:v>
      </x:c>
      <x:c r="I25" s="20" t="n">
        <x:v>45211</x:v>
      </x:c>
      <x:c r="J25" t="n">
        <x:v>2984</x:v>
      </x:c>
      <x:c r="K25" t="n">
        <x:v>933.45</x:v>
      </x:c>
      <x:c r="L25" t="str">
        <x:v>空運</x:v>
      </x:c>
      <x:c r="M25" t="n">
        <x:v>0</x:v>
      </x:c>
      <x:c r="N25" t="str">
        <x:v>是</x:v>
      </x:c>
      <x:c r="O25" t="n">
        <x:v>0</x:v>
      </x:c>
      <x:c r="P25"/>
    </x:row>
    <x:row r="26" ht="20" customHeight="1">
      <x:c r="A26" t="str">
        <x:v>SH000025</x:v>
      </x:c>
      <x:c r="B26" t="str">
        <x:v>SO00015-01</x:v>
      </x:c>
      <x:c r="C26" t="str">
        <x:v>WO00026</x:v>
      </x:c>
      <x:c r="D26" t="str">
        <x:v>LOT00026</x:v>
      </x:c>
      <x:c r="E26" t="str">
        <x:v>AUT-011</x:v>
      </x:c>
      <x:c r="F26" t="str">
        <x:v>PM-VAC-B</x:v>
      </x:c>
      <x:c r="G26" s="20" t="n">
        <x:v>45231</x:v>
      </x:c>
      <x:c r="H26" s="20" t="n">
        <x:v>45231</x:v>
      </x:c>
      <x:c r="I26" s="20" t="n">
        <x:v>45234</x:v>
      </x:c>
      <x:c r="J26" t="n">
        <x:v>587</x:v>
      </x:c>
      <x:c r="K26" t="n">
        <x:v>22971.76</x:v>
      </x:c>
      <x:c r="L26" t="str">
        <x:v>陸運</x:v>
      </x:c>
      <x:c r="M26" t="n">
        <x:v>3</x:v>
      </x:c>
      <x:c r="N26" t="str">
        <x:v>否</x:v>
      </x:c>
      <x:c r="O26" t="n">
        <x:v>0</x:v>
      </x:c>
      <x:c r="P26"/>
    </x:row>
    <x:row r="27" ht="20" customHeight="1">
      <x:c r="A27" t="str">
        <x:v>SH000026</x:v>
      </x:c>
      <x:c r="B27" t="str">
        <x:v>SO00015-01</x:v>
      </x:c>
      <x:c r="C27" t="str">
        <x:v>WO00025</x:v>
      </x:c>
      <x:c r="D27" t="str">
        <x:v>LOT00025</x:v>
      </x:c>
      <x:c r="E27" t="str">
        <x:v>AUT-011</x:v>
      </x:c>
      <x:c r="F27" t="str">
        <x:v>PM-VAC-B</x:v>
      </x:c>
      <x:c r="G27" s="20" t="n">
        <x:v>45231</x:v>
      </x:c>
      <x:c r="H27" s="20" t="n">
        <x:v>45231</x:v>
      </x:c>
      <x:c r="I27" s="20" t="n">
        <x:v>45232</x:v>
      </x:c>
      <x:c r="J27" t="n">
        <x:v>587</x:v>
      </x:c>
      <x:c r="K27" t="n">
        <x:v>22971.76</x:v>
      </x:c>
      <x:c r="L27" t="str">
        <x:v>陸運</x:v>
      </x:c>
      <x:c r="M27" t="n">
        <x:v>1</x:v>
      </x:c>
      <x:c r="N27" t="str">
        <x:v>否</x:v>
      </x:c>
      <x:c r="O27" t="n">
        <x:v>0</x:v>
      </x:c>
      <x:c r="P27"/>
    </x:row>
    <x:row r="28" ht="20" customHeight="1">
      <x:c r="A28" t="str">
        <x:v>SH000027</x:v>
      </x:c>
      <x:c r="B28" t="str">
        <x:v>SO00016-01</x:v>
      </x:c>
      <x:c r="C28" t="str">
        <x:v>WO00027</x:v>
      </x:c>
      <x:c r="D28" t="str">
        <x:v>LOT00027</x:v>
      </x:c>
      <x:c r="E28" t="str">
        <x:v>SEM-010</x:v>
      </x:c>
      <x:c r="F28" t="str">
        <x:v>SEMI-WH-A</x:v>
      </x:c>
      <x:c r="G28" s="20" t="n">
        <x:v>45240</x:v>
      </x:c>
      <x:c r="H28" s="20" t="n">
        <x:v>45238</x:v>
      </x:c>
      <x:c r="I28" s="20" t="n">
        <x:v>45241</x:v>
      </x:c>
      <x:c r="J28" t="n">
        <x:v>58</x:v>
      </x:c>
      <x:c r="K28" t="n">
        <x:v>111719.12</x:v>
      </x:c>
      <x:c r="L28" t="str">
        <x:v>陸運</x:v>
      </x:c>
      <x:c r="M28" t="n">
        <x:v>1</x:v>
      </x:c>
      <x:c r="N28" t="str">
        <x:v>否</x:v>
      </x:c>
      <x:c r="O28" t="n">
        <x:v>0</x:v>
      </x:c>
      <x:c r="P28"/>
    </x:row>
    <x:row r="29" ht="20" customHeight="1">
      <x:c r="A29" t="str">
        <x:v>SH000028</x:v>
      </x:c>
      <x:c r="B29" t="str">
        <x:v>SO00017-01</x:v>
      </x:c>
      <x:c r="C29" t="str">
        <x:v>WO00028</x:v>
      </x:c>
      <x:c r="D29" t="str">
        <x:v>LOT00028</x:v>
      </x:c>
      <x:c r="E29" t="str">
        <x:v>AUT-001</x:v>
      </x:c>
      <x:c r="F29" t="str">
        <x:v>AUTO-BRK-A</x:v>
      </x:c>
      <x:c r="G29" s="20" t="n">
        <x:v>45223</x:v>
      </x:c>
      <x:c r="H29" s="20" t="n">
        <x:v>45230</x:v>
      </x:c>
      <x:c r="I29" s="20" t="n">
        <x:v>45234</x:v>
      </x:c>
      <x:c r="J29" t="n">
        <x:v>6883</x:v>
      </x:c>
      <x:c r="K29" t="n">
        <x:v>1708.82</x:v>
      </x:c>
      <x:c r="L29" t="str">
        <x:v>海運</x:v>
      </x:c>
      <x:c r="M29" t="n">
        <x:v>11</x:v>
      </x:c>
      <x:c r="N29" t="str">
        <x:v>否</x:v>
      </x:c>
      <x:c r="O29" t="n">
        <x:v>0</x:v>
      </x:c>
      <x:c r="P29"/>
    </x:row>
    <x:row r="30" ht="20" customHeight="1">
      <x:c r="A30" t="str">
        <x:v>SH000029</x:v>
      </x:c>
      <x:c r="B30" t="str">
        <x:v>SO00018-01</x:v>
      </x:c>
      <x:c r="C30" t="str">
        <x:v>WO00029</x:v>
      </x:c>
      <x:c r="D30" t="str">
        <x:v>LOT00029</x:v>
      </x:c>
      <x:c r="E30" t="str">
        <x:v>SEM-006</x:v>
      </x:c>
      <x:c r="F30" t="str">
        <x:v>SEMI-WH-A</x:v>
      </x:c>
      <x:c r="G30" s="20" t="n">
        <x:v>45226</x:v>
      </x:c>
      <x:c r="H30" s="20" t="n">
        <x:v>45221</x:v>
      </x:c>
      <x:c r="I30" s="20" t="n">
        <x:v>45222</x:v>
      </x:c>
      <x:c r="J30" t="n">
        <x:v>78</x:v>
      </x:c>
      <x:c r="K30" t="n">
        <x:v>111665.75</x:v>
      </x:c>
      <x:c r="L30" t="str">
        <x:v>空運</x:v>
      </x:c>
      <x:c r="M30" t="n">
        <x:v>0</x:v>
      </x:c>
      <x:c r="N30" t="str">
        <x:v>是</x:v>
      </x:c>
      <x:c r="O30" t="n">
        <x:v>0</x:v>
      </x:c>
      <x:c r="P30"/>
    </x:row>
    <x:row r="31" ht="20" customHeight="1">
      <x:c r="A31" t="str">
        <x:v>SH000030</x:v>
      </x:c>
      <x:c r="B31" t="str">
        <x:v>SO00018-01</x:v>
      </x:c>
      <x:c r="C31" t="str">
        <x:v>WO00030</x:v>
      </x:c>
      <x:c r="D31" t="str">
        <x:v>LOT00030</x:v>
      </x:c>
      <x:c r="E31" t="str">
        <x:v>SEM-006</x:v>
      </x:c>
      <x:c r="F31" t="str">
        <x:v>SEMI-WH-A</x:v>
      </x:c>
      <x:c r="G31" s="20" t="n">
        <x:v>45226</x:v>
      </x:c>
      <x:c r="H31" s="20" t="n">
        <x:v>45229</x:v>
      </x:c>
      <x:c r="I31" s="20" t="n">
        <x:v>45231</x:v>
      </x:c>
      <x:c r="J31" t="n">
        <x:v>78</x:v>
      </x:c>
      <x:c r="K31" t="n">
        <x:v>111665.75</x:v>
      </x:c>
      <x:c r="L31" t="str">
        <x:v>海運</x:v>
      </x:c>
      <x:c r="M31" t="n">
        <x:v>5</x:v>
      </x:c>
      <x:c r="N31" t="str">
        <x:v>否</x:v>
      </x:c>
      <x:c r="O31" t="n">
        <x:v>0</x:v>
      </x:c>
      <x:c r="P31"/>
    </x:row>
    <x:row r="32" ht="20" customHeight="1">
      <x:c r="A32" t="str">
        <x:v>SH000031</x:v>
      </x:c>
      <x:c r="B32" t="str">
        <x:v>SO00019-01</x:v>
      </x:c>
      <x:c r="C32" t="str">
        <x:v>WO00031</x:v>
      </x:c>
      <x:c r="D32" t="str">
        <x:v>LOT00031</x:v>
      </x:c>
      <x:c r="E32" t="str">
        <x:v>IAT-002</x:v>
      </x:c>
      <x:c r="F32" t="str">
        <x:v>AUTO-KN-B</x:v>
      </x:c>
      <x:c r="G32" s="20" t="n">
        <x:v>45219</x:v>
      </x:c>
      <x:c r="H32" s="20" t="n">
        <x:v>45216</x:v>
      </x:c>
      <x:c r="I32" s="20" t="n">
        <x:v>45221</x:v>
      </x:c>
      <x:c r="J32" t="n">
        <x:v>6984</x:v>
      </x:c>
      <x:c r="K32" t="n">
        <x:v>3796.49</x:v>
      </x:c>
      <x:c r="L32" t="str">
        <x:v>空運</x:v>
      </x:c>
      <x:c r="M32" t="n">
        <x:v>2</x:v>
      </x:c>
      <x:c r="N32" t="str">
        <x:v>否</x:v>
      </x:c>
      <x:c r="O32" t="n">
        <x:v>0</x:v>
      </x:c>
      <x:c r="P32"/>
    </x:row>
    <x:row r="33" ht="20" customHeight="1">
      <x:c r="A33" t="str">
        <x:v>SH000032</x:v>
      </x:c>
      <x:c r="B33" t="str">
        <x:v>SO00020-01</x:v>
      </x:c>
      <x:c r="C33" t="str">
        <x:v>WO00032</x:v>
      </x:c>
      <x:c r="D33" t="str">
        <x:v>LOT00032</x:v>
      </x:c>
      <x:c r="E33" t="str">
        <x:v>AFT-005</x:v>
      </x:c>
      <x:c r="F33" t="str">
        <x:v>AUTO-KN-A</x:v>
      </x:c>
      <x:c r="G33" s="20" t="n">
        <x:v>45257</x:v>
      </x:c>
      <x:c r="H33" s="20" t="n">
        <x:v>45254</x:v>
      </x:c>
      <x:c r="I33" s="20" t="n">
        <x:v>45257</x:v>
      </x:c>
      <x:c r="J33" t="n">
        <x:v>4920</x:v>
      </x:c>
      <x:c r="K33" t="n">
        <x:v>3193.89</x:v>
      </x:c>
      <x:c r="L33" t="str">
        <x:v>海運</x:v>
      </x:c>
      <x:c r="M33" t="n">
        <x:v>0</x:v>
      </x:c>
      <x:c r="N33" t="str">
        <x:v>是</x:v>
      </x:c>
      <x:c r="O33" t="n">
        <x:v>0</x:v>
      </x:c>
      <x:c r="P33"/>
    </x:row>
    <x:row r="34" ht="20" customHeight="1">
      <x:c r="A34" t="str">
        <x:v>SH000033</x:v>
      </x:c>
      <x:c r="B34" t="str">
        <x:v>SO00020-01</x:v>
      </x:c>
      <x:c r="C34" t="str">
        <x:v>WO00033</x:v>
      </x:c>
      <x:c r="D34" t="str">
        <x:v>LOT00033</x:v>
      </x:c>
      <x:c r="E34" t="str">
        <x:v>AFT-005</x:v>
      </x:c>
      <x:c r="F34" t="str">
        <x:v>AUTO-KN-A</x:v>
      </x:c>
      <x:c r="G34" s="20" t="n">
        <x:v>45257</x:v>
      </x:c>
      <x:c r="H34" s="20" t="n">
        <x:v>45262</x:v>
      </x:c>
      <x:c r="I34" s="20" t="n">
        <x:v>45263</x:v>
      </x:c>
      <x:c r="J34" t="n">
        <x:v>4947</x:v>
      </x:c>
      <x:c r="K34" t="n">
        <x:v>3193.89</x:v>
      </x:c>
      <x:c r="L34" t="str">
        <x:v>海運</x:v>
      </x:c>
      <x:c r="M34" t="n">
        <x:v>6</x:v>
      </x:c>
      <x:c r="N34" t="str">
        <x:v>否</x:v>
      </x:c>
      <x:c r="O34" t="n">
        <x:v>0</x:v>
      </x:c>
      <x:c r="P34"/>
    </x:row>
    <x:row r="35" ht="20" customHeight="1">
      <x:c r="A35" t="str">
        <x:v>SH000034</x:v>
      </x:c>
      <x:c r="B35" t="str">
        <x:v>SO00021-01</x:v>
      </x:c>
      <x:c r="C35" t="str">
        <x:v>WO00034</x:v>
      </x:c>
      <x:c r="D35" t="str">
        <x:v>LOT00034</x:v>
      </x:c>
      <x:c r="E35" t="str">
        <x:v>EMS-006</x:v>
      </x:c>
      <x:c r="F35" t="str">
        <x:v>AUTO-FL-B</x:v>
      </x:c>
      <x:c r="G35" s="20" t="n">
        <x:v>45243</x:v>
      </x:c>
      <x:c r="H35" s="20" t="n">
        <x:v>45242</x:v>
      </x:c>
      <x:c r="I35" s="20" t="n">
        <x:v>45244</x:v>
      </x:c>
      <x:c r="J35" t="n">
        <x:v>4945</x:v>
      </x:c>
      <x:c r="K35" t="n">
        <x:v>1498.24</x:v>
      </x:c>
      <x:c r="L35" t="str">
        <x:v>海運</x:v>
      </x:c>
      <x:c r="M35" t="n">
        <x:v>1</x:v>
      </x:c>
      <x:c r="N35" t="str">
        <x:v>否</x:v>
      </x:c>
      <x:c r="O35" t="n">
        <x:v>0</x:v>
      </x:c>
      <x:c r="P35"/>
    </x:row>
    <x:row r="36" ht="20" customHeight="1">
      <x:c r="A36" t="str">
        <x:v>SH000035</x:v>
      </x:c>
      <x:c r="B36" t="str">
        <x:v>SO00022-01</x:v>
      </x:c>
      <x:c r="C36" t="str">
        <x:v>WO00035</x:v>
      </x:c>
      <x:c r="D36" t="str">
        <x:v>LOT00035</x:v>
      </x:c>
      <x:c r="E36" t="str">
        <x:v>EMS-003</x:v>
      </x:c>
      <x:c r="F36" t="str">
        <x:v>PM-VAC-A</x:v>
      </x:c>
      <x:c r="G36" s="20" t="n">
        <x:v>45267</x:v>
      </x:c>
      <x:c r="H36" s="20" t="n">
        <x:v>45263</x:v>
      </x:c>
      <x:c r="I36" s="20" t="n">
        <x:v>45264</x:v>
      </x:c>
      <x:c r="J36" t="n">
        <x:v>593</x:v>
      </x:c>
      <x:c r="K36" t="n">
        <x:v>16440.77</x:v>
      </x:c>
      <x:c r="L36" t="str">
        <x:v>海運</x:v>
      </x:c>
      <x:c r="M36" t="n">
        <x:v>0</x:v>
      </x:c>
      <x:c r="N36" t="str">
        <x:v>是</x:v>
      </x:c>
      <x:c r="O36" t="n">
        <x:v>0</x:v>
      </x:c>
      <x:c r="P36"/>
    </x:row>
    <x:row r="37" ht="20" customHeight="1">
      <x:c r="A37" t="str">
        <x:v>SH000036</x:v>
      </x:c>
      <x:c r="B37" t="str">
        <x:v>SO00022-01</x:v>
      </x:c>
      <x:c r="C37" t="str">
        <x:v>WO00036</x:v>
      </x:c>
      <x:c r="D37" t="str">
        <x:v>LOT00036</x:v>
      </x:c>
      <x:c r="E37" t="str">
        <x:v>EMS-003</x:v>
      </x:c>
      <x:c r="F37" t="str">
        <x:v>PM-VAC-A</x:v>
      </x:c>
      <x:c r="G37" s="20" t="n">
        <x:v>45267</x:v>
      </x:c>
      <x:c r="H37" s="20" t="n">
        <x:v>45267</x:v>
      </x:c>
      <x:c r="I37" s="20" t="n">
        <x:v>45271</x:v>
      </x:c>
      <x:c r="J37" t="n">
        <x:v>595</x:v>
      </x:c>
      <x:c r="K37" t="n">
        <x:v>16440.77</x:v>
      </x:c>
      <x:c r="L37" t="str">
        <x:v>空運</x:v>
      </x:c>
      <x:c r="M37" t="n">
        <x:v>4</x:v>
      </x:c>
      <x:c r="N37" t="str">
        <x:v>否</x:v>
      </x:c>
      <x:c r="O37" t="n">
        <x:v>0</x:v>
      </x:c>
      <x:c r="P37"/>
    </x:row>
    <x:row r="38" ht="20" customHeight="1">
      <x:c r="A38" t="str">
        <x:v>SH000037</x:v>
      </x:c>
      <x:c r="B38" t="str">
        <x:v>SO00023-01</x:v>
      </x:c>
      <x:c r="C38" t="str">
        <x:v>WO00037</x:v>
      </x:c>
      <x:c r="D38" t="str">
        <x:v>LOT00037</x:v>
      </x:c>
      <x:c r="E38" t="str">
        <x:v>IAT-010</x:v>
      </x:c>
      <x:c r="F38" t="str">
        <x:v>MECH-STG-A</x:v>
      </x:c>
      <x:c r="G38" s="20" t="n">
        <x:v>45274</x:v>
      </x:c>
      <x:c r="H38" s="20" t="n">
        <x:v>45271</x:v>
      </x:c>
      <x:c r="I38" s="20" t="n">
        <x:v>45272</x:v>
      </x:c>
      <x:c r="J38" t="n">
        <x:v>17</x:v>
      </x:c>
      <x:c r="K38" t="n">
        <x:v>142539.02</x:v>
      </x:c>
      <x:c r="L38" t="str">
        <x:v>海運</x:v>
      </x:c>
      <x:c r="M38" t="n">
        <x:v>0</x:v>
      </x:c>
      <x:c r="N38" t="str">
        <x:v>是</x:v>
      </x:c>
      <x:c r="O38" t="n">
        <x:v>0</x:v>
      </x:c>
      <x:c r="P38"/>
    </x:row>
    <x:row r="39" ht="20" customHeight="1">
      <x:c r="A39" t="str">
        <x:v>SH000038</x:v>
      </x:c>
      <x:c r="B39" t="str">
        <x:v>SO00023-01</x:v>
      </x:c>
      <x:c r="C39" t="str">
        <x:v>WO00039</x:v>
      </x:c>
      <x:c r="D39" t="str">
        <x:v>LOT00039</x:v>
      </x:c>
      <x:c r="E39" t="str">
        <x:v>IAT-010</x:v>
      </x:c>
      <x:c r="F39" t="str">
        <x:v>MECH-STG-A</x:v>
      </x:c>
      <x:c r="G39" s="20" t="n">
        <x:v>45274</x:v>
      </x:c>
      <x:c r="H39" s="20" t="n">
        <x:v>45270</x:v>
      </x:c>
      <x:c r="I39" s="20" t="n">
        <x:v>45275</x:v>
      </x:c>
      <x:c r="J39" t="n">
        <x:v>16</x:v>
      </x:c>
      <x:c r="K39" t="n">
        <x:v>142539.02</x:v>
      </x:c>
      <x:c r="L39" t="str">
        <x:v>海運</x:v>
      </x:c>
      <x:c r="M39" t="n">
        <x:v>1</x:v>
      </x:c>
      <x:c r="N39" t="str">
        <x:v>否</x:v>
      </x:c>
      <x:c r="O39" t="n">
        <x:v>0</x:v>
      </x:c>
      <x:c r="P39"/>
    </x:row>
    <x:row r="40" ht="20" customHeight="1">
      <x:c r="A40" t="str">
        <x:v>SH000039</x:v>
      </x:c>
      <x:c r="B40" t="str">
        <x:v>SO00023-01</x:v>
      </x:c>
      <x:c r="C40" t="str">
        <x:v>WO00038</x:v>
      </x:c>
      <x:c r="D40" t="str">
        <x:v>LOT00038</x:v>
      </x:c>
      <x:c r="E40" t="str">
        <x:v>IAT-010</x:v>
      </x:c>
      <x:c r="F40" t="str">
        <x:v>MECH-STG-A</x:v>
      </x:c>
      <x:c r="G40" s="20" t="n">
        <x:v>45274</x:v>
      </x:c>
      <x:c r="H40" s="20" t="n">
        <x:v>45274</x:v>
      </x:c>
      <x:c r="I40" s="20" t="n">
        <x:v>45275</x:v>
      </x:c>
      <x:c r="J40" t="n">
        <x:v>17</x:v>
      </x:c>
      <x:c r="K40" t="n">
        <x:v>142539.02</x:v>
      </x:c>
      <x:c r="L40" t="str">
        <x:v>空運</x:v>
      </x:c>
      <x:c r="M40" t="n">
        <x:v>1</x:v>
      </x:c>
      <x:c r="N40" t="str">
        <x:v>否</x:v>
      </x:c>
      <x:c r="O40" t="n">
        <x:v>0</x:v>
      </x:c>
      <x:c r="P40"/>
    </x:row>
    <x:row r="41" ht="20" customHeight="1">
      <x:c r="A41" t="str">
        <x:v>SH000040</x:v>
      </x:c>
      <x:c r="B41" t="str">
        <x:v>SO00024-01</x:v>
      </x:c>
      <x:c r="C41" t="str">
        <x:v>WO00040</x:v>
      </x:c>
      <x:c r="D41" t="str">
        <x:v>LOT00040</x:v>
      </x:c>
      <x:c r="E41" t="str">
        <x:v>EMS-004</x:v>
      </x:c>
      <x:c r="F41" t="str">
        <x:v>AUTO-MH-B</x:v>
      </x:c>
      <x:c r="G41" s="20" t="n">
        <x:v>45258</x:v>
      </x:c>
      <x:c r="H41" s="20" t="n">
        <x:v>45254</x:v>
      </x:c>
      <x:c r="I41" s="20" t="n">
        <x:v>45256</x:v>
      </x:c>
      <x:c r="J41" t="n">
        <x:v>6398</x:v>
      </x:c>
      <x:c r="K41" t="n">
        <x:v>3159.14</x:v>
      </x:c>
      <x:c r="L41" t="str">
        <x:v>陸運</x:v>
      </x:c>
      <x:c r="M41" t="n">
        <x:v>0</x:v>
      </x:c>
      <x:c r="N41" t="str">
        <x:v>是</x:v>
      </x:c>
      <x:c r="O41" t="n">
        <x:v>0</x:v>
      </x:c>
      <x:c r="P41"/>
    </x:row>
    <x:row r="42" ht="20" customHeight="1">
      <x:c r="A42" t="str">
        <x:v>SH000041</x:v>
      </x:c>
      <x:c r="B42" t="str">
        <x:v>SO00024-01</x:v>
      </x:c>
      <x:c r="C42" t="str">
        <x:v>WO00041</x:v>
      </x:c>
      <x:c r="D42" t="str">
        <x:v>LOT00041</x:v>
      </x:c>
      <x:c r="E42" t="str">
        <x:v>EMS-004</x:v>
      </x:c>
      <x:c r="F42" t="str">
        <x:v>AUTO-MH-B</x:v>
      </x:c>
      <x:c r="G42" s="20" t="n">
        <x:v>45258</x:v>
      </x:c>
      <x:c r="H42" s="20" t="n">
        <x:v>45255</x:v>
      </x:c>
      <x:c r="I42" s="20" t="n">
        <x:v>45259</x:v>
      </x:c>
      <x:c r="J42" t="n">
        <x:v>6439</x:v>
      </x:c>
      <x:c r="K42" t="n">
        <x:v>3159.14</x:v>
      </x:c>
      <x:c r="L42" t="str">
        <x:v>海運</x:v>
      </x:c>
      <x:c r="M42" t="n">
        <x:v>1</x:v>
      </x:c>
      <x:c r="N42" t="str">
        <x:v>否</x:v>
      </x:c>
      <x:c r="O42" t="n">
        <x:v>0</x:v>
      </x:c>
      <x:c r="P42"/>
    </x:row>
    <x:row r="43" ht="20" customHeight="1">
      <x:c r="A43" t="str">
        <x:v>SH000042</x:v>
      </x:c>
      <x:c r="B43" t="str">
        <x:v>SO00025-01</x:v>
      </x:c>
      <x:c r="C43" t="str">
        <x:v>WO00042</x:v>
      </x:c>
      <x:c r="D43" t="str">
        <x:v>LOT00042</x:v>
      </x:c>
      <x:c r="E43" t="str">
        <x:v>EMS-005</x:v>
      </x:c>
      <x:c r="F43" t="str">
        <x:v>PM-VAC-B</x:v>
      </x:c>
      <x:c r="G43" s="20" t="n">
        <x:v>45273</x:v>
      </x:c>
      <x:c r="H43" s="20" t="n">
        <x:v>45271</x:v>
      </x:c>
      <x:c r="I43" s="20" t="n">
        <x:v>45274</x:v>
      </x:c>
      <x:c r="J43" t="n">
        <x:v>486</x:v>
      </x:c>
      <x:c r="K43" t="n">
        <x:v>22951.12</x:v>
      </x:c>
      <x:c r="L43" t="str">
        <x:v>海運</x:v>
      </x:c>
      <x:c r="M43" t="n">
        <x:v>1</x:v>
      </x:c>
      <x:c r="N43" t="str">
        <x:v>否</x:v>
      </x:c>
      <x:c r="O43" t="n">
        <x:v>0</x:v>
      </x:c>
      <x:c r="P43"/>
    </x:row>
    <x:row r="44" ht="20" customHeight="1">
      <x:c r="A44" t="str">
        <x:v>SH000043</x:v>
      </x:c>
      <x:c r="B44" t="str">
        <x:v>SO00026-01</x:v>
      </x:c>
      <x:c r="C44" t="str">
        <x:v>WO00043</x:v>
      </x:c>
      <x:c r="D44" t="str">
        <x:v>LOT00043</x:v>
      </x:c>
      <x:c r="E44" t="str">
        <x:v>AUT-012</x:v>
      </x:c>
      <x:c r="F44" t="str">
        <x:v>AUTO-MH-A</x:v>
      </x:c>
      <x:c r="G44" s="20" t="n">
        <x:v>45238</x:v>
      </x:c>
      <x:c r="H44" s="20" t="n">
        <x:v>45239</x:v>
      </x:c>
      <x:c r="I44" s="20" t="n">
        <x:v>45244</x:v>
      </x:c>
      <x:c r="J44" t="n">
        <x:v>4945</x:v>
      </x:c>
      <x:c r="K44" t="n">
        <x:v>2592.83</x:v>
      </x:c>
      <x:c r="L44" t="str">
        <x:v>空運</x:v>
      </x:c>
      <x:c r="M44" t="n">
        <x:v>6</x:v>
      </x:c>
      <x:c r="N44" t="str">
        <x:v>否</x:v>
      </x:c>
      <x:c r="O44" t="n">
        <x:v>0</x:v>
      </x:c>
      <x:c r="P44"/>
    </x:row>
    <x:row r="45" ht="20" customHeight="1">
      <x:c r="A45" t="str">
        <x:v>SH000044</x:v>
      </x:c>
      <x:c r="B45" t="str">
        <x:v>SO00026-01</x:v>
      </x:c>
      <x:c r="C45" t="str">
        <x:v>WO00044</x:v>
      </x:c>
      <x:c r="D45" t="str">
        <x:v>LOT00044</x:v>
      </x:c>
      <x:c r="E45" t="str">
        <x:v>AUT-012</x:v>
      </x:c>
      <x:c r="F45" t="str">
        <x:v>AUTO-MH-A</x:v>
      </x:c>
      <x:c r="G45" s="20" t="n">
        <x:v>45238</x:v>
      </x:c>
      <x:c r="H45" s="20" t="n">
        <x:v>45240</x:v>
      </x:c>
      <x:c r="I45" s="20" t="n">
        <x:v>45245</x:v>
      </x:c>
      <x:c r="J45" t="n">
        <x:v>4912</x:v>
      </x:c>
      <x:c r="K45" t="n">
        <x:v>2592.83</x:v>
      </x:c>
      <x:c r="L45" t="str">
        <x:v>空運</x:v>
      </x:c>
      <x:c r="M45" t="n">
        <x:v>7</x:v>
      </x:c>
      <x:c r="N45" t="str">
        <x:v>否</x:v>
      </x:c>
      <x:c r="O45" t="n">
        <x:v>0</x:v>
      </x:c>
      <x:c r="P45"/>
    </x:row>
    <x:row r="46" ht="20" customHeight="1">
      <x:c r="A46" t="str">
        <x:v>SH000045</x:v>
      </x:c>
      <x:c r="B46" t="str">
        <x:v>SO00027-01</x:v>
      </x:c>
      <x:c r="C46" t="str">
        <x:v>WO00045</x:v>
      </x:c>
      <x:c r="D46" t="str">
        <x:v>LOT00045</x:v>
      </x:c>
      <x:c r="E46" t="str">
        <x:v>EMS-003</x:v>
      </x:c>
      <x:c r="F46" t="str">
        <x:v>PM-VAC-B</x:v>
      </x:c>
      <x:c r="G46" s="20" t="n">
        <x:v>45276</x:v>
      </x:c>
      <x:c r="H46" s="20" t="n">
        <x:v>45277</x:v>
      </x:c>
      <x:c r="I46" s="20" t="n">
        <x:v>45279</x:v>
      </x:c>
      <x:c r="J46" t="n">
        <x:v>489</x:v>
      </x:c>
      <x:c r="K46" t="n">
        <x:v>21739.17</x:v>
      </x:c>
      <x:c r="L46" t="str">
        <x:v>空運</x:v>
      </x:c>
      <x:c r="M46" t="n">
        <x:v>3</x:v>
      </x:c>
      <x:c r="N46" t="str">
        <x:v>否</x:v>
      </x:c>
      <x:c r="O46" t="n">
        <x:v>3</x:v>
      </x:c>
      <x:c r="P46" t="str">
        <x:v>包裝破損</x:v>
      </x:c>
    </x:row>
    <x:row r="47" ht="20" customHeight="1">
      <x:c r="A47" t="str">
        <x:v>SH000046</x:v>
      </x:c>
      <x:c r="B47" t="str">
        <x:v>SO00028-01</x:v>
      </x:c>
      <x:c r="C47" t="str">
        <x:v>WO00046</x:v>
      </x:c>
      <x:c r="D47" t="str">
        <x:v>LOT00046</x:v>
      </x:c>
      <x:c r="E47" t="str">
        <x:v>EMS-007</x:v>
      </x:c>
      <x:c r="F47" t="str">
        <x:v>MECH-STG-A</x:v>
      </x:c>
      <x:c r="G47" s="20" t="n">
        <x:v>45256</x:v>
      </x:c>
      <x:c r="H47" s="20" t="n">
        <x:v>45263</x:v>
      </x:c>
      <x:c r="I47" s="20" t="n">
        <x:v>45267</x:v>
      </x:c>
      <x:c r="J47" t="n">
        <x:v>10</x:v>
      </x:c>
      <x:c r="K47" t="n">
        <x:v>139676.72</x:v>
      </x:c>
      <x:c r="L47" t="str">
        <x:v>空運</x:v>
      </x:c>
      <x:c r="M47" t="n">
        <x:v>11</x:v>
      </x:c>
      <x:c r="N47" t="str">
        <x:v>否</x:v>
      </x:c>
      <x:c r="O47" t="n">
        <x:v>0</x:v>
      </x:c>
      <x:c r="P47"/>
    </x:row>
    <x:row r="48" ht="20" customHeight="1">
      <x:c r="A48" t="str">
        <x:v>SH000047</x:v>
      </x:c>
      <x:c r="B48" t="str">
        <x:v>SO00029-01</x:v>
      </x:c>
      <x:c r="C48" t="str">
        <x:v>WO00047</x:v>
      </x:c>
      <x:c r="D48" t="str">
        <x:v>LOT00047</x:v>
      </x:c>
      <x:c r="E48" t="str">
        <x:v>IAT-007</x:v>
      </x:c>
      <x:c r="F48" t="str">
        <x:v>PM-ALB-A</x:v>
      </x:c>
      <x:c r="G48" s="20" t="n">
        <x:v>45261</x:v>
      </x:c>
      <x:c r="H48" s="20" t="n">
        <x:v>45259</x:v>
      </x:c>
      <x:c r="I48" s="20" t="n">
        <x:v>45260</x:v>
      </x:c>
      <x:c r="J48" t="n">
        <x:v>781</x:v>
      </x:c>
      <x:c r="K48" t="n">
        <x:v>11089.16</x:v>
      </x:c>
      <x:c r="L48" t="str">
        <x:v>海運</x:v>
      </x:c>
      <x:c r="M48" t="n">
        <x:v>0</x:v>
      </x:c>
      <x:c r="N48" t="str">
        <x:v>是</x:v>
      </x:c>
      <x:c r="O48" t="n">
        <x:v>0</x:v>
      </x:c>
      <x:c r="P48"/>
    </x:row>
    <x:row r="49" ht="20" customHeight="1">
      <x:c r="A49" t="str">
        <x:v>SH000048</x:v>
      </x:c>
      <x:c r="B49" t="str">
        <x:v>SO00030-01</x:v>
      </x:c>
      <x:c r="C49" t="str">
        <x:v>WO00048</x:v>
      </x:c>
      <x:c r="D49" t="str">
        <x:v>LOT00048</x:v>
      </x:c>
      <x:c r="E49" t="str">
        <x:v>AUT-001</x:v>
      </x:c>
      <x:c r="F49" t="str">
        <x:v>PM-BRG-A</x:v>
      </x:c>
      <x:c r="G49" s="20" t="n">
        <x:v>45258</x:v>
      </x:c>
      <x:c r="H49" s="20" t="n">
        <x:v>45256</x:v>
      </x:c>
      <x:c r="I49" s="20" t="n">
        <x:v>45257</x:v>
      </x:c>
      <x:c r="J49" t="n">
        <x:v>492</x:v>
      </x:c>
      <x:c r="K49" t="n">
        <x:v>6850.86</x:v>
      </x:c>
      <x:c r="L49" t="str">
        <x:v>空運</x:v>
      </x:c>
      <x:c r="M49" t="n">
        <x:v>0</x:v>
      </x:c>
      <x:c r="N49" t="str">
        <x:v>是</x:v>
      </x:c>
      <x:c r="O49" t="n">
        <x:v>0</x:v>
      </x:c>
      <x:c r="P49"/>
    </x:row>
    <x:row r="50" ht="20" customHeight="1">
      <x:c r="A50" t="str">
        <x:v>SH000049</x:v>
      </x:c>
      <x:c r="B50" t="str">
        <x:v>SO00031-01</x:v>
      </x:c>
      <x:c r="C50" t="str">
        <x:v>WO00049</x:v>
      </x:c>
      <x:c r="D50" t="str">
        <x:v>LOT00049</x:v>
      </x:c>
      <x:c r="E50" t="str">
        <x:v>IAT-006</x:v>
      </x:c>
      <x:c r="F50" t="str">
        <x:v>AUTO-MH-B</x:v>
      </x:c>
      <x:c r="G50" s="20" t="n">
        <x:v>45226</x:v>
      </x:c>
      <x:c r="H50" s="20" t="n">
        <x:v>45226</x:v>
      </x:c>
      <x:c r="I50" s="20" t="n">
        <x:v>45231</x:v>
      </x:c>
      <x:c r="J50" t="n">
        <x:v>2938</x:v>
      </x:c>
      <x:c r="K50" t="n">
        <x:v>3143.15</x:v>
      </x:c>
      <x:c r="L50" t="str">
        <x:v>海運</x:v>
      </x:c>
      <x:c r="M50" t="n">
        <x:v>5</x:v>
      </x:c>
      <x:c r="N50" t="str">
        <x:v>否</x:v>
      </x:c>
      <x:c r="O50" t="n">
        <x:v>0</x:v>
      </x:c>
      <x:c r="P50"/>
    </x:row>
    <x:row r="51" ht="20" customHeight="1">
      <x:c r="A51" t="str">
        <x:v>SH000050</x:v>
      </x:c>
      <x:c r="B51" t="str">
        <x:v>SO00032-01</x:v>
      </x:c>
      <x:c r="C51" t="str">
        <x:v>WO00050</x:v>
      </x:c>
      <x:c r="D51" t="str">
        <x:v>LOT00050</x:v>
      </x:c>
      <x:c r="E51" t="str">
        <x:v>EMS-004</x:v>
      </x:c>
      <x:c r="F51" t="str">
        <x:v>AUTO-KN-A</x:v>
      </x:c>
      <x:c r="G51" s="20" t="n">
        <x:v>45235</x:v>
      </x:c>
      <x:c r="H51" s="20" t="n">
        <x:v>45235</x:v>
      </x:c>
      <x:c r="I51" s="20" t="n">
        <x:v>45240</x:v>
      </x:c>
      <x:c r="J51" t="n">
        <x:v>4955</x:v>
      </x:c>
      <x:c r="K51" t="n">
        <x:v>3220.01</x:v>
      </x:c>
      <x:c r="L51" t="str">
        <x:v>空運</x:v>
      </x:c>
      <x:c r="M51" t="n">
        <x:v>5</x:v>
      </x:c>
      <x:c r="N51" t="str">
        <x:v>否</x:v>
      </x:c>
      <x:c r="O51" t="n">
        <x:v>0</x:v>
      </x:c>
      <x:c r="P51"/>
    </x:row>
    <x:row r="52" ht="20" customHeight="1">
      <x:c r="A52" t="str">
        <x:v>SH000051</x:v>
      </x:c>
      <x:c r="B52" t="str">
        <x:v>SO00032-01</x:v>
      </x:c>
      <x:c r="C52" t="str">
        <x:v>WO00051</x:v>
      </x:c>
      <x:c r="D52" t="str">
        <x:v>LOT00051</x:v>
      </x:c>
      <x:c r="E52" t="str">
        <x:v>EMS-004</x:v>
      </x:c>
      <x:c r="F52" t="str">
        <x:v>AUTO-KN-A</x:v>
      </x:c>
      <x:c r="G52" s="20" t="n">
        <x:v>45235</x:v>
      </x:c>
      <x:c r="H52" s="20" t="n">
        <x:v>45234</x:v>
      </x:c>
      <x:c r="I52" s="20" t="n">
        <x:v>45236</x:v>
      </x:c>
      <x:c r="J52" t="n">
        <x:v>4945</x:v>
      </x:c>
      <x:c r="K52" t="n">
        <x:v>3220.01</x:v>
      </x:c>
      <x:c r="L52" t="str">
        <x:v>海運</x:v>
      </x:c>
      <x:c r="M52" t="n">
        <x:v>1</x:v>
      </x:c>
      <x:c r="N52" t="str">
        <x:v>否</x:v>
      </x:c>
      <x:c r="O52" t="n">
        <x:v>0</x:v>
      </x:c>
      <x:c r="P52"/>
    </x:row>
    <x:row r="53" ht="20" customHeight="1">
      <x:c r="A53" t="str">
        <x:v>SH000052</x:v>
      </x:c>
      <x:c r="B53" t="str">
        <x:v>SO00033-01</x:v>
      </x:c>
      <x:c r="C53" t="str">
        <x:v>WO00052</x:v>
      </x:c>
      <x:c r="D53" t="str">
        <x:v>LOT00052</x:v>
      </x:c>
      <x:c r="E53" t="str">
        <x:v>EMS-004</x:v>
      </x:c>
      <x:c r="F53" t="str">
        <x:v>MECH-CON-B</x:v>
      </x:c>
      <x:c r="G53" s="20" t="n">
        <x:v>45269</x:v>
      </x:c>
      <x:c r="H53" s="20" t="n">
        <x:v>45263</x:v>
      </x:c>
      <x:c r="I53" s="20" t="n">
        <x:v>45266</x:v>
      </x:c>
      <x:c r="J53" t="n">
        <x:v>10</x:v>
      </x:c>
      <x:c r="K53" t="n">
        <x:v>160749.78</x:v>
      </x:c>
      <x:c r="L53" t="str">
        <x:v>陸運</x:v>
      </x:c>
      <x:c r="M53" t="n">
        <x:v>0</x:v>
      </x:c>
      <x:c r="N53" t="str">
        <x:v>是</x:v>
      </x:c>
      <x:c r="O53" t="n">
        <x:v>0</x:v>
      </x:c>
      <x:c r="P53"/>
    </x:row>
    <x:row r="54" ht="20" customHeight="1">
      <x:c r="A54" t="str">
        <x:v>SH000053</x:v>
      </x:c>
      <x:c r="B54" t="str">
        <x:v>SO00034-01</x:v>
      </x:c>
      <x:c r="C54" t="str">
        <x:v>WO00053</x:v>
      </x:c>
      <x:c r="D54" t="str">
        <x:v>LOT00053</x:v>
      </x:c>
      <x:c r="E54" t="str">
        <x:v>AUT-002</x:v>
      </x:c>
      <x:c r="F54" t="str">
        <x:v>AUTO-FL-A</x:v>
      </x:c>
      <x:c r="G54" s="20" t="n">
        <x:v>45245</x:v>
      </x:c>
      <x:c r="H54" s="20" t="n">
        <x:v>45247</x:v>
      </x:c>
      <x:c r="I54" s="20" t="n">
        <x:v>45251</x:v>
      </x:c>
      <x:c r="J54" t="n">
        <x:v>2954</x:v>
      </x:c>
      <x:c r="K54" t="n">
        <x:v>1280.62</x:v>
      </x:c>
      <x:c r="L54" t="str">
        <x:v>空運</x:v>
      </x:c>
      <x:c r="M54" t="n">
        <x:v>6</x:v>
      </x:c>
      <x:c r="N54" t="str">
        <x:v>否</x:v>
      </x:c>
      <x:c r="O54" t="n">
        <x:v>0</x:v>
      </x:c>
      <x:c r="P54"/>
    </x:row>
    <x:row r="55" ht="20" customHeight="1">
      <x:c r="A55" t="str">
        <x:v>SH000054</x:v>
      </x:c>
      <x:c r="B55" t="str">
        <x:v>SO00035-01</x:v>
      </x:c>
      <x:c r="C55" t="str">
        <x:v>WO00054</x:v>
      </x:c>
      <x:c r="D55" t="str">
        <x:v>LOT00054</x:v>
      </x:c>
      <x:c r="E55" t="str">
        <x:v>AFT-006</x:v>
      </x:c>
      <x:c r="F55" t="str">
        <x:v>AUTO-BRK-A</x:v>
      </x:c>
      <x:c r="G55" s="20" t="n">
        <x:v>45248</x:v>
      </x:c>
      <x:c r="H55" s="20" t="n">
        <x:v>45243</x:v>
      </x:c>
      <x:c r="I55" s="20" t="n">
        <x:v>45248</x:v>
      </x:c>
      <x:c r="J55" t="n">
        <x:v>5000</x:v>
      </x:c>
      <x:c r="K55" t="n">
        <x:v>1708.88</x:v>
      </x:c>
      <x:c r="L55" t="str">
        <x:v>陸運</x:v>
      </x:c>
      <x:c r="M55" t="n">
        <x:v>0</x:v>
      </x:c>
      <x:c r="N55" t="str">
        <x:v>是</x:v>
      </x:c>
      <x:c r="O55" t="n">
        <x:v>0</x:v>
      </x:c>
      <x:c r="P55"/>
    </x:row>
    <x:row r="56" ht="20" customHeight="1">
      <x:c r="A56" t="str">
        <x:v>SH000055</x:v>
      </x:c>
      <x:c r="B56" t="str">
        <x:v>SO00036-01</x:v>
      </x:c>
      <x:c r="C56" t="str">
        <x:v>WO00056</x:v>
      </x:c>
      <x:c r="D56" t="str">
        <x:v>LOT00056</x:v>
      </x:c>
      <x:c r="E56" t="str">
        <x:v>AUT-006</x:v>
      </x:c>
      <x:c r="F56" t="str">
        <x:v>AUTO-KN-B</x:v>
      </x:c>
      <x:c r="G56" s="20" t="n">
        <x:v>45244</x:v>
      </x:c>
      <x:c r="H56" s="20" t="n">
        <x:v>45244</x:v>
      </x:c>
      <x:c r="I56" s="20" t="n">
        <x:v>45249</x:v>
      </x:c>
      <x:c r="J56" t="n">
        <x:v>6489</x:v>
      </x:c>
      <x:c r="K56" t="n">
        <x:v>3823.98</x:v>
      </x:c>
      <x:c r="L56" t="str">
        <x:v>海運</x:v>
      </x:c>
      <x:c r="M56" t="n">
        <x:v>5</x:v>
      </x:c>
      <x:c r="N56" t="str">
        <x:v>否</x:v>
      </x:c>
      <x:c r="O56" t="n">
        <x:v>0</x:v>
      </x:c>
      <x:c r="P56"/>
    </x:row>
    <x:row r="57" ht="20" customHeight="1">
      <x:c r="A57" t="str">
        <x:v>SH000056</x:v>
      </x:c>
      <x:c r="B57" t="str">
        <x:v>SO00036-01</x:v>
      </x:c>
      <x:c r="C57" t="str">
        <x:v>WO00055</x:v>
      </x:c>
      <x:c r="D57" t="str">
        <x:v>LOT00055</x:v>
      </x:c>
      <x:c r="E57" t="str">
        <x:v>AUT-006</x:v>
      </x:c>
      <x:c r="F57" t="str">
        <x:v>AUTO-KN-B</x:v>
      </x:c>
      <x:c r="G57" s="20" t="n">
        <x:v>45244</x:v>
      </x:c>
      <x:c r="H57" s="20" t="n">
        <x:v>45245</x:v>
      </x:c>
      <x:c r="I57" s="20" t="n">
        <x:v>45247</x:v>
      </x:c>
      <x:c r="J57" t="n">
        <x:v>6404</x:v>
      </x:c>
      <x:c r="K57" t="n">
        <x:v>3823.98</x:v>
      </x:c>
      <x:c r="L57" t="str">
        <x:v>海運</x:v>
      </x:c>
      <x:c r="M57" t="n">
        <x:v>3</x:v>
      </x:c>
      <x:c r="N57" t="str">
        <x:v>否</x:v>
      </x:c>
      <x:c r="O57" t="n">
        <x:v>0</x:v>
      </x:c>
      <x:c r="P57"/>
    </x:row>
    <x:row r="58" ht="20" customHeight="1">
      <x:c r="A58" t="str">
        <x:v>SH000057</x:v>
      </x:c>
      <x:c r="B58" t="str">
        <x:v>SO00037-01</x:v>
      </x:c>
      <x:c r="C58" t="str">
        <x:v>WO00057</x:v>
      </x:c>
      <x:c r="D58" t="str">
        <x:v>LOT00057</x:v>
      </x:c>
      <x:c r="E58" t="str">
        <x:v>AFT-006</x:v>
      </x:c>
      <x:c r="F58" t="str">
        <x:v>AUTO-LG-A</x:v>
      </x:c>
      <x:c r="G58" s="20" t="n">
        <x:v>45232</x:v>
      </x:c>
      <x:c r="H58" s="20" t="n">
        <x:v>45231</x:v>
      </x:c>
      <x:c r="I58" s="20" t="n">
        <x:v>45233</x:v>
      </x:c>
      <x:c r="J58" t="n">
        <x:v>6855</x:v>
      </x:c>
      <x:c r="K58" t="n">
        <x:v>1069.94</x:v>
      </x:c>
      <x:c r="L58" t="str">
        <x:v>海運</x:v>
      </x:c>
      <x:c r="M58" t="n">
        <x:v>1</x:v>
      </x:c>
      <x:c r="N58" t="str">
        <x:v>否</x:v>
      </x:c>
      <x:c r="O58" t="n">
        <x:v>0</x:v>
      </x:c>
      <x:c r="P58"/>
    </x:row>
    <x:row r="59" ht="20" customHeight="1">
      <x:c r="A59" t="str">
        <x:v>SH000058</x:v>
      </x:c>
      <x:c r="B59" t="str">
        <x:v>SO00038-01</x:v>
      </x:c>
      <x:c r="C59" t="str">
        <x:v>WO00058</x:v>
      </x:c>
      <x:c r="D59" t="str">
        <x:v>LOT00058</x:v>
      </x:c>
      <x:c r="E59" t="str">
        <x:v>IAT-001</x:v>
      </x:c>
      <x:c r="F59" t="str">
        <x:v>MECH-CON-B</x:v>
      </x:c>
      <x:c r="G59" s="20" t="n">
        <x:v>45276</x:v>
      </x:c>
      <x:c r="H59" s="20" t="n">
        <x:v>45274</x:v>
      </x:c>
      <x:c r="I59" s="20" t="n">
        <x:v>45279</x:v>
      </x:c>
      <x:c r="J59" t="n">
        <x:v>15</x:v>
      </x:c>
      <x:c r="K59" t="n">
        <x:v>161352.33</x:v>
      </x:c>
      <x:c r="L59" t="str">
        <x:v>空運</x:v>
      </x:c>
      <x:c r="M59" t="n">
        <x:v>3</x:v>
      </x:c>
      <x:c r="N59" t="str">
        <x:v>否</x:v>
      </x:c>
      <x:c r="O59" t="n">
        <x:v>0</x:v>
      </x:c>
      <x:c r="P59"/>
    </x:row>
    <x:row r="60" ht="20" customHeight="1">
      <x:c r="A60" t="str">
        <x:v>SH000059</x:v>
      </x:c>
      <x:c r="B60" t="str">
        <x:v>SO00038-01</x:v>
      </x:c>
      <x:c r="C60" t="str">
        <x:v>WO00059</x:v>
      </x:c>
      <x:c r="D60" t="str">
        <x:v>LOT00059</x:v>
      </x:c>
      <x:c r="E60" t="str">
        <x:v>IAT-001</x:v>
      </x:c>
      <x:c r="F60" t="str">
        <x:v>MECH-CON-B</x:v>
      </x:c>
      <x:c r="G60" s="20" t="n">
        <x:v>45276</x:v>
      </x:c>
      <x:c r="H60" s="20" t="n">
        <x:v>45277</x:v>
      </x:c>
      <x:c r="I60" s="20" t="n">
        <x:v>45282</x:v>
      </x:c>
      <x:c r="J60" t="n">
        <x:v>15</x:v>
      </x:c>
      <x:c r="K60" t="n">
        <x:v>161352.33</x:v>
      </x:c>
      <x:c r="L60" t="str">
        <x:v>海運</x:v>
      </x:c>
      <x:c r="M60" t="n">
        <x:v>6</x:v>
      </x:c>
      <x:c r="N60" t="str">
        <x:v>否</x:v>
      </x:c>
      <x:c r="O60" t="n">
        <x:v>0</x:v>
      </x:c>
      <x:c r="P60"/>
    </x:row>
    <x:row r="61" ht="20" customHeight="1">
      <x:c r="A61" t="str">
        <x:v>SH000060</x:v>
      </x:c>
      <x:c r="B61" t="str">
        <x:v>SO00039-01</x:v>
      </x:c>
      <x:c r="C61" t="str">
        <x:v>WO00060</x:v>
      </x:c>
      <x:c r="D61" t="str">
        <x:v>LOT00060</x:v>
      </x:c>
      <x:c r="E61" t="str">
        <x:v>SEM-003</x:v>
      </x:c>
      <x:c r="F61" t="str">
        <x:v>SEMI-WH-A</x:v>
      </x:c>
      <x:c r="G61" s="20" t="n">
        <x:v>45316</x:v>
      </x:c>
      <x:c r="H61" s="20" t="n">
        <x:v>45316</x:v>
      </x:c>
      <x:c r="I61" s="20" t="n">
        <x:v>45317</x:v>
      </x:c>
      <x:c r="J61" t="n">
        <x:v>39</x:v>
      </x:c>
      <x:c r="K61" t="n">
        <x:v>117376.75</x:v>
      </x:c>
      <x:c r="L61" t="str">
        <x:v>陸運</x:v>
      </x:c>
      <x:c r="M61" t="n">
        <x:v>1</x:v>
      </x:c>
      <x:c r="N61" t="str">
        <x:v>否</x:v>
      </x:c>
      <x:c r="O61" t="n">
        <x:v>0</x:v>
      </x:c>
      <x:c r="P61"/>
    </x:row>
    <x:row r="62" ht="20" customHeight="1">
      <x:c r="A62" t="str">
        <x:v>SH000061</x:v>
      </x:c>
      <x:c r="B62" t="str">
        <x:v>SO00040-01</x:v>
      </x:c>
      <x:c r="C62" t="str">
        <x:v>WO00061</x:v>
      </x:c>
      <x:c r="D62" t="str">
        <x:v>LOT00061</x:v>
      </x:c>
      <x:c r="E62" t="str">
        <x:v>IAT-006</x:v>
      </x:c>
      <x:c r="F62" t="str">
        <x:v>AUTO-KN-B</x:v>
      </x:c>
      <x:c r="G62" s="20" t="n">
        <x:v>45294</x:v>
      </x:c>
      <x:c r="H62" s="20" t="n">
        <x:v>45290</x:v>
      </x:c>
      <x:c r="I62" s="20" t="n">
        <x:v>45294</x:v>
      </x:c>
      <x:c r="J62" t="n">
        <x:v>4920</x:v>
      </x:c>
      <x:c r="K62" t="n">
        <x:v>3501.5</x:v>
      </x:c>
      <x:c r="L62" t="str">
        <x:v>海運</x:v>
      </x:c>
      <x:c r="M62" t="n">
        <x:v>0</x:v>
      </x:c>
      <x:c r="N62" t="str">
        <x:v>是</x:v>
      </x:c>
      <x:c r="O62" t="n">
        <x:v>0</x:v>
      </x:c>
      <x:c r="P62"/>
    </x:row>
    <x:row r="63" ht="20" customHeight="1">
      <x:c r="A63" t="str">
        <x:v>SH000062</x:v>
      </x:c>
      <x:c r="B63" t="str">
        <x:v>SO00041-01</x:v>
      </x:c>
      <x:c r="C63" t="str">
        <x:v>WO00062</x:v>
      </x:c>
      <x:c r="D63" t="str">
        <x:v>LOT00062</x:v>
      </x:c>
      <x:c r="E63" t="str">
        <x:v>EMS-008</x:v>
      </x:c>
      <x:c r="F63" t="str">
        <x:v>AUTO-LG-B</x:v>
      </x:c>
      <x:c r="G63" s="20" t="n">
        <x:v>45259</x:v>
      </x:c>
      <x:c r="H63" s="20" t="n">
        <x:v>45262</x:v>
      </x:c>
      <x:c r="I63" s="20" t="n">
        <x:v>45265</x:v>
      </x:c>
      <x:c r="J63" t="n">
        <x:v>2962</x:v>
      </x:c>
      <x:c r="K63" t="n">
        <x:v>1103.8</x:v>
      </x:c>
      <x:c r="L63" t="str">
        <x:v>空運</x:v>
      </x:c>
      <x:c r="M63" t="n">
        <x:v>6</x:v>
      </x:c>
      <x:c r="N63" t="str">
        <x:v>否</x:v>
      </x:c>
      <x:c r="O63" t="n">
        <x:v>0</x:v>
      </x:c>
      <x:c r="P63"/>
    </x:row>
    <x:row r="64" ht="20" customHeight="1">
      <x:c r="A64" t="str">
        <x:v>SH000063</x:v>
      </x:c>
      <x:c r="B64" t="str">
        <x:v>SO00042-01</x:v>
      </x:c>
      <x:c r="C64" t="str">
        <x:v>WO00063</x:v>
      </x:c>
      <x:c r="D64" t="str">
        <x:v>LOT00063</x:v>
      </x:c>
      <x:c r="E64" t="str">
        <x:v>SEM-005</x:v>
      </x:c>
      <x:c r="F64" t="str">
        <x:v>MECH-STG-A</x:v>
      </x:c>
      <x:c r="G64" s="20" t="n">
        <x:v>45288</x:v>
      </x:c>
      <x:c r="H64" s="20" t="n">
        <x:v>45287</x:v>
      </x:c>
      <x:c r="I64" s="20" t="n">
        <x:v>45289</x:v>
      </x:c>
      <x:c r="J64" t="n">
        <x:v>15</x:v>
      </x:c>
      <x:c r="K64" t="n">
        <x:v>139131.07</x:v>
      </x:c>
      <x:c r="L64" t="str">
        <x:v>空運</x:v>
      </x:c>
      <x:c r="M64" t="n">
        <x:v>1</x:v>
      </x:c>
      <x:c r="N64" t="str">
        <x:v>否</x:v>
      </x:c>
      <x:c r="O64" t="n">
        <x:v>0</x:v>
      </x:c>
      <x:c r="P64"/>
    </x:row>
    <x:row r="65" ht="20" customHeight="1">
      <x:c r="A65" t="str">
        <x:v>SH000064</x:v>
      </x:c>
      <x:c r="B65" t="str">
        <x:v>SO00042-01</x:v>
      </x:c>
      <x:c r="C65" t="str">
        <x:v>WO00064</x:v>
      </x:c>
      <x:c r="D65" t="str">
        <x:v>LOT00064</x:v>
      </x:c>
      <x:c r="E65" t="str">
        <x:v>SEM-005</x:v>
      </x:c>
      <x:c r="F65" t="str">
        <x:v>MECH-STG-A</x:v>
      </x:c>
      <x:c r="G65" s="20" t="n">
        <x:v>45288</x:v>
      </x:c>
      <x:c r="H65" s="20" t="n">
        <x:v>45287</x:v>
      </x:c>
      <x:c r="I65" s="20" t="n">
        <x:v>45291</x:v>
      </x:c>
      <x:c r="J65" t="n">
        <x:v>15</x:v>
      </x:c>
      <x:c r="K65" t="n">
        <x:v>139131.07</x:v>
      </x:c>
      <x:c r="L65" t="str">
        <x:v>陸運</x:v>
      </x:c>
      <x:c r="M65" t="n">
        <x:v>3</x:v>
      </x:c>
      <x:c r="N65" t="str">
        <x:v>否</x:v>
      </x:c>
      <x:c r="O65" t="n">
        <x:v>0</x:v>
      </x:c>
      <x:c r="P65"/>
    </x:row>
    <x:row r="66" ht="20" customHeight="1">
      <x:c r="A66" t="str">
        <x:v>SH000065</x:v>
      </x:c>
      <x:c r="B66" t="str">
        <x:v>SO00043-01</x:v>
      </x:c>
      <x:c r="C66" t="str">
        <x:v>WO00065</x:v>
      </x:c>
      <x:c r="D66" t="str">
        <x:v>LOT00065</x:v>
      </x:c>
      <x:c r="E66" t="str">
        <x:v>IAT-010</x:v>
      </x:c>
      <x:c r="F66" t="str">
        <x:v>AUTO-BS-A</x:v>
      </x:c>
      <x:c r="G66" s="20" t="n">
        <x:v>45266</x:v>
      </x:c>
      <x:c r="H66" s="20" t="n">
        <x:v>45264</x:v>
      </x:c>
      <x:c r="I66" s="20" t="n">
        <x:v>45266</x:v>
      </x:c>
      <x:c r="J66" t="n">
        <x:v>4894</x:v>
      </x:c>
      <x:c r="K66" t="n">
        <x:v>741.84</x:v>
      </x:c>
      <x:c r="L66" t="str">
        <x:v>陸運</x:v>
      </x:c>
      <x:c r="M66" t="n">
        <x:v>0</x:v>
      </x:c>
      <x:c r="N66" t="str">
        <x:v>是</x:v>
      </x:c>
      <x:c r="O66" t="n">
        <x:v>0</x:v>
      </x:c>
      <x:c r="P66"/>
    </x:row>
    <x:row r="67" ht="20" customHeight="1">
      <x:c r="A67" t="str">
        <x:v>SH000066</x:v>
      </x:c>
      <x:c r="B67" t="str">
        <x:v>SO00044-01</x:v>
      </x:c>
      <x:c r="C67" t="str">
        <x:v>WO00066</x:v>
      </x:c>
      <x:c r="D67" t="str">
        <x:v>LOT00066</x:v>
      </x:c>
      <x:c r="E67" t="str">
        <x:v>IAT-005</x:v>
      </x:c>
      <x:c r="F67" t="str">
        <x:v>AUTO-BS-A</x:v>
      </x:c>
      <x:c r="G67" s="20" t="n">
        <x:v>45273</x:v>
      </x:c>
      <x:c r="H67" s="20" t="n">
        <x:v>45272</x:v>
      </x:c>
      <x:c r="I67" s="20" t="n">
        <x:v>45275</x:v>
      </x:c>
      <x:c r="J67" t="n">
        <x:v>6401</x:v>
      </x:c>
      <x:c r="K67" t="n">
        <x:v>735.33</x:v>
      </x:c>
      <x:c r="L67" t="str">
        <x:v>海運</x:v>
      </x:c>
      <x:c r="M67" t="n">
        <x:v>2</x:v>
      </x:c>
      <x:c r="N67" t="str">
        <x:v>否</x:v>
      </x:c>
      <x:c r="O67" t="n">
        <x:v>0</x:v>
      </x:c>
      <x:c r="P67"/>
    </x:row>
    <x:row r="68" ht="20" customHeight="1">
      <x:c r="A68" t="str">
        <x:v>SH000067</x:v>
      </x:c>
      <x:c r="B68" t="str">
        <x:v>SO00044-01</x:v>
      </x:c>
      <x:c r="C68" t="str">
        <x:v>WO00067</x:v>
      </x:c>
      <x:c r="D68" t="str">
        <x:v>LOT00067</x:v>
      </x:c>
      <x:c r="E68" t="str">
        <x:v>IAT-005</x:v>
      </x:c>
      <x:c r="F68" t="str">
        <x:v>AUTO-BS-A</x:v>
      </x:c>
      <x:c r="G68" s="20" t="n">
        <x:v>45273</x:v>
      </x:c>
      <x:c r="H68" s="20" t="n">
        <x:v>45274</x:v>
      </x:c>
      <x:c r="I68" s="20" t="n">
        <x:v>45277</x:v>
      </x:c>
      <x:c r="J68" t="n">
        <x:v>6386</x:v>
      </x:c>
      <x:c r="K68" t="n">
        <x:v>735.33</x:v>
      </x:c>
      <x:c r="L68" t="str">
        <x:v>空運</x:v>
      </x:c>
      <x:c r="M68" t="n">
        <x:v>4</x:v>
      </x:c>
      <x:c r="N68" t="str">
        <x:v>否</x:v>
      </x:c>
      <x:c r="O68" t="n">
        <x:v>0</x:v>
      </x:c>
      <x:c r="P68"/>
    </x:row>
    <x:row r="69" ht="20" customHeight="1">
      <x:c r="A69" t="str">
        <x:v>SH000068</x:v>
      </x:c>
      <x:c r="B69" t="str">
        <x:v>SO00045-01</x:v>
      </x:c>
      <x:c r="C69" t="str">
        <x:v>WO00068</x:v>
      </x:c>
      <x:c r="D69" t="str">
        <x:v>LOT00068</x:v>
      </x:c>
      <x:c r="E69" t="str">
        <x:v>EMS-005</x:v>
      </x:c>
      <x:c r="F69" t="str">
        <x:v>AUTO-BS-B</x:v>
      </x:c>
      <x:c r="G69" s="20" t="n">
        <x:v>45264</x:v>
      </x:c>
      <x:c r="H69" s="20" t="n">
        <x:v>45263</x:v>
      </x:c>
      <x:c r="I69" s="20" t="n">
        <x:v>45267</x:v>
      </x:c>
      <x:c r="J69" t="n">
        <x:v>4932</x:v>
      </x:c>
      <x:c r="K69" t="n">
        <x:v>818.23</x:v>
      </x:c>
      <x:c r="L69" t="str">
        <x:v>海運</x:v>
      </x:c>
      <x:c r="M69" t="n">
        <x:v>3</x:v>
      </x:c>
      <x:c r="N69" t="str">
        <x:v>否</x:v>
      </x:c>
      <x:c r="O69" t="n">
        <x:v>0</x:v>
      </x:c>
      <x:c r="P69"/>
    </x:row>
    <x:row r="70" ht="20" customHeight="1">
      <x:c r="A70" t="str">
        <x:v>SH000069</x:v>
      </x:c>
      <x:c r="B70" t="str">
        <x:v>SO00046-01</x:v>
      </x:c>
      <x:c r="C70" t="str">
        <x:v>WO00069</x:v>
      </x:c>
      <x:c r="D70" t="str">
        <x:v>LOT00069</x:v>
      </x:c>
      <x:c r="E70" t="str">
        <x:v>SEM-009</x:v>
      </x:c>
      <x:c r="F70" t="str">
        <x:v>PM-BRG-B</x:v>
      </x:c>
      <x:c r="G70" s="20" t="n">
        <x:v>45272</x:v>
      </x:c>
      <x:c r="H70" s="20" t="n">
        <x:v>45271</x:v>
      </x:c>
      <x:c r="I70" s="20" t="n">
        <x:v>45272</x:v>
      </x:c>
      <x:c r="J70" t="n">
        <x:v>781</x:v>
      </x:c>
      <x:c r="K70" t="n">
        <x:v>7859.52</x:v>
      </x:c>
      <x:c r="L70" t="str">
        <x:v>海運</x:v>
      </x:c>
      <x:c r="M70" t="n">
        <x:v>0</x:v>
      </x:c>
      <x:c r="N70" t="str">
        <x:v>是</x:v>
      </x:c>
      <x:c r="O70" t="n">
        <x:v>0</x:v>
      </x:c>
      <x:c r="P70"/>
    </x:row>
    <x:row r="71" ht="20" customHeight="1">
      <x:c r="A71" t="str">
        <x:v>SH000070</x:v>
      </x:c>
      <x:c r="B71" t="str">
        <x:v>SO00046-01</x:v>
      </x:c>
      <x:c r="C71" t="str">
        <x:v>WO00070</x:v>
      </x:c>
      <x:c r="D71" t="str">
        <x:v>LOT00070</x:v>
      </x:c>
      <x:c r="E71" t="str">
        <x:v>SEM-009</x:v>
      </x:c>
      <x:c r="F71" t="str">
        <x:v>PM-BRG-B</x:v>
      </x:c>
      <x:c r="G71" s="20" t="n">
        <x:v>45272</x:v>
      </x:c>
      <x:c r="H71" s="20" t="n">
        <x:v>45270</x:v>
      </x:c>
      <x:c r="I71" s="20" t="n">
        <x:v>45271</x:v>
      </x:c>
      <x:c r="J71" t="n">
        <x:v>787</x:v>
      </x:c>
      <x:c r="K71" t="n">
        <x:v>7859.52</x:v>
      </x:c>
      <x:c r="L71" t="str">
        <x:v>空運</x:v>
      </x:c>
      <x:c r="M71" t="n">
        <x:v>0</x:v>
      </x:c>
      <x:c r="N71" t="str">
        <x:v>是</x:v>
      </x:c>
      <x:c r="O71" t="n">
        <x:v>0</x:v>
      </x:c>
      <x:c r="P71"/>
    </x:row>
    <x:row r="72" ht="20" customHeight="1">
      <x:c r="A72" t="str">
        <x:v>SH000071</x:v>
      </x:c>
      <x:c r="B72" t="str">
        <x:v>SO00047-01</x:v>
      </x:c>
      <x:c r="C72" t="str">
        <x:v>WO00071</x:v>
      </x:c>
      <x:c r="D72" t="str">
        <x:v>LOT00071</x:v>
      </x:c>
      <x:c r="E72" t="str">
        <x:v>AUT-014</x:v>
      </x:c>
      <x:c r="F72" t="str">
        <x:v>PM-ALB-B</x:v>
      </x:c>
      <x:c r="G72" s="20" t="n">
        <x:v>45275</x:v>
      </x:c>
      <x:c r="H72" s="20" t="n">
        <x:v>45271</x:v>
      </x:c>
      <x:c r="I72" s="20" t="n">
        <x:v>45276</x:v>
      </x:c>
      <x:c r="J72" t="n">
        <x:v>779</x:v>
      </x:c>
      <x:c r="K72" t="n">
        <x:v>15687.59</x:v>
      </x:c>
      <x:c r="L72" t="str">
        <x:v>海運</x:v>
      </x:c>
      <x:c r="M72" t="n">
        <x:v>1</x:v>
      </x:c>
      <x:c r="N72" t="str">
        <x:v>否</x:v>
      </x:c>
      <x:c r="O72" t="n">
        <x:v>0</x:v>
      </x:c>
      <x:c r="P72"/>
    </x:row>
    <x:row r="73" ht="20" customHeight="1">
      <x:c r="A73" t="str">
        <x:v>SH000072</x:v>
      </x:c>
      <x:c r="B73" t="str">
        <x:v>SO00048-01</x:v>
      </x:c>
      <x:c r="C73" t="str">
        <x:v>WO00072</x:v>
      </x:c>
      <x:c r="D73" t="str">
        <x:v>LOT00072</x:v>
      </x:c>
      <x:c r="E73" t="str">
        <x:v>IAT-002</x:v>
      </x:c>
      <x:c r="F73" t="str">
        <x:v>AUTO-BRK-B</x:v>
      </x:c>
      <x:c r="G73" s="20" t="n">
        <x:v>45262</x:v>
      </x:c>
      <x:c r="H73" s="20" t="n">
        <x:v>45263</x:v>
      </x:c>
      <x:c r="I73" s="20" t="n">
        <x:v>45268</x:v>
      </x:c>
      <x:c r="J73" t="n">
        <x:v>6915</x:v>
      </x:c>
      <x:c r="K73" t="n">
        <x:v>2098.11</x:v>
      </x:c>
      <x:c r="L73" t="str">
        <x:v>空運</x:v>
      </x:c>
      <x:c r="M73" t="n">
        <x:v>6</x:v>
      </x:c>
      <x:c r="N73" t="str">
        <x:v>否</x:v>
      </x:c>
      <x:c r="O73" t="n">
        <x:v>0</x:v>
      </x:c>
      <x:c r="P73"/>
    </x:row>
    <x:row r="74" ht="20" customHeight="1">
      <x:c r="A74" t="str">
        <x:v>SH000073</x:v>
      </x:c>
      <x:c r="B74" t="str">
        <x:v>SO00049-01</x:v>
      </x:c>
      <x:c r="C74" t="str">
        <x:v>WO00073</x:v>
      </x:c>
      <x:c r="D74" t="str">
        <x:v>LOT00073</x:v>
      </x:c>
      <x:c r="E74" t="str">
        <x:v>AUT-006</x:v>
      </x:c>
      <x:c r="F74" t="str">
        <x:v>AUTO-LG-A</x:v>
      </x:c>
      <x:c r="G74" s="20" t="n">
        <x:v>45272</x:v>
      </x:c>
      <x:c r="H74" s="20" t="n">
        <x:v>45269</x:v>
      </x:c>
      <x:c r="I74" s="20" t="n">
        <x:v>45273</x:v>
      </x:c>
      <x:c r="J74" t="n">
        <x:v>4927</x:v>
      </x:c>
      <x:c r="K74" t="n">
        <x:v>1145.43</x:v>
      </x:c>
      <x:c r="L74" t="str">
        <x:v>空運</x:v>
      </x:c>
      <x:c r="M74" t="n">
        <x:v>1</x:v>
      </x:c>
      <x:c r="N74" t="str">
        <x:v>否</x:v>
      </x:c>
      <x:c r="O74" t="n">
        <x:v>0</x:v>
      </x:c>
      <x:c r="P74"/>
    </x:row>
    <x:row r="75" ht="20" customHeight="1">
      <x:c r="A75" t="str">
        <x:v>SH000074</x:v>
      </x:c>
      <x:c r="B75" t="str">
        <x:v>SO00049-01</x:v>
      </x:c>
      <x:c r="C75" t="str">
        <x:v>WO00074</x:v>
      </x:c>
      <x:c r="D75" t="str">
        <x:v>LOT00074</x:v>
      </x:c>
      <x:c r="E75" t="str">
        <x:v>AUT-006</x:v>
      </x:c>
      <x:c r="F75" t="str">
        <x:v>AUTO-LG-A</x:v>
      </x:c>
      <x:c r="G75" s="20" t="n">
        <x:v>45272</x:v>
      </x:c>
      <x:c r="H75" s="20" t="n">
        <x:v>45273</x:v>
      </x:c>
      <x:c r="I75" s="20" t="n">
        <x:v>45278</x:v>
      </x:c>
      <x:c r="J75" t="n">
        <x:v>4987</x:v>
      </x:c>
      <x:c r="K75" t="n">
        <x:v>1145.43</x:v>
      </x:c>
      <x:c r="L75" t="str">
        <x:v>陸運</x:v>
      </x:c>
      <x:c r="M75" t="n">
        <x:v>6</x:v>
      </x:c>
      <x:c r="N75" t="str">
        <x:v>否</x:v>
      </x:c>
      <x:c r="O75" t="n">
        <x:v>0</x:v>
      </x:c>
      <x:c r="P75"/>
    </x:row>
    <x:row r="76" ht="20" customHeight="1">
      <x:c r="A76" t="str">
        <x:v>SH000075</x:v>
      </x:c>
      <x:c r="B76" t="str">
        <x:v>SO00050-01</x:v>
      </x:c>
      <x:c r="C76" t="str">
        <x:v>WO00075</x:v>
      </x:c>
      <x:c r="D76" t="str">
        <x:v>LOT00075</x:v>
      </x:c>
      <x:c r="E76" t="str">
        <x:v>AUT-013</x:v>
      </x:c>
      <x:c r="F76" t="str">
        <x:v>MECH-CON-A</x:v>
      </x:c>
      <x:c r="G76" s="20" t="n">
        <x:v>45295</x:v>
      </x:c>
      <x:c r="H76" s="20" t="n">
        <x:v>45298</x:v>
      </x:c>
      <x:c r="I76" s="20" t="n">
        <x:v>45302</x:v>
      </x:c>
      <x:c r="J76" t="n">
        <x:v>10</x:v>
      </x:c>
      <x:c r="K76" t="n">
        <x:v>114420.28</x:v>
      </x:c>
      <x:c r="L76" t="str">
        <x:v>海運</x:v>
      </x:c>
      <x:c r="M76" t="n">
        <x:v>7</x:v>
      </x:c>
      <x:c r="N76" t="str">
        <x:v>否</x:v>
      </x:c>
      <x:c r="O76" t="n">
        <x:v>0</x:v>
      </x:c>
      <x:c r="P76"/>
    </x:row>
    <x:row r="77" ht="20" customHeight="1">
      <x:c r="A77" t="str">
        <x:v>SH000076</x:v>
      </x:c>
      <x:c r="B77" t="str">
        <x:v>SO00051-01</x:v>
      </x:c>
      <x:c r="C77" t="str">
        <x:v>WO00077</x:v>
      </x:c>
      <x:c r="D77" t="str">
        <x:v>LOT00077</x:v>
      </x:c>
      <x:c r="E77" t="str">
        <x:v>EMS-007</x:v>
      </x:c>
      <x:c r="F77" t="str">
        <x:v>SEMI-WH-A</x:v>
      </x:c>
      <x:c r="G77" s="20" t="n">
        <x:v>45305</x:v>
      </x:c>
      <x:c r="H77" s="20" t="n">
        <x:v>45301</x:v>
      </x:c>
      <x:c r="I77" s="20" t="n">
        <x:v>45304</x:v>
      </x:c>
      <x:c r="J77" t="n">
        <x:v>79</x:v>
      </x:c>
      <x:c r="K77" t="n">
        <x:v>115298.61</x:v>
      </x:c>
      <x:c r="L77" t="str">
        <x:v>空運</x:v>
      </x:c>
      <x:c r="M77" t="n">
        <x:v>0</x:v>
      </x:c>
      <x:c r="N77" t="str">
        <x:v>是</x:v>
      </x:c>
      <x:c r="O77" t="n">
        <x:v>0</x:v>
      </x:c>
      <x:c r="P77"/>
    </x:row>
    <x:row r="78" ht="20" customHeight="1">
      <x:c r="A78" t="str">
        <x:v>SH000077</x:v>
      </x:c>
      <x:c r="B78" t="str">
        <x:v>SO00051-01</x:v>
      </x:c>
      <x:c r="C78" t="str">
        <x:v>WO00076</x:v>
      </x:c>
      <x:c r="D78" t="str">
        <x:v>LOT00076</x:v>
      </x:c>
      <x:c r="E78" t="str">
        <x:v>EMS-007</x:v>
      </x:c>
      <x:c r="F78" t="str">
        <x:v>SEMI-WH-A</x:v>
      </x:c>
      <x:c r="G78" s="20" t="n">
        <x:v>45305</x:v>
      </x:c>
      <x:c r="H78" s="20" t="n">
        <x:v>45312</x:v>
      </x:c>
      <x:c r="I78" s="20" t="n">
        <x:v>45315</x:v>
      </x:c>
      <x:c r="J78" t="n">
        <x:v>79</x:v>
      </x:c>
      <x:c r="K78" t="n">
        <x:v>115298.61</x:v>
      </x:c>
      <x:c r="L78" t="str">
        <x:v>空運</x:v>
      </x:c>
      <x:c r="M78" t="n">
        <x:v>10</x:v>
      </x:c>
      <x:c r="N78" t="str">
        <x:v>否</x:v>
      </x:c>
      <x:c r="O78" t="n">
        <x:v>0</x:v>
      </x:c>
      <x:c r="P78"/>
    </x:row>
    <x:row r="79" ht="20" customHeight="1">
      <x:c r="A79" t="str">
        <x:v>SH000078</x:v>
      </x:c>
      <x:c r="B79" t="str">
        <x:v>SO00052-01</x:v>
      </x:c>
      <x:c r="C79" t="str">
        <x:v>WO00079</x:v>
      </x:c>
      <x:c r="D79" t="str">
        <x:v>LOT00079</x:v>
      </x:c>
      <x:c r="E79" t="str">
        <x:v>IAT-010</x:v>
      </x:c>
      <x:c r="F79" t="str">
        <x:v>AUTO-BRK-B</x:v>
      </x:c>
      <x:c r="G79" s="20" t="n">
        <x:v>45287</x:v>
      </x:c>
      <x:c r="H79" s="20" t="n">
        <x:v>45285</x:v>
      </x:c>
      <x:c r="I79" s="20" t="n">
        <x:v>45290</x:v>
      </x:c>
      <x:c r="J79" t="n">
        <x:v>6395</x:v>
      </x:c>
      <x:c r="K79" t="n">
        <x:v>2157.04</x:v>
      </x:c>
      <x:c r="L79" t="str">
        <x:v>空運</x:v>
      </x:c>
      <x:c r="M79" t="n">
        <x:v>3</x:v>
      </x:c>
      <x:c r="N79" t="str">
        <x:v>否</x:v>
      </x:c>
      <x:c r="O79" t="n">
        <x:v>0</x:v>
      </x:c>
      <x:c r="P79"/>
    </x:row>
    <x:row r="80" ht="20" customHeight="1">
      <x:c r="A80" t="str">
        <x:v>SH000079</x:v>
      </x:c>
      <x:c r="B80" t="str">
        <x:v>SO00052-01</x:v>
      </x:c>
      <x:c r="C80" t="str">
        <x:v>WO00078</x:v>
      </x:c>
      <x:c r="D80" t="str">
        <x:v>LOT00078</x:v>
      </x:c>
      <x:c r="E80" t="str">
        <x:v>IAT-010</x:v>
      </x:c>
      <x:c r="F80" t="str">
        <x:v>AUTO-BRK-B</x:v>
      </x:c>
      <x:c r="G80" s="20" t="n">
        <x:v>45287</x:v>
      </x:c>
      <x:c r="H80" s="20" t="n">
        <x:v>45288</x:v>
      </x:c>
      <x:c r="I80" s="20" t="n">
        <x:v>45292</x:v>
      </x:c>
      <x:c r="J80" t="n">
        <x:v>6422</x:v>
      </x:c>
      <x:c r="K80" t="n">
        <x:v>2157.04</x:v>
      </x:c>
      <x:c r="L80" t="str">
        <x:v>海運</x:v>
      </x:c>
      <x:c r="M80" t="n">
        <x:v>5</x:v>
      </x:c>
      <x:c r="N80" t="str">
        <x:v>否</x:v>
      </x:c>
      <x:c r="O80" t="n">
        <x:v>0</x:v>
      </x:c>
      <x:c r="P80"/>
    </x:row>
    <x:row r="81" ht="20" customHeight="1">
      <x:c r="A81" t="str">
        <x:v>SH000080</x:v>
      </x:c>
      <x:c r="B81" t="str">
        <x:v>SO00053-01</x:v>
      </x:c>
      <x:c r="C81" t="str">
        <x:v>WO00080</x:v>
      </x:c>
      <x:c r="D81" t="str">
        <x:v>LOT00080</x:v>
      </x:c>
      <x:c r="E81" t="str">
        <x:v>IAT-005</x:v>
      </x:c>
      <x:c r="F81" t="str">
        <x:v>AUTO-KN-A</x:v>
      </x:c>
      <x:c r="G81" s="20" t="n">
        <x:v>45271</x:v>
      </x:c>
      <x:c r="H81" s="20" t="n">
        <x:v>45270</x:v>
      </x:c>
      <x:c r="I81" s="20" t="n">
        <x:v>45275</x:v>
      </x:c>
      <x:c r="J81" t="n">
        <x:v>2966</x:v>
      </x:c>
      <x:c r="K81" t="n">
        <x:v>3034.85</x:v>
      </x:c>
      <x:c r="L81" t="str">
        <x:v>陸運</x:v>
      </x:c>
      <x:c r="M81" t="n">
        <x:v>4</x:v>
      </x:c>
      <x:c r="N81" t="str">
        <x:v>否</x:v>
      </x:c>
      <x:c r="O81" t="n">
        <x:v>0</x:v>
      </x:c>
      <x:c r="P81"/>
    </x:row>
    <x:row r="82" ht="20" customHeight="1">
      <x:c r="A82" t="str">
        <x:v>SH000081</x:v>
      </x:c>
      <x:c r="B82" t="str">
        <x:v>SO00054-01</x:v>
      </x:c>
      <x:c r="C82" t="str">
        <x:v>WO00081</x:v>
      </x:c>
      <x:c r="D82" t="str">
        <x:v>LOT00081</x:v>
      </x:c>
      <x:c r="E82" t="str">
        <x:v>AUT-005</x:v>
      </x:c>
      <x:c r="F82" t="str">
        <x:v>AUTO-BRK-A</x:v>
      </x:c>
      <x:c r="G82" s="20" t="n">
        <x:v>45265</x:v>
      </x:c>
      <x:c r="H82" s="20" t="n">
        <x:v>45266</x:v>
      </x:c>
      <x:c r="I82" s="20" t="n">
        <x:v>45267</x:v>
      </x:c>
      <x:c r="J82" t="n">
        <x:v>4910</x:v>
      </x:c>
      <x:c r="K82" t="n">
        <x:v>1690.79</x:v>
      </x:c>
      <x:c r="L82" t="str">
        <x:v>空運</x:v>
      </x:c>
      <x:c r="M82" t="n">
        <x:v>2</x:v>
      </x:c>
      <x:c r="N82" t="str">
        <x:v>否</x:v>
      </x:c>
      <x:c r="O82" t="n">
        <x:v>0</x:v>
      </x:c>
      <x:c r="P82"/>
    </x:row>
    <x:row r="83" ht="20" customHeight="1">
      <x:c r="A83" t="str">
        <x:v>SH000082</x:v>
      </x:c>
      <x:c r="B83" t="str">
        <x:v>SO00055-01</x:v>
      </x:c>
      <x:c r="C83" t="str">
        <x:v>WO00082</x:v>
      </x:c>
      <x:c r="D83" t="str">
        <x:v>LOT00082</x:v>
      </x:c>
      <x:c r="E83" t="str">
        <x:v>EMS-005</x:v>
      </x:c>
      <x:c r="F83" t="str">
        <x:v>AUTO-MH-A</x:v>
      </x:c>
      <x:c r="G83" s="20" t="n">
        <x:v>45283</x:v>
      </x:c>
      <x:c r="H83" s="20" t="n">
        <x:v>45279</x:v>
      </x:c>
      <x:c r="I83" s="20" t="n">
        <x:v>45280</x:v>
      </x:c>
      <x:c r="J83" t="n">
        <x:v>2976</x:v>
      </x:c>
      <x:c r="K83" t="n">
        <x:v>2504.94</x:v>
      </x:c>
      <x:c r="L83" t="str">
        <x:v>空運</x:v>
      </x:c>
      <x:c r="M83" t="n">
        <x:v>0</x:v>
      </x:c>
      <x:c r="N83" t="str">
        <x:v>是</x:v>
      </x:c>
      <x:c r="O83" t="n">
        <x:v>0</x:v>
      </x:c>
      <x:c r="P83"/>
    </x:row>
    <x:row r="84" ht="20" customHeight="1">
      <x:c r="A84" t="str">
        <x:v>SH000083</x:v>
      </x:c>
      <x:c r="B84" t="str">
        <x:v>SO00056-01</x:v>
      </x:c>
      <x:c r="C84" t="str">
        <x:v>WO00083</x:v>
      </x:c>
      <x:c r="D84" t="str">
        <x:v>LOT00083</x:v>
      </x:c>
      <x:c r="E84" t="str">
        <x:v>EMS-002</x:v>
      </x:c>
      <x:c r="F84" t="str">
        <x:v>AUTO-KN-A</x:v>
      </x:c>
      <x:c r="G84" s="20" t="n">
        <x:v>45295</x:v>
      </x:c>
      <x:c r="H84" s="20" t="n">
        <x:v>45298</x:v>
      </x:c>
      <x:c r="I84" s="20" t="n">
        <x:v>45302</x:v>
      </x:c>
      <x:c r="J84" t="n">
        <x:v>2958</x:v>
      </x:c>
      <x:c r="K84" t="n">
        <x:v>3159.73</x:v>
      </x:c>
      <x:c r="L84" t="str">
        <x:v>空運</x:v>
      </x:c>
      <x:c r="M84" t="n">
        <x:v>7</x:v>
      </x:c>
      <x:c r="N84" t="str">
        <x:v>否</x:v>
      </x:c>
      <x:c r="O84" t="n">
        <x:v>0</x:v>
      </x:c>
      <x:c r="P84"/>
    </x:row>
    <x:row r="85" ht="20" customHeight="1">
      <x:c r="A85" t="str">
        <x:v>SH000084</x:v>
      </x:c>
      <x:c r="B85" t="str">
        <x:v>SO00057-01</x:v>
      </x:c>
      <x:c r="C85" t="str">
        <x:v>WO00084</x:v>
      </x:c>
      <x:c r="D85" t="str">
        <x:v>LOT00084</x:v>
      </x:c>
      <x:c r="E85" t="str">
        <x:v>AFT-006</x:v>
      </x:c>
      <x:c r="F85" t="str">
        <x:v>AUTO-KN-A</x:v>
      </x:c>
      <x:c r="G85" s="20" t="n">
        <x:v>45303</x:v>
      </x:c>
      <x:c r="H85" s="20" t="n">
        <x:v>45299</x:v>
      </x:c>
      <x:c r="I85" s="20" t="n">
        <x:v>45303</x:v>
      </x:c>
      <x:c r="J85" t="n">
        <x:v>2941</x:v>
      </x:c>
      <x:c r="K85" t="n">
        <x:v>2865.64</x:v>
      </x:c>
      <x:c r="L85" t="str">
        <x:v>海運</x:v>
      </x:c>
      <x:c r="M85" t="n">
        <x:v>0</x:v>
      </x:c>
      <x:c r="N85" t="str">
        <x:v>是</x:v>
      </x:c>
      <x:c r="O85" t="n">
        <x:v>0</x:v>
      </x:c>
      <x:c r="P85"/>
    </x:row>
    <x:row r="86" ht="20" customHeight="1">
      <x:c r="A86" t="str">
        <x:v>SH000085</x:v>
      </x:c>
      <x:c r="B86" t="str">
        <x:v>SO00058-01</x:v>
      </x:c>
      <x:c r="C86" t="str">
        <x:v>WO00085</x:v>
      </x:c>
      <x:c r="D86" t="str">
        <x:v>LOT00085</x:v>
      </x:c>
      <x:c r="E86" t="str">
        <x:v>EMS-006</x:v>
      </x:c>
      <x:c r="F86" t="str">
        <x:v>AUTO-BRK-B</x:v>
      </x:c>
      <x:c r="G86" s="20" t="n">
        <x:v>45319</x:v>
      </x:c>
      <x:c r="H86" s="20" t="n">
        <x:v>45313</x:v>
      </x:c>
      <x:c r="I86" s="20" t="n">
        <x:v>45316</x:v>
      </x:c>
      <x:c r="J86" t="n">
        <x:v>4928</x:v>
      </x:c>
      <x:c r="K86" t="n">
        <x:v>2145.68</x:v>
      </x:c>
      <x:c r="L86" t="str">
        <x:v>海運</x:v>
      </x:c>
      <x:c r="M86" t="n">
        <x:v>0</x:v>
      </x:c>
      <x:c r="N86" t="str">
        <x:v>是</x:v>
      </x:c>
      <x:c r="O86" t="n">
        <x:v>30</x:v>
      </x:c>
      <x:c r="P86" t="str">
        <x:v>外觀瑕疵</x:v>
      </x:c>
    </x:row>
    <x:row r="87" ht="20" customHeight="1">
      <x:c r="A87" t="str">
        <x:v>SH000086</x:v>
      </x:c>
      <x:c r="B87" t="str">
        <x:v>SO00059-01</x:v>
      </x:c>
      <x:c r="C87" t="str">
        <x:v>WO00086</x:v>
      </x:c>
      <x:c r="D87" t="str">
        <x:v>LOT00086</x:v>
      </x:c>
      <x:c r="E87" t="str">
        <x:v>AUT-013</x:v>
      </x:c>
      <x:c r="F87" t="str">
        <x:v>AUTO-MH-B</x:v>
      </x:c>
      <x:c r="G87" s="20" t="n">
        <x:v>45313</x:v>
      </x:c>
      <x:c r="H87" s="20" t="n">
        <x:v>45310</x:v>
      </x:c>
      <x:c r="I87" s="20" t="n">
        <x:v>45315</x:v>
      </x:c>
      <x:c r="J87" t="n">
        <x:v>6920</x:v>
      </x:c>
      <x:c r="K87" t="n">
        <x:v>2977.8</x:v>
      </x:c>
      <x:c r="L87" t="str">
        <x:v>陸運</x:v>
      </x:c>
      <x:c r="M87" t="n">
        <x:v>2</x:v>
      </x:c>
      <x:c r="N87" t="str">
        <x:v>否</x:v>
      </x:c>
      <x:c r="O87" t="n">
        <x:v>0</x:v>
      </x:c>
      <x:c r="P87"/>
    </x:row>
    <x:row r="88" ht="20" customHeight="1">
      <x:c r="A88" t="str">
        <x:v>SH000087</x:v>
      </x:c>
      <x:c r="B88" t="str">
        <x:v>SO00060-01</x:v>
      </x:c>
      <x:c r="C88" t="str">
        <x:v>WO00087</x:v>
      </x:c>
      <x:c r="D88" t="str">
        <x:v>LOT00087</x:v>
      </x:c>
      <x:c r="E88" t="str">
        <x:v>IAT-002</x:v>
      </x:c>
      <x:c r="F88" t="str">
        <x:v>SEMI-WH-B</x:v>
      </x:c>
      <x:c r="G88" s="20" t="n">
        <x:v>45345</x:v>
      </x:c>
      <x:c r="H88" s="20" t="n">
        <x:v>45342</x:v>
      </x:c>
      <x:c r="I88" s="20" t="n">
        <x:v>45347</x:v>
      </x:c>
      <x:c r="J88" t="n">
        <x:v>58</x:v>
      </x:c>
      <x:c r="K88" t="n">
        <x:v>161059.88</x:v>
      </x:c>
      <x:c r="L88" t="str">
        <x:v>海運</x:v>
      </x:c>
      <x:c r="M88" t="n">
        <x:v>2</x:v>
      </x:c>
      <x:c r="N88" t="str">
        <x:v>否</x:v>
      </x:c>
      <x:c r="O88" t="n">
        <x:v>0</x:v>
      </x:c>
      <x:c r="P88"/>
    </x:row>
    <x:row r="89" ht="20" customHeight="1">
      <x:c r="A89" t="str">
        <x:v>SH000088</x:v>
      </x:c>
      <x:c r="B89" t="str">
        <x:v>SO00060-01</x:v>
      </x:c>
      <x:c r="C89" t="str">
        <x:v>WO00088</x:v>
      </x:c>
      <x:c r="D89" t="str">
        <x:v>LOT00088</x:v>
      </x:c>
      <x:c r="E89" t="str">
        <x:v>IAT-002</x:v>
      </x:c>
      <x:c r="F89" t="str">
        <x:v>SEMI-WH-B</x:v>
      </x:c>
      <x:c r="G89" s="20" t="n">
        <x:v>45345</x:v>
      </x:c>
      <x:c r="H89" s="20" t="n">
        <x:v>45344</x:v>
      </x:c>
      <x:c r="I89" s="20" t="n">
        <x:v>45348</x:v>
      </x:c>
      <x:c r="J89" t="n">
        <x:v>59</x:v>
      </x:c>
      <x:c r="K89" t="n">
        <x:v>161059.88</x:v>
      </x:c>
      <x:c r="L89" t="str">
        <x:v>海運</x:v>
      </x:c>
      <x:c r="M89" t="n">
        <x:v>3</x:v>
      </x:c>
      <x:c r="N89" t="str">
        <x:v>否</x:v>
      </x:c>
      <x:c r="O89" t="n">
        <x:v>0</x:v>
      </x:c>
      <x:c r="P89"/>
    </x:row>
    <x:row r="90" ht="20" customHeight="1">
      <x:c r="A90" t="str">
        <x:v>SH000089</x:v>
      </x:c>
      <x:c r="B90" t="str">
        <x:v>SO00061-01</x:v>
      </x:c>
      <x:c r="C90" t="str">
        <x:v>WO00089</x:v>
      </x:c>
      <x:c r="D90" t="str">
        <x:v>LOT00089</x:v>
      </x:c>
      <x:c r="E90" t="str">
        <x:v>EMS-007</x:v>
      </x:c>
      <x:c r="F90" t="str">
        <x:v>PM-VAC-A</x:v>
      </x:c>
      <x:c r="G90" s="20" t="n">
        <x:v>45305</x:v>
      </x:c>
      <x:c r="H90" s="20" t="n">
        <x:v>45311</x:v>
      </x:c>
      <x:c r="I90" s="20" t="n">
        <x:v>45313</x:v>
      </x:c>
      <x:c r="J90" t="n">
        <x:v>297</x:v>
      </x:c>
      <x:c r="K90" t="n">
        <x:v>16421.41</x:v>
      </x:c>
      <x:c r="L90" t="str">
        <x:v>空運</x:v>
      </x:c>
      <x:c r="M90" t="n">
        <x:v>8</x:v>
      </x:c>
      <x:c r="N90" t="str">
        <x:v>否</x:v>
      </x:c>
      <x:c r="O90" t="n">
        <x:v>0</x:v>
      </x:c>
      <x:c r="P90"/>
    </x:row>
    <x:row r="91" ht="20" customHeight="1">
      <x:c r="A91" t="str">
        <x:v>SH000090</x:v>
      </x:c>
      <x:c r="B91" t="str">
        <x:v>SO00062-01</x:v>
      </x:c>
      <x:c r="C91" t="str">
        <x:v>WO00090</x:v>
      </x:c>
      <x:c r="D91" t="str">
        <x:v>LOT00090</x:v>
      </x:c>
      <x:c r="E91" t="str">
        <x:v>AUT-009</x:v>
      </x:c>
      <x:c r="F91" t="str">
        <x:v>AUTO-FL-A</x:v>
      </x:c>
      <x:c r="G91" s="20" t="n">
        <x:v>45296</x:v>
      </x:c>
      <x:c r="H91" s="20" t="n">
        <x:v>45298</x:v>
      </x:c>
      <x:c r="I91" s="20" t="n">
        <x:v>45303</x:v>
      </x:c>
      <x:c r="J91" t="n">
        <x:v>4977</x:v>
      </x:c>
      <x:c r="K91" t="n">
        <x:v>1273.32</x:v>
      </x:c>
      <x:c r="L91" t="str">
        <x:v>陸運</x:v>
      </x:c>
      <x:c r="M91" t="n">
        <x:v>7</x:v>
      </x:c>
      <x:c r="N91" t="str">
        <x:v>否</x:v>
      </x:c>
      <x:c r="O91" t="n">
        <x:v>0</x:v>
      </x:c>
      <x:c r="P91"/>
    </x:row>
    <x:row r="92" ht="20" customHeight="1">
      <x:c r="A92" t="str">
        <x:v>SH000091</x:v>
      </x:c>
      <x:c r="B92" t="str">
        <x:v>SO00063-01</x:v>
      </x:c>
      <x:c r="C92" t="str">
        <x:v>WO00091</x:v>
      </x:c>
      <x:c r="D92" t="str">
        <x:v>LOT00091</x:v>
      </x:c>
      <x:c r="E92" t="str">
        <x:v>AUT-014</x:v>
      </x:c>
      <x:c r="F92" t="str">
        <x:v>AUTO-BS-B</x:v>
      </x:c>
      <x:c r="G92" s="20" t="n">
        <x:v>45290</x:v>
      </x:c>
      <x:c r="H92" s="20" t="n">
        <x:v>45289</x:v>
      </x:c>
      <x:c r="I92" s="20" t="n">
        <x:v>45293</x:v>
      </x:c>
      <x:c r="J92" t="n">
        <x:v>2988</x:v>
      </x:c>
      <x:c r="K92" t="n">
        <x:v>879.54</x:v>
      </x:c>
      <x:c r="L92" t="str">
        <x:v>海運</x:v>
      </x:c>
      <x:c r="M92" t="n">
        <x:v>3</x:v>
      </x:c>
      <x:c r="N92" t="str">
        <x:v>否</x:v>
      </x:c>
      <x:c r="O92" t="n">
        <x:v>0</x:v>
      </x:c>
      <x:c r="P92"/>
    </x:row>
    <x:row r="93" ht="20" customHeight="1">
      <x:c r="A93" t="str">
        <x:v>SH000092</x:v>
      </x:c>
      <x:c r="B93" t="str">
        <x:v>SO00064-01</x:v>
      </x:c>
      <x:c r="C93" t="str">
        <x:v>WO00092</x:v>
      </x:c>
      <x:c r="D93" t="str">
        <x:v>LOT00092</x:v>
      </x:c>
      <x:c r="E93" t="str">
        <x:v>IAT-005</x:v>
      </x:c>
      <x:c r="F93" t="str">
        <x:v>AUTO-BS-A</x:v>
      </x:c>
      <x:c r="G93" s="20" t="n">
        <x:v>45287</x:v>
      </x:c>
      <x:c r="H93" s="20" t="n">
        <x:v>45284</x:v>
      </x:c>
      <x:c r="I93" s="20" t="n">
        <x:v>45289</x:v>
      </x:c>
      <x:c r="J93" t="n">
        <x:v>4922</x:v>
      </x:c>
      <x:c r="K93" t="n">
        <x:v>795.98</x:v>
      </x:c>
      <x:c r="L93" t="str">
        <x:v>海運</x:v>
      </x:c>
      <x:c r="M93" t="n">
        <x:v>2</x:v>
      </x:c>
      <x:c r="N93" t="str">
        <x:v>否</x:v>
      </x:c>
      <x:c r="O93" t="n">
        <x:v>0</x:v>
      </x:c>
      <x:c r="P93"/>
    </x:row>
    <x:row r="94" ht="20" customHeight="1">
      <x:c r="A94" t="str">
        <x:v>SH000093</x:v>
      </x:c>
      <x:c r="B94" t="str">
        <x:v>SO00064-01</x:v>
      </x:c>
      <x:c r="C94" t="str">
        <x:v>WO00093</x:v>
      </x:c>
      <x:c r="D94" t="str">
        <x:v>LOT00093</x:v>
      </x:c>
      <x:c r="E94" t="str">
        <x:v>IAT-005</x:v>
      </x:c>
      <x:c r="F94" t="str">
        <x:v>AUTO-BS-A</x:v>
      </x:c>
      <x:c r="G94" s="20" t="n">
        <x:v>45287</x:v>
      </x:c>
      <x:c r="H94" s="20" t="n">
        <x:v>45286</x:v>
      </x:c>
      <x:c r="I94" s="20" t="n">
        <x:v>45289</x:v>
      </x:c>
      <x:c r="J94" t="n">
        <x:v>4928</x:v>
      </x:c>
      <x:c r="K94" t="n">
        <x:v>795.98</x:v>
      </x:c>
      <x:c r="L94" t="str">
        <x:v>空運</x:v>
      </x:c>
      <x:c r="M94" t="n">
        <x:v>2</x:v>
      </x:c>
      <x:c r="N94" t="str">
        <x:v>否</x:v>
      </x:c>
      <x:c r="O94" t="n">
        <x:v>0</x:v>
      </x:c>
      <x:c r="P94"/>
    </x:row>
    <x:row r="95" ht="20" customHeight="1">
      <x:c r="A95" t="str">
        <x:v>SH000094</x:v>
      </x:c>
      <x:c r="B95" t="str">
        <x:v>SO00065-01</x:v>
      </x:c>
      <x:c r="C95" t="str">
        <x:v>WO00094</x:v>
      </x:c>
      <x:c r="D95" t="str">
        <x:v>LOT00094</x:v>
      </x:c>
      <x:c r="E95" t="str">
        <x:v>AUT-014</x:v>
      </x:c>
      <x:c r="F95" t="str">
        <x:v>AUTO-KN-B</x:v>
      </x:c>
      <x:c r="G95" s="20" t="n">
        <x:v>45292</x:v>
      </x:c>
      <x:c r="H95" s="20" t="n">
        <x:v>45289</x:v>
      </x:c>
      <x:c r="I95" s="20" t="n">
        <x:v>45293</x:v>
      </x:c>
      <x:c r="J95" t="n">
        <x:v>4912</x:v>
      </x:c>
      <x:c r="K95" t="n">
        <x:v>3661.2</x:v>
      </x:c>
      <x:c r="L95" t="str">
        <x:v>海運</x:v>
      </x:c>
      <x:c r="M95" t="n">
        <x:v>1</x:v>
      </x:c>
      <x:c r="N95" t="str">
        <x:v>否</x:v>
      </x:c>
      <x:c r="O95" t="n">
        <x:v>0</x:v>
      </x:c>
      <x:c r="P95"/>
    </x:row>
    <x:row r="96" ht="20" customHeight="1">
      <x:c r="A96" t="str">
        <x:v>SH000095</x:v>
      </x:c>
      <x:c r="B96" t="str">
        <x:v>SO00066-01</x:v>
      </x:c>
      <x:c r="C96" t="str">
        <x:v>WO00095</x:v>
      </x:c>
      <x:c r="D96" t="str">
        <x:v>LOT00095</x:v>
      </x:c>
      <x:c r="E96" t="str">
        <x:v>AUT-008</x:v>
      </x:c>
      <x:c r="F96" t="str">
        <x:v>AUTO-BS-A</x:v>
      </x:c>
      <x:c r="G96" s="20" t="n">
        <x:v>45293</x:v>
      </x:c>
      <x:c r="H96" s="20" t="n">
        <x:v>45293</x:v>
      </x:c>
      <x:c r="I96" s="20" t="n">
        <x:v>45296</x:v>
      </x:c>
      <x:c r="J96" t="n">
        <x:v>6992</x:v>
      </x:c>
      <x:c r="K96" t="n">
        <x:v>725.45</x:v>
      </x:c>
      <x:c r="L96" t="str">
        <x:v>陸運</x:v>
      </x:c>
      <x:c r="M96" t="n">
        <x:v>3</x:v>
      </x:c>
      <x:c r="N96" t="str">
        <x:v>否</x:v>
      </x:c>
      <x:c r="O96" t="n">
        <x:v>71</x:v>
      </x:c>
      <x:c r="P96" t="str">
        <x:v>尺寸異常</x:v>
      </x:c>
    </x:row>
    <x:row r="97" ht="20" customHeight="1">
      <x:c r="A97" t="str">
        <x:v>SH000096</x:v>
      </x:c>
      <x:c r="B97" t="str">
        <x:v>SO00067-01</x:v>
      </x:c>
      <x:c r="C97" t="str">
        <x:v>WO00096</x:v>
      </x:c>
      <x:c r="D97" t="str">
        <x:v>LOT00096</x:v>
      </x:c>
      <x:c r="E97" t="str">
        <x:v>SEM-008</x:v>
      </x:c>
      <x:c r="F97" t="str">
        <x:v>PM-ALB-A</x:v>
      </x:c>
      <x:c r="G97" s="20" t="n">
        <x:v>45318</x:v>
      </x:c>
      <x:c r="H97" s="20" t="n">
        <x:v>45311</x:v>
      </x:c>
      <x:c r="I97" s="20" t="n">
        <x:v>45315</x:v>
      </x:c>
      <x:c r="J97" t="n">
        <x:v>293</x:v>
      </x:c>
      <x:c r="K97" t="n">
        <x:v>9830.9</x:v>
      </x:c>
      <x:c r="L97" t="str">
        <x:v>陸運</x:v>
      </x:c>
      <x:c r="M97" t="n">
        <x:v>0</x:v>
      </x:c>
      <x:c r="N97" t="str">
        <x:v>是</x:v>
      </x:c>
      <x:c r="O97" t="n">
        <x:v>0</x:v>
      </x:c>
      <x:c r="P97"/>
    </x:row>
    <x:row r="98" ht="20" customHeight="1">
      <x:c r="A98" t="str">
        <x:v>SH000097</x:v>
      </x:c>
      <x:c r="B98" t="str">
        <x:v>SO00068-01</x:v>
      </x:c>
      <x:c r="C98" t="str">
        <x:v>WO00097</x:v>
      </x:c>
      <x:c r="D98" t="str">
        <x:v>LOT00097</x:v>
      </x:c>
      <x:c r="E98" t="str">
        <x:v>AUT-003</x:v>
      </x:c>
      <x:c r="F98" t="str">
        <x:v>AUTO-KN-B</x:v>
      </x:c>
      <x:c r="G98" s="20" t="n">
        <x:v>45302</x:v>
      </x:c>
      <x:c r="H98" s="20" t="n">
        <x:v>45303</x:v>
      </x:c>
      <x:c r="I98" s="20" t="n">
        <x:v>45305</x:v>
      </x:c>
      <x:c r="J98" t="n">
        <x:v>4919</x:v>
      </x:c>
      <x:c r="K98" t="n">
        <x:v>3408.76</x:v>
      </x:c>
      <x:c r="L98" t="str">
        <x:v>空運</x:v>
      </x:c>
      <x:c r="M98" t="n">
        <x:v>3</x:v>
      </x:c>
      <x:c r="N98" t="str">
        <x:v>否</x:v>
      </x:c>
      <x:c r="O98" t="n">
        <x:v>0</x:v>
      </x:c>
      <x:c r="P98"/>
    </x:row>
    <x:row r="99" ht="20" customHeight="1">
      <x:c r="A99" t="str">
        <x:v>SH000098</x:v>
      </x:c>
      <x:c r="B99" t="str">
        <x:v>SO00069-01</x:v>
      </x:c>
      <x:c r="C99" t="str">
        <x:v>WO00098</x:v>
      </x:c>
      <x:c r="D99" t="str">
        <x:v>LOT00098</x:v>
      </x:c>
      <x:c r="E99" t="str">
        <x:v>AFT-002</x:v>
      </x:c>
      <x:c r="F99" t="str">
        <x:v>PM-SUS-B</x:v>
      </x:c>
      <x:c r="G99" s="20" t="n">
        <x:v>45314</x:v>
      </x:c>
      <x:c r="H99" s="20" t="n">
        <x:v>45313</x:v>
      </x:c>
      <x:c r="I99" s="20" t="n">
        <x:v>45317</x:v>
      </x:c>
      <x:c r="J99" t="n">
        <x:v>295</x:v>
      </x:c>
      <x:c r="K99" t="n">
        <x:v>14960.46</x:v>
      </x:c>
      <x:c r="L99" t="str">
        <x:v>陸運</x:v>
      </x:c>
      <x:c r="M99" t="n">
        <x:v>3</x:v>
      </x:c>
      <x:c r="N99" t="str">
        <x:v>否</x:v>
      </x:c>
      <x:c r="O99" t="n">
        <x:v>0</x:v>
      </x:c>
      <x:c r="P99"/>
    </x:row>
    <x:row r="100" ht="20" customHeight="1">
      <x:c r="A100" t="str">
        <x:v>SH000099</x:v>
      </x:c>
      <x:c r="B100" t="str">
        <x:v>SO00070-01</x:v>
      </x:c>
      <x:c r="C100" t="str">
        <x:v>WO00100</x:v>
      </x:c>
      <x:c r="D100" t="str">
        <x:v>LOT00100</x:v>
      </x:c>
      <x:c r="E100" t="str">
        <x:v>AUT-004</x:v>
      </x:c>
      <x:c r="F100" t="str">
        <x:v>AUTO-BS-B</x:v>
      </x:c>
      <x:c r="G100" s="20" t="n">
        <x:v>45290</x:v>
      </x:c>
      <x:c r="H100" s="20" t="n">
        <x:v>45286</x:v>
      </x:c>
      <x:c r="I100" s="20" t="n">
        <x:v>45288</x:v>
      </x:c>
      <x:c r="J100" t="n">
        <x:v>6433</x:v>
      </x:c>
      <x:c r="K100" t="n">
        <x:v>941.71</x:v>
      </x:c>
      <x:c r="L100" t="str">
        <x:v>空運</x:v>
      </x:c>
      <x:c r="M100" t="n">
        <x:v>0</x:v>
      </x:c>
      <x:c r="N100" t="str">
        <x:v>是</x:v>
      </x:c>
      <x:c r="O100" t="n">
        <x:v>0</x:v>
      </x:c>
      <x:c r="P100"/>
    </x:row>
    <x:row r="101" ht="20" customHeight="1">
      <x:c r="A101" t="str">
        <x:v>SH000100</x:v>
      </x:c>
      <x:c r="B101" t="str">
        <x:v>SO00070-01</x:v>
      </x:c>
      <x:c r="C101" t="str">
        <x:v>WO00099</x:v>
      </x:c>
      <x:c r="D101" t="str">
        <x:v>LOT00099</x:v>
      </x:c>
      <x:c r="E101" t="str">
        <x:v>AUT-004</x:v>
      </x:c>
      <x:c r="F101" t="str">
        <x:v>AUTO-BS-B</x:v>
      </x:c>
      <x:c r="G101" s="20" t="n">
        <x:v>45290</x:v>
      </x:c>
      <x:c r="H101" s="20" t="n">
        <x:v>45287</x:v>
      </x:c>
      <x:c r="I101" s="20" t="n">
        <x:v>45288</x:v>
      </x:c>
      <x:c r="J101" t="n">
        <x:v>6445</x:v>
      </x:c>
      <x:c r="K101" t="n">
        <x:v>941.71</x:v>
      </x:c>
      <x:c r="L101" t="str">
        <x:v>海運</x:v>
      </x:c>
      <x:c r="M101" t="n">
        <x:v>0</x:v>
      </x:c>
      <x:c r="N101" t="str">
        <x:v>是</x:v>
      </x:c>
      <x:c r="O101" t="n">
        <x:v>0</x:v>
      </x:c>
      <x:c r="P101"/>
    </x:row>
    <x:row r="102" ht="20" customHeight="1">
      <x:c r="A102" t="str">
        <x:v>SH000101</x:v>
      </x:c>
      <x:c r="B102" t="str">
        <x:v>SO00071-01</x:v>
      </x:c>
      <x:c r="C102" t="str">
        <x:v>WO00101</x:v>
      </x:c>
      <x:c r="D102" t="str">
        <x:v>LOT00101</x:v>
      </x:c>
      <x:c r="E102" t="str">
        <x:v>EMS-001</x:v>
      </x:c>
      <x:c r="F102" t="str">
        <x:v>AUTO-BS-A</x:v>
      </x:c>
      <x:c r="G102" s="20" t="n">
        <x:v>45287</x:v>
      </x:c>
      <x:c r="H102" s="20" t="n">
        <x:v>45285</x:v>
      </x:c>
      <x:c r="I102" s="20" t="n">
        <x:v>45287</x:v>
      </x:c>
      <x:c r="J102" t="n">
        <x:v>4930</x:v>
      </x:c>
      <x:c r="K102" t="n">
        <x:v>723.29</x:v>
      </x:c>
      <x:c r="L102" t="str">
        <x:v>空運</x:v>
      </x:c>
      <x:c r="M102" t="n">
        <x:v>0</x:v>
      </x:c>
      <x:c r="N102" t="str">
        <x:v>是</x:v>
      </x:c>
      <x:c r="O102" t="n">
        <x:v>0</x:v>
      </x:c>
      <x:c r="P102"/>
    </x:row>
    <x:row r="103" ht="20" customHeight="1">
      <x:c r="A103" t="str">
        <x:v>SH000102</x:v>
      </x:c>
      <x:c r="B103" t="str">
        <x:v>SO00071-01</x:v>
      </x:c>
      <x:c r="C103" t="str">
        <x:v>WO00102</x:v>
      </x:c>
      <x:c r="D103" t="str">
        <x:v>LOT00102</x:v>
      </x:c>
      <x:c r="E103" t="str">
        <x:v>EMS-001</x:v>
      </x:c>
      <x:c r="F103" t="str">
        <x:v>AUTO-BS-A</x:v>
      </x:c>
      <x:c r="G103" s="20" t="n">
        <x:v>45287</x:v>
      </x:c>
      <x:c r="H103" s="20" t="n">
        <x:v>45284</x:v>
      </x:c>
      <x:c r="I103" s="20" t="n">
        <x:v>45289</x:v>
      </x:c>
      <x:c r="J103" t="n">
        <x:v>4958</x:v>
      </x:c>
      <x:c r="K103" t="n">
        <x:v>723.29</x:v>
      </x:c>
      <x:c r="L103" t="str">
        <x:v>空運</x:v>
      </x:c>
      <x:c r="M103" t="n">
        <x:v>2</x:v>
      </x:c>
      <x:c r="N103" t="str">
        <x:v>否</x:v>
      </x:c>
      <x:c r="O103" t="n">
        <x:v>0</x:v>
      </x:c>
      <x:c r="P103"/>
    </x:row>
    <x:row r="104" ht="20" customHeight="1">
      <x:c r="A104" t="str">
        <x:v>SH000103</x:v>
      </x:c>
      <x:c r="B104" t="str">
        <x:v>SO00072-01</x:v>
      </x:c>
      <x:c r="C104" t="str">
        <x:v>WO00103</x:v>
      </x:c>
      <x:c r="D104" t="str">
        <x:v>LOT00103</x:v>
      </x:c>
      <x:c r="E104" t="str">
        <x:v>EMS-003</x:v>
      </x:c>
      <x:c r="F104" t="str">
        <x:v>SEMI-WH-B</x:v>
      </x:c>
      <x:c r="G104" s="20" t="n">
        <x:v>45367</x:v>
      </x:c>
      <x:c r="H104" s="20" t="n">
        <x:v>45368</x:v>
      </x:c>
      <x:c r="I104" s="20" t="n">
        <x:v>45369</x:v>
      </x:c>
      <x:c r="J104" t="n">
        <x:v>78</x:v>
      </x:c>
      <x:c r="K104" t="n">
        <x:v>163207</x:v>
      </x:c>
      <x:c r="L104" t="str">
        <x:v>陸運</x:v>
      </x:c>
      <x:c r="M104" t="n">
        <x:v>2</x:v>
      </x:c>
      <x:c r="N104" t="str">
        <x:v>否</x:v>
      </x:c>
      <x:c r="O104" t="n">
        <x:v>0</x:v>
      </x:c>
      <x:c r="P104"/>
    </x:row>
    <x:row r="105" ht="20" customHeight="1">
      <x:c r="A105" t="str">
        <x:v>SH000104</x:v>
      </x:c>
      <x:c r="B105" t="str">
        <x:v>SO00073-01</x:v>
      </x:c>
      <x:c r="C105" t="str">
        <x:v>WO00105</x:v>
      </x:c>
      <x:c r="D105" t="str">
        <x:v>LOT00105</x:v>
      </x:c>
      <x:c r="E105" t="str">
        <x:v>AUT-005</x:v>
      </x:c>
      <x:c r="F105" t="str">
        <x:v>PM-ALB-B</x:v>
      </x:c>
      <x:c r="G105" s="20" t="n">
        <x:v>45302</x:v>
      </x:c>
      <x:c r="H105" s="20" t="n">
        <x:v>45301</x:v>
      </x:c>
      <x:c r="I105" s="20" t="n">
        <x:v>45304</x:v>
      </x:c>
      <x:c r="J105" t="n">
        <x:v>779</x:v>
      </x:c>
      <x:c r="K105" t="n">
        <x:v>14999.33</x:v>
      </x:c>
      <x:c r="L105" t="str">
        <x:v>空運</x:v>
      </x:c>
      <x:c r="M105" t="n">
        <x:v>2</x:v>
      </x:c>
      <x:c r="N105" t="str">
        <x:v>否</x:v>
      </x:c>
      <x:c r="O105" t="n">
        <x:v>0</x:v>
      </x:c>
      <x:c r="P105"/>
    </x:row>
    <x:row r="106" ht="20" customHeight="1">
      <x:c r="A106" t="str">
        <x:v>SH000105</x:v>
      </x:c>
      <x:c r="B106" t="str">
        <x:v>SO00073-01</x:v>
      </x:c>
      <x:c r="C106" t="str">
        <x:v>WO00104</x:v>
      </x:c>
      <x:c r="D106" t="str">
        <x:v>LOT00104</x:v>
      </x:c>
      <x:c r="E106" t="str">
        <x:v>AUT-005</x:v>
      </x:c>
      <x:c r="F106" t="str">
        <x:v>PM-ALB-B</x:v>
      </x:c>
      <x:c r="G106" s="20" t="n">
        <x:v>45302</x:v>
      </x:c>
      <x:c r="H106" s="20" t="n">
        <x:v>45310</x:v>
      </x:c>
      <x:c r="I106" s="20" t="n">
        <x:v>45312</x:v>
      </x:c>
      <x:c r="J106" t="n">
        <x:v>782</x:v>
      </x:c>
      <x:c r="K106" t="n">
        <x:v>14999.33</x:v>
      </x:c>
      <x:c r="L106" t="str">
        <x:v>空運</x:v>
      </x:c>
      <x:c r="M106" t="n">
        <x:v>10</x:v>
      </x:c>
      <x:c r="N106" t="str">
        <x:v>否</x:v>
      </x:c>
      <x:c r="O106" t="n">
        <x:v>0</x:v>
      </x:c>
      <x:c r="P106"/>
    </x:row>
    <x:row r="107" ht="20" customHeight="1">
      <x:c r="A107" t="str">
        <x:v>SH000106</x:v>
      </x:c>
      <x:c r="B107" t="str">
        <x:v>SO00074-01</x:v>
      </x:c>
      <x:c r="C107" t="str">
        <x:v>WO00106</x:v>
      </x:c>
      <x:c r="D107" t="str">
        <x:v>LOT00106</x:v>
      </x:c>
      <x:c r="E107" t="str">
        <x:v>AUT-007</x:v>
      </x:c>
      <x:c r="F107" t="str">
        <x:v>PM-BRG-A</x:v>
      </x:c>
      <x:c r="G107" s="20" t="n">
        <x:v>45336</x:v>
      </x:c>
      <x:c r="H107" s="20" t="n">
        <x:v>45332</x:v>
      </x:c>
      <x:c r="I107" s="20" t="n">
        <x:v>45333</x:v>
      </x:c>
      <x:c r="J107" t="n">
        <x:v>290</x:v>
      </x:c>
      <x:c r="K107" t="n">
        <x:v>6975.36</x:v>
      </x:c>
      <x:c r="L107" t="str">
        <x:v>海運</x:v>
      </x:c>
      <x:c r="M107" t="n">
        <x:v>0</x:v>
      </x:c>
      <x:c r="N107" t="str">
        <x:v>是</x:v>
      </x:c>
      <x:c r="O107" t="n">
        <x:v>0</x:v>
      </x:c>
      <x:c r="P107"/>
    </x:row>
    <x:row r="108" ht="20" customHeight="1">
      <x:c r="A108" t="str">
        <x:v>SH000107</x:v>
      </x:c>
      <x:c r="B108" t="str">
        <x:v>SO00075-01</x:v>
      </x:c>
      <x:c r="C108" t="str">
        <x:v>WO00107</x:v>
      </x:c>
      <x:c r="D108" t="str">
        <x:v>LOT00107</x:v>
      </x:c>
      <x:c r="E108" t="str">
        <x:v>EMS-006</x:v>
      </x:c>
      <x:c r="F108" t="str">
        <x:v>AUTO-BRK-A</x:v>
      </x:c>
      <x:c r="G108" s="20" t="n">
        <x:v>45321</x:v>
      </x:c>
      <x:c r="H108" s="20" t="n">
        <x:v>45322</x:v>
      </x:c>
      <x:c r="I108" s="20" t="n">
        <x:v>45324</x:v>
      </x:c>
      <x:c r="J108" t="n">
        <x:v>6933</x:v>
      </x:c>
      <x:c r="K108" t="n">
        <x:v>1821.77</x:v>
      </x:c>
      <x:c r="L108" t="str">
        <x:v>空運</x:v>
      </x:c>
      <x:c r="M108" t="n">
        <x:v>3</x:v>
      </x:c>
      <x:c r="N108" t="str">
        <x:v>否</x:v>
      </x:c>
      <x:c r="O108" t="n">
        <x:v>74</x:v>
      </x:c>
      <x:c r="P108" t="str">
        <x:v>外觀瑕疵</x:v>
      </x:c>
    </x:row>
    <x:row r="109" ht="20" customHeight="1">
      <x:c r="A109" t="str">
        <x:v>SH000108</x:v>
      </x:c>
      <x:c r="B109" t="str">
        <x:v>SO00076-01</x:v>
      </x:c>
      <x:c r="C109" t="str">
        <x:v>WO00109</x:v>
      </x:c>
      <x:c r="D109" t="str">
        <x:v>LOT00109</x:v>
      </x:c>
      <x:c r="E109" t="str">
        <x:v>IAT-004</x:v>
      </x:c>
      <x:c r="F109" t="str">
        <x:v>AUTO-BRK-A</x:v>
      </x:c>
      <x:c r="G109" s="20" t="n">
        <x:v>45332</x:v>
      </x:c>
      <x:c r="H109" s="20" t="n">
        <x:v>45328</x:v>
      </x:c>
      <x:c r="I109" s="20" t="n">
        <x:v>45332</x:v>
      </x:c>
      <x:c r="J109" t="n">
        <x:v>6360</x:v>
      </x:c>
      <x:c r="K109" t="n">
        <x:v>1655.69</x:v>
      </x:c>
      <x:c r="L109" t="str">
        <x:v>海運</x:v>
      </x:c>
      <x:c r="M109" t="n">
        <x:v>0</x:v>
      </x:c>
      <x:c r="N109" t="str">
        <x:v>是</x:v>
      </x:c>
      <x:c r="O109" t="n">
        <x:v>0</x:v>
      </x:c>
      <x:c r="P109"/>
    </x:row>
    <x:row r="110" ht="20" customHeight="1">
      <x:c r="A110" t="str">
        <x:v>SH000109</x:v>
      </x:c>
      <x:c r="B110" t="str">
        <x:v>SO00076-01</x:v>
      </x:c>
      <x:c r="C110" t="str">
        <x:v>WO00108</x:v>
      </x:c>
      <x:c r="D110" t="str">
        <x:v>LOT00108</x:v>
      </x:c>
      <x:c r="E110" t="str">
        <x:v>IAT-004</x:v>
      </x:c>
      <x:c r="F110" t="str">
        <x:v>AUTO-BRK-A</x:v>
      </x:c>
      <x:c r="G110" s="20" t="n">
        <x:v>45332</x:v>
      </x:c>
      <x:c r="H110" s="20" t="n">
        <x:v>45329</x:v>
      </x:c>
      <x:c r="I110" s="20" t="n">
        <x:v>45334</x:v>
      </x:c>
      <x:c r="J110" t="n">
        <x:v>6426</x:v>
      </x:c>
      <x:c r="K110" t="n">
        <x:v>1655.69</x:v>
      </x:c>
      <x:c r="L110" t="str">
        <x:v>空運</x:v>
      </x:c>
      <x:c r="M110" t="n">
        <x:v>2</x:v>
      </x:c>
      <x:c r="N110" t="str">
        <x:v>否</x:v>
      </x:c>
      <x:c r="O110" t="n">
        <x:v>0</x:v>
      </x:c>
      <x:c r="P110"/>
    </x:row>
    <x:row r="111" ht="20" customHeight="1">
      <x:c r="A111" t="str">
        <x:v>SH000110</x:v>
      </x:c>
      <x:c r="B111" t="str">
        <x:v>SO00077-01</x:v>
      </x:c>
      <x:c r="C111" t="str">
        <x:v>WO00110</x:v>
      </x:c>
      <x:c r="D111" t="str">
        <x:v>LOT00110</x:v>
      </x:c>
      <x:c r="E111" t="str">
        <x:v>IAT-007</x:v>
      </x:c>
      <x:c r="F111" t="str">
        <x:v>MECH-STG-A</x:v>
      </x:c>
      <x:c r="G111" s="20" t="n">
        <x:v>45365</x:v>
      </x:c>
      <x:c r="H111" s="20" t="n">
        <x:v>45362</x:v>
      </x:c>
      <x:c r="I111" s="20" t="n">
        <x:v>45365</x:v>
      </x:c>
      <x:c r="J111" t="n">
        <x:v>17</x:v>
      </x:c>
      <x:c r="K111" t="n">
        <x:v>134354.83</x:v>
      </x:c>
      <x:c r="L111" t="str">
        <x:v>空運</x:v>
      </x:c>
      <x:c r="M111" t="n">
        <x:v>0</x:v>
      </x:c>
      <x:c r="N111" t="str">
        <x:v>是</x:v>
      </x:c>
      <x:c r="O111" t="n">
        <x:v>0</x:v>
      </x:c>
      <x:c r="P111"/>
    </x:row>
    <x:row r="112" ht="20" customHeight="1">
      <x:c r="A112" t="str">
        <x:v>SH000111</x:v>
      </x:c>
      <x:c r="B112" t="str">
        <x:v>SO00077-01</x:v>
      </x:c>
      <x:c r="C112" t="str">
        <x:v>WO00112</x:v>
      </x:c>
      <x:c r="D112" t="str">
        <x:v>LOT00112</x:v>
      </x:c>
      <x:c r="E112" t="str">
        <x:v>IAT-007</x:v>
      </x:c>
      <x:c r="F112" t="str">
        <x:v>MECH-STG-A</x:v>
      </x:c>
      <x:c r="G112" s="20" t="n">
        <x:v>45365</x:v>
      </x:c>
      <x:c r="H112" s="20" t="n">
        <x:v>45366</x:v>
      </x:c>
      <x:c r="I112" s="20" t="n">
        <x:v>45370</x:v>
      </x:c>
      <x:c r="J112" t="n">
        <x:v>16</x:v>
      </x:c>
      <x:c r="K112" t="n">
        <x:v>134354.83</x:v>
      </x:c>
      <x:c r="L112" t="str">
        <x:v>空運</x:v>
      </x:c>
      <x:c r="M112" t="n">
        <x:v>5</x:v>
      </x:c>
      <x:c r="N112" t="str">
        <x:v>否</x:v>
      </x:c>
      <x:c r="O112" t="n">
        <x:v>0</x:v>
      </x:c>
      <x:c r="P112"/>
    </x:row>
    <x:row r="113" ht="20" customHeight="1">
      <x:c r="A113" t="str">
        <x:v>SH000112</x:v>
      </x:c>
      <x:c r="B113" t="str">
        <x:v>SO00077-01</x:v>
      </x:c>
      <x:c r="C113" t="str">
        <x:v>WO00111</x:v>
      </x:c>
      <x:c r="D113" t="str">
        <x:v>LOT00111</x:v>
      </x:c>
      <x:c r="E113" t="str">
        <x:v>IAT-007</x:v>
      </x:c>
      <x:c r="F113" t="str">
        <x:v>MECH-STG-A</x:v>
      </x:c>
      <x:c r="G113" s="20" t="n">
        <x:v>45365</x:v>
      </x:c>
      <x:c r="H113" s="20" t="n">
        <x:v>45371</x:v>
      </x:c>
      <x:c r="I113" s="20" t="n">
        <x:v>45372</x:v>
      </x:c>
      <x:c r="J113" t="n">
        <x:v>17</x:v>
      </x:c>
      <x:c r="K113" t="n">
        <x:v>134354.83</x:v>
      </x:c>
      <x:c r="L113" t="str">
        <x:v>海運</x:v>
      </x:c>
      <x:c r="M113" t="n">
        <x:v>7</x:v>
      </x:c>
      <x:c r="N113" t="str">
        <x:v>否</x:v>
      </x:c>
      <x:c r="O113" t="n">
        <x:v>0</x:v>
      </x:c>
      <x:c r="P113"/>
    </x:row>
    <x:row r="114" ht="20" customHeight="1">
      <x:c r="A114" t="str">
        <x:v>SH000113</x:v>
      </x:c>
      <x:c r="B114" t="str">
        <x:v>SO00078-01</x:v>
      </x:c>
      <x:c r="C114" t="str">
        <x:v>WO00113</x:v>
      </x:c>
      <x:c r="D114" t="str">
        <x:v>LOT00113</x:v>
      </x:c>
      <x:c r="E114" t="str">
        <x:v>IAT-002</x:v>
      </x:c>
      <x:c r="F114" t="str">
        <x:v>PM-SUS-A</x:v>
      </x:c>
      <x:c r="G114" s="20" t="n">
        <x:v>45330</x:v>
      </x:c>
      <x:c r="H114" s="20" t="n">
        <x:v>45327</x:v>
      </x:c>
      <x:c r="I114" s="20" t="n">
        <x:v>45332</x:v>
      </x:c>
      <x:c r="J114" t="n">
        <x:v>588</x:v>
      </x:c>
      <x:c r="K114" t="n">
        <x:v>10613.43</x:v>
      </x:c>
      <x:c r="L114" t="str">
        <x:v>陸運</x:v>
      </x:c>
      <x:c r="M114" t="n">
        <x:v>2</x:v>
      </x:c>
      <x:c r="N114" t="str">
        <x:v>否</x:v>
      </x:c>
      <x:c r="O114" t="n">
        <x:v>0</x:v>
      </x:c>
      <x:c r="P114"/>
    </x:row>
    <x:row r="115" ht="20" customHeight="1">
      <x:c r="A115" t="str">
        <x:v>SH000114</x:v>
      </x:c>
      <x:c r="B115" t="str">
        <x:v>SO00078-01</x:v>
      </x:c>
      <x:c r="C115" t="str">
        <x:v>WO00114</x:v>
      </x:c>
      <x:c r="D115" t="str">
        <x:v>LOT00114</x:v>
      </x:c>
      <x:c r="E115" t="str">
        <x:v>IAT-002</x:v>
      </x:c>
      <x:c r="F115" t="str">
        <x:v>PM-SUS-A</x:v>
      </x:c>
      <x:c r="G115" s="20" t="n">
        <x:v>45330</x:v>
      </x:c>
      <x:c r="H115" s="20" t="n">
        <x:v>45326</x:v>
      </x:c>
      <x:c r="I115" s="20" t="n">
        <x:v>45330</x:v>
      </x:c>
      <x:c r="J115" t="n">
        <x:v>589</x:v>
      </x:c>
      <x:c r="K115" t="n">
        <x:v>10613.43</x:v>
      </x:c>
      <x:c r="L115" t="str">
        <x:v>海運</x:v>
      </x:c>
      <x:c r="M115" t="n">
        <x:v>0</x:v>
      </x:c>
      <x:c r="N115" t="str">
        <x:v>是</x:v>
      </x:c>
      <x:c r="O115" t="n">
        <x:v>0</x:v>
      </x:c>
      <x:c r="P115"/>
    </x:row>
    <x:row r="116" ht="20" customHeight="1">
      <x:c r="A116" t="str">
        <x:v>SH000115</x:v>
      </x:c>
      <x:c r="B116" t="str">
        <x:v>SO00079-01</x:v>
      </x:c>
      <x:c r="C116" t="str">
        <x:v>WO00116</x:v>
      </x:c>
      <x:c r="D116" t="str">
        <x:v>LOT00116</x:v>
      </x:c>
      <x:c r="E116" t="str">
        <x:v>AUT-009</x:v>
      </x:c>
      <x:c r="F116" t="str">
        <x:v>PM-BRG-A</x:v>
      </x:c>
      <x:c r="G116" s="20" t="n">
        <x:v>45320</x:v>
      </x:c>
      <x:c r="H116" s="20" t="n">
        <x:v>45315</x:v>
      </x:c>
      <x:c r="I116" s="20" t="n">
        <x:v>45320</x:v>
      </x:c>
      <x:c r="J116" t="n">
        <x:v>786</x:v>
      </x:c>
      <x:c r="K116" t="n">
        <x:v>6961.29</x:v>
      </x:c>
      <x:c r="L116" t="str">
        <x:v>空運</x:v>
      </x:c>
      <x:c r="M116" t="n">
        <x:v>0</x:v>
      </x:c>
      <x:c r="N116" t="str">
        <x:v>是</x:v>
      </x:c>
      <x:c r="O116" t="n">
        <x:v>0</x:v>
      </x:c>
      <x:c r="P116"/>
    </x:row>
    <x:row r="117" ht="20" customHeight="1">
      <x:c r="A117" t="str">
        <x:v>SH000116</x:v>
      </x:c>
      <x:c r="B117" t="str">
        <x:v>SO00079-01</x:v>
      </x:c>
      <x:c r="C117" t="str">
        <x:v>WO00115</x:v>
      </x:c>
      <x:c r="D117" t="str">
        <x:v>LOT00115</x:v>
      </x:c>
      <x:c r="E117" t="str">
        <x:v>AUT-009</x:v>
      </x:c>
      <x:c r="F117" t="str">
        <x:v>PM-BRG-A</x:v>
      </x:c>
      <x:c r="G117" s="20" t="n">
        <x:v>45320</x:v>
      </x:c>
      <x:c r="H117" s="20" t="n">
        <x:v>45315</x:v>
      </x:c>
      <x:c r="I117" s="20" t="n">
        <x:v>45317</x:v>
      </x:c>
      <x:c r="J117" t="n">
        <x:v>782</x:v>
      </x:c>
      <x:c r="K117" t="n">
        <x:v>6961.29</x:v>
      </x:c>
      <x:c r="L117" t="str">
        <x:v>海運</x:v>
      </x:c>
      <x:c r="M117" t="n">
        <x:v>0</x:v>
      </x:c>
      <x:c r="N117" t="str">
        <x:v>是</x:v>
      </x:c>
      <x:c r="O117" t="n">
        <x:v>0</x:v>
      </x:c>
      <x:c r="P117"/>
    </x:row>
    <x:row r="118" ht="20" customHeight="1">
      <x:c r="A118" t="str">
        <x:v>SH000117</x:v>
      </x:c>
      <x:c r="B118" t="str">
        <x:v>SO00080-01</x:v>
      </x:c>
      <x:c r="C118" t="str">
        <x:v>WO00118</x:v>
      </x:c>
      <x:c r="D118" t="str">
        <x:v>LOT00118</x:v>
      </x:c>
      <x:c r="E118" t="str">
        <x:v>SEM-002</x:v>
      </x:c>
      <x:c r="F118" t="str">
        <x:v>PM-VAC-B</x:v>
      </x:c>
      <x:c r="G118" s="20" t="n">
        <x:v>45363</x:v>
      </x:c>
      <x:c r="H118" s="20" t="n">
        <x:v>45360</x:v>
      </x:c>
      <x:c r="I118" s="20" t="n">
        <x:v>45361</x:v>
      </x:c>
      <x:c r="J118" t="n">
        <x:v>787</x:v>
      </x:c>
      <x:c r="K118" t="n">
        <x:v>23009.88</x:v>
      </x:c>
      <x:c r="L118" t="str">
        <x:v>陸運</x:v>
      </x:c>
      <x:c r="M118" t="n">
        <x:v>0</x:v>
      </x:c>
      <x:c r="N118" t="str">
        <x:v>是</x:v>
      </x:c>
      <x:c r="O118" t="n">
        <x:v>0</x:v>
      </x:c>
      <x:c r="P118"/>
    </x:row>
    <x:row r="119" ht="20" customHeight="1">
      <x:c r="A119" t="str">
        <x:v>SH000118</x:v>
      </x:c>
      <x:c r="B119" t="str">
        <x:v>SO00080-01</x:v>
      </x:c>
      <x:c r="C119" t="str">
        <x:v>WO00117</x:v>
      </x:c>
      <x:c r="D119" t="str">
        <x:v>LOT00117</x:v>
      </x:c>
      <x:c r="E119" t="str">
        <x:v>SEM-002</x:v>
      </x:c>
      <x:c r="F119" t="str">
        <x:v>PM-VAC-B</x:v>
      </x:c>
      <x:c r="G119" s="20" t="n">
        <x:v>45363</x:v>
      </x:c>
      <x:c r="H119" s="20" t="n">
        <x:v>45362</x:v>
      </x:c>
      <x:c r="I119" s="20" t="n">
        <x:v>45364</x:v>
      </x:c>
      <x:c r="J119" t="n">
        <x:v>780</x:v>
      </x:c>
      <x:c r="K119" t="n">
        <x:v>23009.88</x:v>
      </x:c>
      <x:c r="L119" t="str">
        <x:v>空運</x:v>
      </x:c>
      <x:c r="M119" t="n">
        <x:v>1</x:v>
      </x:c>
      <x:c r="N119" t="str">
        <x:v>否</x:v>
      </x:c>
      <x:c r="O119" t="n">
        <x:v>0</x:v>
      </x:c>
      <x:c r="P119"/>
    </x:row>
    <x:row r="120" ht="20" customHeight="1">
      <x:c r="A120" t="str">
        <x:v>SH000119</x:v>
      </x:c>
      <x:c r="B120" t="str">
        <x:v>SO00081-01</x:v>
      </x:c>
      <x:c r="C120" t="str">
        <x:v>WO00119</x:v>
      </x:c>
      <x:c r="D120" t="str">
        <x:v>LOT00119</x:v>
      </x:c>
      <x:c r="E120" t="str">
        <x:v>SEM-010</x:v>
      </x:c>
      <x:c r="F120" t="str">
        <x:v>PM-BRG-B</x:v>
      </x:c>
      <x:c r="G120" s="20" t="n">
        <x:v>45320</x:v>
      </x:c>
      <x:c r="H120" s="20" t="n">
        <x:v>45318</x:v>
      </x:c>
      <x:c r="I120" s="20" t="n">
        <x:v>45323</x:v>
      </x:c>
      <x:c r="J120" t="n">
        <x:v>776</x:v>
      </x:c>
      <x:c r="K120" t="n">
        <x:v>7960.84</x:v>
      </x:c>
      <x:c r="L120" t="str">
        <x:v>海運</x:v>
      </x:c>
      <x:c r="M120" t="n">
        <x:v>3</x:v>
      </x:c>
      <x:c r="N120" t="str">
        <x:v>否</x:v>
      </x:c>
      <x:c r="O120" t="n">
        <x:v>0</x:v>
      </x:c>
      <x:c r="P120"/>
    </x:row>
    <x:row r="121" ht="20" customHeight="1">
      <x:c r="A121" t="str">
        <x:v>SH000120</x:v>
      </x:c>
      <x:c r="B121" t="str">
        <x:v>SO00082-01</x:v>
      </x:c>
      <x:c r="C121" t="str">
        <x:v>WO00121</x:v>
      </x:c>
      <x:c r="D121" t="str">
        <x:v>LOT00121</x:v>
      </x:c>
      <x:c r="E121" t="str">
        <x:v>AFT-007</x:v>
      </x:c>
      <x:c r="F121" t="str">
        <x:v>PM-VAC-A</x:v>
      </x:c>
      <x:c r="G121" s="20" t="n">
        <x:v>45337</x:v>
      </x:c>
      <x:c r="H121" s="20" t="n">
        <x:v>45337</x:v>
      </x:c>
      <x:c r="I121" s="20" t="n">
        <x:v>45341</x:v>
      </x:c>
      <x:c r="J121" t="n">
        <x:v>783</x:v>
      </x:c>
      <x:c r="K121" t="n">
        <x:v>16148.56</x:v>
      </x:c>
      <x:c r="L121" t="str">
        <x:v>空運</x:v>
      </x:c>
      <x:c r="M121" t="n">
        <x:v>4</x:v>
      </x:c>
      <x:c r="N121" t="str">
        <x:v>否</x:v>
      </x:c>
      <x:c r="O121" t="n">
        <x:v>0</x:v>
      </x:c>
      <x:c r="P121"/>
    </x:row>
    <x:row r="122" ht="20" customHeight="1">
      <x:c r="A122" t="str">
        <x:v>SH000121</x:v>
      </x:c>
      <x:c r="B122" t="str">
        <x:v>SO00082-01</x:v>
      </x:c>
      <x:c r="C122" t="str">
        <x:v>WO00120</x:v>
      </x:c>
      <x:c r="D122" t="str">
        <x:v>LOT00120</x:v>
      </x:c>
      <x:c r="E122" t="str">
        <x:v>AFT-007</x:v>
      </x:c>
      <x:c r="F122" t="str">
        <x:v>PM-VAC-A</x:v>
      </x:c>
      <x:c r="G122" s="20" t="n">
        <x:v>45337</x:v>
      </x:c>
      <x:c r="H122" s="20" t="n">
        <x:v>45343</x:v>
      </x:c>
      <x:c r="I122" s="20" t="n">
        <x:v>45347</x:v>
      </x:c>
      <x:c r="J122" t="n">
        <x:v>779</x:v>
      </x:c>
      <x:c r="K122" t="n">
        <x:v>16148.56</x:v>
      </x:c>
      <x:c r="L122" t="str">
        <x:v>空運</x:v>
      </x:c>
      <x:c r="M122" t="n">
        <x:v>10</x:v>
      </x:c>
      <x:c r="N122" t="str">
        <x:v>否</x:v>
      </x:c>
      <x:c r="O122" t="n">
        <x:v>0</x:v>
      </x:c>
      <x:c r="P122"/>
    </x:row>
    <x:row r="123" ht="20" customHeight="1">
      <x:c r="A123" t="str">
        <x:v>SH000122</x:v>
      </x:c>
      <x:c r="B123" t="str">
        <x:v>SO00083-01</x:v>
      </x:c>
      <x:c r="C123" t="str">
        <x:v>WO00122</x:v>
      </x:c>
      <x:c r="D123" t="str">
        <x:v>LOT00122</x:v>
      </x:c>
      <x:c r="E123" t="str">
        <x:v>AFT-004</x:v>
      </x:c>
      <x:c r="F123" t="str">
        <x:v>PM-VAC-B</x:v>
      </x:c>
      <x:c r="G123" s="20" t="n">
        <x:v>45356</x:v>
      </x:c>
      <x:c r="H123" s="20" t="n">
        <x:v>45353</x:v>
      </x:c>
      <x:c r="I123" s="20" t="n">
        <x:v>45356</x:v>
      </x:c>
      <x:c r="J123" t="n">
        <x:v>295</x:v>
      </x:c>
      <x:c r="K123" t="n">
        <x:v>22046.61</x:v>
      </x:c>
      <x:c r="L123" t="str">
        <x:v>陸運</x:v>
      </x:c>
      <x:c r="M123" t="n">
        <x:v>0</x:v>
      </x:c>
      <x:c r="N123" t="str">
        <x:v>是</x:v>
      </x:c>
      <x:c r="O123" t="n">
        <x:v>0</x:v>
      </x:c>
      <x:c r="P123"/>
    </x:row>
    <x:row r="124" ht="20" customHeight="1">
      <x:c r="A124" t="str">
        <x:v>SH000123</x:v>
      </x:c>
      <x:c r="B124" t="str">
        <x:v>SO00084-01</x:v>
      </x:c>
      <x:c r="C124" t="str">
        <x:v>WO00123</x:v>
      </x:c>
      <x:c r="D124" t="str">
        <x:v>LOT00123</x:v>
      </x:c>
      <x:c r="E124" t="str">
        <x:v>AFT-005</x:v>
      </x:c>
      <x:c r="F124" t="str">
        <x:v>AUTO-LG-A</x:v>
      </x:c>
      <x:c r="G124" s="20" t="n">
        <x:v>45312</x:v>
      </x:c>
      <x:c r="H124" s="20" t="n">
        <x:v>45308</x:v>
      </x:c>
      <x:c r="I124" s="20" t="n">
        <x:v>45310</x:v>
      </x:c>
      <x:c r="J124" t="n">
        <x:v>6442</x:v>
      </x:c>
      <x:c r="K124" t="n">
        <x:v>1049.91</x:v>
      </x:c>
      <x:c r="L124" t="str">
        <x:v>海運</x:v>
      </x:c>
      <x:c r="M124" t="n">
        <x:v>0</x:v>
      </x:c>
      <x:c r="N124" t="str">
        <x:v>是</x:v>
      </x:c>
      <x:c r="O124" t="n">
        <x:v>0</x:v>
      </x:c>
      <x:c r="P124"/>
    </x:row>
    <x:row r="125" ht="20" customHeight="1">
      <x:c r="A125" t="str">
        <x:v>SH000124</x:v>
      </x:c>
      <x:c r="B125" t="str">
        <x:v>SO00084-01</x:v>
      </x:c>
      <x:c r="C125" t="str">
        <x:v>WO00124</x:v>
      </x:c>
      <x:c r="D125" t="str">
        <x:v>LOT00124</x:v>
      </x:c>
      <x:c r="E125" t="str">
        <x:v>AFT-005</x:v>
      </x:c>
      <x:c r="F125" t="str">
        <x:v>AUTO-LG-A</x:v>
      </x:c>
      <x:c r="G125" s="20" t="n">
        <x:v>45312</x:v>
      </x:c>
      <x:c r="H125" s="20" t="n">
        <x:v>45309</x:v>
      </x:c>
      <x:c r="I125" s="20" t="n">
        <x:v>45313</x:v>
      </x:c>
      <x:c r="J125" t="n">
        <x:v>6433</x:v>
      </x:c>
      <x:c r="K125" t="n">
        <x:v>1049.91</x:v>
      </x:c>
      <x:c r="L125" t="str">
        <x:v>陸運</x:v>
      </x:c>
      <x:c r="M125" t="n">
        <x:v>1</x:v>
      </x:c>
      <x:c r="N125" t="str">
        <x:v>否</x:v>
      </x:c>
      <x:c r="O125" t="n">
        <x:v>0</x:v>
      </x:c>
      <x:c r="P125"/>
    </x:row>
    <x:row r="126" ht="20" customHeight="1">
      <x:c r="A126" t="str">
        <x:v>SH000125</x:v>
      </x:c>
      <x:c r="B126" t="str">
        <x:v>SO00085-01</x:v>
      </x:c>
      <x:c r="C126" t="str">
        <x:v>WO00125</x:v>
      </x:c>
      <x:c r="D126" t="str">
        <x:v>LOT00125</x:v>
      </x:c>
      <x:c r="E126" t="str">
        <x:v>SEM-006</x:v>
      </x:c>
      <x:c r="F126" t="str">
        <x:v>PM-BRG-A</x:v>
      </x:c>
      <x:c r="G126" s="20" t="n">
        <x:v>45326</x:v>
      </x:c>
      <x:c r="H126" s="20" t="n">
        <x:v>45325</x:v>
      </x:c>
      <x:c r="I126" s="20" t="n">
        <x:v>45327</x:v>
      </x:c>
      <x:c r="J126" t="n">
        <x:v>491</x:v>
      </x:c>
      <x:c r="K126" t="n">
        <x:v>6731.55</x:v>
      </x:c>
      <x:c r="L126" t="str">
        <x:v>陸運</x:v>
      </x:c>
      <x:c r="M126" t="n">
        <x:v>1</x:v>
      </x:c>
      <x:c r="N126" t="str">
        <x:v>否</x:v>
      </x:c>
      <x:c r="O126" t="n">
        <x:v>0</x:v>
      </x:c>
      <x:c r="P126"/>
    </x:row>
    <x:row r="127" ht="20" customHeight="1">
      <x:c r="A127" t="str">
        <x:v>SH000126</x:v>
      </x:c>
      <x:c r="B127" t="str">
        <x:v>SO00086-01</x:v>
      </x:c>
      <x:c r="C127" t="str">
        <x:v>WO00126</x:v>
      </x:c>
      <x:c r="D127" t="str">
        <x:v>LOT00126</x:v>
      </x:c>
      <x:c r="E127" t="str">
        <x:v>AFT-003</x:v>
      </x:c>
      <x:c r="F127" t="str">
        <x:v>PM-ALB-B</x:v>
      </x:c>
      <x:c r="G127" s="20" t="n">
        <x:v>45358</x:v>
      </x:c>
      <x:c r="H127" s="20" t="n">
        <x:v>45359</x:v>
      </x:c>
      <x:c r="I127" s="20" t="n">
        <x:v>45360</x:v>
      </x:c>
      <x:c r="J127" t="n">
        <x:v>495</x:v>
      </x:c>
      <x:c r="K127" t="n">
        <x:v>16850.49</x:v>
      </x:c>
      <x:c r="L127" t="str">
        <x:v>海運</x:v>
      </x:c>
      <x:c r="M127" t="n">
        <x:v>2</x:v>
      </x:c>
      <x:c r="N127" t="str">
        <x:v>否</x:v>
      </x:c>
      <x:c r="O127" t="n">
        <x:v>0</x:v>
      </x:c>
      <x:c r="P127"/>
    </x:row>
    <x:row r="128" ht="20" customHeight="1">
      <x:c r="A128" t="str">
        <x:v>SH000127</x:v>
      </x:c>
      <x:c r="B128" t="str">
        <x:v>SO00087-01</x:v>
      </x:c>
      <x:c r="C128" t="str">
        <x:v>WO00128</x:v>
      </x:c>
      <x:c r="D128" t="str">
        <x:v>LOT00128</x:v>
      </x:c>
      <x:c r="E128" t="str">
        <x:v>AUT-006</x:v>
      </x:c>
      <x:c r="F128" t="str">
        <x:v>PM-SUS-B</x:v>
      </x:c>
      <x:c r="G128" s="20" t="n">
        <x:v>45335</x:v>
      </x:c>
      <x:c r="H128" s="20" t="n">
        <x:v>45329</x:v>
      </x:c>
      <x:c r="I128" s="20" t="n">
        <x:v>45332</x:v>
      </x:c>
      <x:c r="J128" t="n">
        <x:v>789</x:v>
      </x:c>
      <x:c r="K128" t="n">
        <x:v>13672.49</x:v>
      </x:c>
      <x:c r="L128" t="str">
        <x:v>空運</x:v>
      </x:c>
      <x:c r="M128" t="n">
        <x:v>0</x:v>
      </x:c>
      <x:c r="N128" t="str">
        <x:v>是</x:v>
      </x:c>
      <x:c r="O128" t="n">
        <x:v>0</x:v>
      </x:c>
      <x:c r="P128"/>
    </x:row>
    <x:row r="129" ht="20" customHeight="1">
      <x:c r="A129" t="str">
        <x:v>SH000128</x:v>
      </x:c>
      <x:c r="B129" t="str">
        <x:v>SO00087-01</x:v>
      </x:c>
      <x:c r="C129" t="str">
        <x:v>WO00127</x:v>
      </x:c>
      <x:c r="D129" t="str">
        <x:v>LOT00127</x:v>
      </x:c>
      <x:c r="E129" t="str">
        <x:v>AUT-006</x:v>
      </x:c>
      <x:c r="F129" t="str">
        <x:v>PM-SUS-B</x:v>
      </x:c>
      <x:c r="G129" s="20" t="n">
        <x:v>45335</x:v>
      </x:c>
      <x:c r="H129" s="20" t="n">
        <x:v>45335</x:v>
      </x:c>
      <x:c r="I129" s="20" t="n">
        <x:v>45337</x:v>
      </x:c>
      <x:c r="J129" t="n">
        <x:v>783</x:v>
      </x:c>
      <x:c r="K129" t="n">
        <x:v>13672.49</x:v>
      </x:c>
      <x:c r="L129" t="str">
        <x:v>海運</x:v>
      </x:c>
      <x:c r="M129" t="n">
        <x:v>2</x:v>
      </x:c>
      <x:c r="N129" t="str">
        <x:v>否</x:v>
      </x:c>
      <x:c r="O129" t="n">
        <x:v>0</x:v>
      </x:c>
      <x:c r="P129"/>
    </x:row>
    <x:row r="130" ht="20" customHeight="1">
      <x:c r="A130" t="str">
        <x:v>SH000129</x:v>
      </x:c>
      <x:c r="B130" t="str">
        <x:v>SO00088-01</x:v>
      </x:c>
      <x:c r="C130" t="str">
        <x:v>WO00129</x:v>
      </x:c>
      <x:c r="D130" t="str">
        <x:v>LOT00129</x:v>
      </x:c>
      <x:c r="E130" t="str">
        <x:v>EMS-003</x:v>
      </x:c>
      <x:c r="F130" t="str">
        <x:v>PM-BRG-B</x:v>
      </x:c>
      <x:c r="G130" s="20" t="n">
        <x:v>45325</x:v>
      </x:c>
      <x:c r="H130" s="20" t="n">
        <x:v>45323</x:v>
      </x:c>
      <x:c r="I130" s="20" t="n">
        <x:v>45327</x:v>
      </x:c>
      <x:c r="J130" t="n">
        <x:v>294</x:v>
      </x:c>
      <x:c r="K130" t="n">
        <x:v>7549.15</x:v>
      </x:c>
      <x:c r="L130" t="str">
        <x:v>陸運</x:v>
      </x:c>
      <x:c r="M130" t="n">
        <x:v>2</x:v>
      </x:c>
      <x:c r="N130" t="str">
        <x:v>否</x:v>
      </x:c>
      <x:c r="O130" t="n">
        <x:v>0</x:v>
      </x:c>
      <x:c r="P130"/>
    </x:row>
    <x:row r="131" ht="20" customHeight="1">
      <x:c r="A131" t="str">
        <x:v>SH000130</x:v>
      </x:c>
      <x:c r="B131" t="str">
        <x:v>SO00089-01</x:v>
      </x:c>
      <x:c r="C131" t="str">
        <x:v>WO00130</x:v>
      </x:c>
      <x:c r="D131" t="str">
        <x:v>LOT00130</x:v>
      </x:c>
      <x:c r="E131" t="str">
        <x:v>AUT-012</x:v>
      </x:c>
      <x:c r="F131" t="str">
        <x:v>PM-ALB-A</x:v>
      </x:c>
      <x:c r="G131" s="20" t="n">
        <x:v>45342</x:v>
      </x:c>
      <x:c r="H131" s="20" t="n">
        <x:v>45338</x:v>
      </x:c>
      <x:c r="I131" s="20" t="n">
        <x:v>45340</x:v>
      </x:c>
      <x:c r="J131" t="n">
        <x:v>786</x:v>
      </x:c>
      <x:c r="K131" t="n">
        <x:v>10998.81</x:v>
      </x:c>
      <x:c r="L131" t="str">
        <x:v>海運</x:v>
      </x:c>
      <x:c r="M131" t="n">
        <x:v>0</x:v>
      </x:c>
      <x:c r="N131" t="str">
        <x:v>是</x:v>
      </x:c>
      <x:c r="O131" t="n">
        <x:v>0</x:v>
      </x:c>
      <x:c r="P131"/>
    </x:row>
    <x:row r="132" ht="20" customHeight="1">
      <x:c r="A132" t="str">
        <x:v>SH000131</x:v>
      </x:c>
      <x:c r="B132" t="str">
        <x:v>SO00090-01</x:v>
      </x:c>
      <x:c r="C132" t="str">
        <x:v>WO00131</x:v>
      </x:c>
      <x:c r="D132" t="str">
        <x:v>LOT00131</x:v>
      </x:c>
      <x:c r="E132" t="str">
        <x:v>AUT-006</x:v>
      </x:c>
      <x:c r="F132" t="str">
        <x:v>PM-SUS-B</x:v>
      </x:c>
      <x:c r="G132" s="20" t="n">
        <x:v>45334</x:v>
      </x:c>
      <x:c r="H132" s="20" t="n">
        <x:v>45330</x:v>
      </x:c>
      <x:c r="I132" s="20" t="n">
        <x:v>45331</x:v>
      </x:c>
      <x:c r="J132" t="n">
        <x:v>585</x:v>
      </x:c>
      <x:c r="K132" t="n">
        <x:v>14974.58</x:v>
      </x:c>
      <x:c r="L132" t="str">
        <x:v>海運</x:v>
      </x:c>
      <x:c r="M132" t="n">
        <x:v>0</x:v>
      </x:c>
      <x:c r="N132" t="str">
        <x:v>是</x:v>
      </x:c>
      <x:c r="O132" t="n">
        <x:v>0</x:v>
      </x:c>
      <x:c r="P132"/>
    </x:row>
    <x:row r="133" ht="20" customHeight="1">
      <x:c r="A133" t="str">
        <x:v>SH000132</x:v>
      </x:c>
      <x:c r="B133" t="str">
        <x:v>SO00090-01</x:v>
      </x:c>
      <x:c r="C133" t="str">
        <x:v>WO00132</x:v>
      </x:c>
      <x:c r="D133" t="str">
        <x:v>LOT00132</x:v>
      </x:c>
      <x:c r="E133" t="str">
        <x:v>AUT-006</x:v>
      </x:c>
      <x:c r="F133" t="str">
        <x:v>PM-SUS-B</x:v>
      </x:c>
      <x:c r="G133" s="20" t="n">
        <x:v>45334</x:v>
      </x:c>
      <x:c r="H133" s="20" t="n">
        <x:v>45330</x:v>
      </x:c>
      <x:c r="I133" s="20" t="n">
        <x:v>45332</x:v>
      </x:c>
      <x:c r="J133" t="n">
        <x:v>589</x:v>
      </x:c>
      <x:c r="K133" t="n">
        <x:v>14974.58</x:v>
      </x:c>
      <x:c r="L133" t="str">
        <x:v>空運</x:v>
      </x:c>
      <x:c r="M133" t="n">
        <x:v>0</x:v>
      </x:c>
      <x:c r="N133" t="str">
        <x:v>是</x:v>
      </x:c>
      <x:c r="O133" t="n">
        <x:v>0</x:v>
      </x:c>
      <x:c r="P133"/>
    </x:row>
    <x:row r="134" ht="20" customHeight="1">
      <x:c r="A134" t="str">
        <x:v>SH000133</x:v>
      </x:c>
      <x:c r="B134" t="str">
        <x:v>SO00091-01</x:v>
      </x:c>
      <x:c r="C134" t="str">
        <x:v>WO00133</x:v>
      </x:c>
      <x:c r="D134" t="str">
        <x:v>LOT00133</x:v>
      </x:c>
      <x:c r="E134" t="str">
        <x:v>AFT-001</x:v>
      </x:c>
      <x:c r="F134" t="str">
        <x:v>AUTO-KN-A</x:v>
      </x:c>
      <x:c r="G134" s="20" t="n">
        <x:v>45354</x:v>
      </x:c>
      <x:c r="H134" s="20" t="n">
        <x:v>45353</x:v>
      </x:c>
      <x:c r="I134" s="20" t="n">
        <x:v>45356</x:v>
      </x:c>
      <x:c r="J134" t="n">
        <x:v>6374</x:v>
      </x:c>
      <x:c r="K134" t="n">
        <x:v>3006.32</x:v>
      </x:c>
      <x:c r="L134" t="str">
        <x:v>海運</x:v>
      </x:c>
      <x:c r="M134" t="n">
        <x:v>2</x:v>
      </x:c>
      <x:c r="N134" t="str">
        <x:v>否</x:v>
      </x:c>
      <x:c r="O134" t="n">
        <x:v>0</x:v>
      </x:c>
      <x:c r="P134"/>
    </x:row>
    <x:row r="135" ht="20" customHeight="1">
      <x:c r="A135" t="str">
        <x:v>SH000134</x:v>
      </x:c>
      <x:c r="B135" t="str">
        <x:v>SO00091-01</x:v>
      </x:c>
      <x:c r="C135" t="str">
        <x:v>WO00134</x:v>
      </x:c>
      <x:c r="D135" t="str">
        <x:v>LOT00134</x:v>
      </x:c>
      <x:c r="E135" t="str">
        <x:v>AFT-001</x:v>
      </x:c>
      <x:c r="F135" t="str">
        <x:v>AUTO-KN-A</x:v>
      </x:c>
      <x:c r="G135" s="20" t="n">
        <x:v>45354</x:v>
      </x:c>
      <x:c r="H135" s="20" t="n">
        <x:v>45358</x:v>
      </x:c>
      <x:c r="I135" s="20" t="n">
        <x:v>45360</x:v>
      </x:c>
      <x:c r="J135" t="n">
        <x:v>6415</x:v>
      </x:c>
      <x:c r="K135" t="n">
        <x:v>3006.32</x:v>
      </x:c>
      <x:c r="L135" t="str">
        <x:v>陸運</x:v>
      </x:c>
      <x:c r="M135" t="n">
        <x:v>6</x:v>
      </x:c>
      <x:c r="N135" t="str">
        <x:v>否</x:v>
      </x:c>
      <x:c r="O135" t="n">
        <x:v>0</x:v>
      </x:c>
      <x:c r="P135"/>
    </x:row>
    <x:row r="136" ht="20" customHeight="1">
      <x:c r="A136" t="str">
        <x:v>SH000135</x:v>
      </x:c>
      <x:c r="B136" t="str">
        <x:v>SO00092-01</x:v>
      </x:c>
      <x:c r="C136" t="str">
        <x:v>WO00135</x:v>
      </x:c>
      <x:c r="D136" t="str">
        <x:v>LOT00135</x:v>
      </x:c>
      <x:c r="E136" t="str">
        <x:v>IAT-004</x:v>
      </x:c>
      <x:c r="F136" t="str">
        <x:v>MECH-CON-B</x:v>
      </x:c>
      <x:c r="G136" s="20" t="n">
        <x:v>45343</x:v>
      </x:c>
      <x:c r="H136" s="20" t="n">
        <x:v>45337</x:v>
      </x:c>
      <x:c r="I136" s="20" t="n">
        <x:v>45339</x:v>
      </x:c>
      <x:c r="J136" t="n">
        <x:v>20</x:v>
      </x:c>
      <x:c r="K136" t="n">
        <x:v>161644.14</x:v>
      </x:c>
      <x:c r="L136" t="str">
        <x:v>陸運</x:v>
      </x:c>
      <x:c r="M136" t="n">
        <x:v>0</x:v>
      </x:c>
      <x:c r="N136" t="str">
        <x:v>是</x:v>
      </x:c>
      <x:c r="O136" t="n">
        <x:v>0</x:v>
      </x:c>
      <x:c r="P136"/>
    </x:row>
    <x:row r="137" ht="20" customHeight="1">
      <x:c r="A137" t="str">
        <x:v>SH000136</x:v>
      </x:c>
      <x:c r="B137" t="str">
        <x:v>SO00092-01</x:v>
      </x:c>
      <x:c r="C137" t="str">
        <x:v>WO00136</x:v>
      </x:c>
      <x:c r="D137" t="str">
        <x:v>LOT00136</x:v>
      </x:c>
      <x:c r="E137" t="str">
        <x:v>IAT-004</x:v>
      </x:c>
      <x:c r="F137" t="str">
        <x:v>MECH-CON-B</x:v>
      </x:c>
      <x:c r="G137" s="20" t="n">
        <x:v>45343</x:v>
      </x:c>
      <x:c r="H137" s="20" t="n">
        <x:v>45342</x:v>
      </x:c>
      <x:c r="I137" s="20" t="n">
        <x:v>45343</x:v>
      </x:c>
      <x:c r="J137" t="n">
        <x:v>20</x:v>
      </x:c>
      <x:c r="K137" t="n">
        <x:v>161644.14</x:v>
      </x:c>
      <x:c r="L137" t="str">
        <x:v>海運</x:v>
      </x:c>
      <x:c r="M137" t="n">
        <x:v>0</x:v>
      </x:c>
      <x:c r="N137" t="str">
        <x:v>是</x:v>
      </x:c>
      <x:c r="O137" t="n">
        <x:v>0</x:v>
      </x:c>
      <x:c r="P137"/>
    </x:row>
    <x:row r="138" ht="20" customHeight="1">
      <x:c r="A138" t="str">
        <x:v>SH000137</x:v>
      </x:c>
      <x:c r="B138" t="str">
        <x:v>SO00093-01</x:v>
      </x:c>
      <x:c r="C138" t="str">
        <x:v>WO00137</x:v>
      </x:c>
      <x:c r="D138" t="str">
        <x:v>LOT00137</x:v>
      </x:c>
      <x:c r="E138" t="str">
        <x:v>SEM-007</x:v>
      </x:c>
      <x:c r="F138" t="str">
        <x:v>SEMI-WH-B</x:v>
      </x:c>
      <x:c r="G138" s="20" t="n">
        <x:v>45377</x:v>
      </x:c>
      <x:c r="H138" s="20" t="n">
        <x:v>45374</x:v>
      </x:c>
      <x:c r="I138" s="20" t="n">
        <x:v>45377</x:v>
      </x:c>
      <x:c r="J138" t="n">
        <x:v>39</x:v>
      </x:c>
      <x:c r="K138" t="n">
        <x:v>176207.24</x:v>
      </x:c>
      <x:c r="L138" t="str">
        <x:v>空運</x:v>
      </x:c>
      <x:c r="M138" t="n">
        <x:v>0</x:v>
      </x:c>
      <x:c r="N138" t="str">
        <x:v>是</x:v>
      </x:c>
      <x:c r="O138" t="n">
        <x:v>0</x:v>
      </x:c>
      <x:c r="P138"/>
    </x:row>
    <x:row r="139" ht="20" customHeight="1">
      <x:c r="A139" t="str">
        <x:v>SH000138</x:v>
      </x:c>
      <x:c r="B139" t="str">
        <x:v>SO00094-01</x:v>
      </x:c>
      <x:c r="C139" t="str">
        <x:v>WO00139</x:v>
      </x:c>
      <x:c r="D139" t="str">
        <x:v>LOT00139</x:v>
      </x:c>
      <x:c r="E139" t="str">
        <x:v>IAT-002</x:v>
      </x:c>
      <x:c r="F139" t="str">
        <x:v>MECH-CON-A</x:v>
      </x:c>
      <x:c r="G139" s="20" t="n">
        <x:v>45338</x:v>
      </x:c>
      <x:c r="H139" s="20" t="n">
        <x:v>45336</x:v>
      </x:c>
      <x:c r="I139" s="20" t="n">
        <x:v>45340</x:v>
      </x:c>
      <x:c r="J139" t="n">
        <x:v>20</x:v>
      </x:c>
      <x:c r="K139" t="n">
        <x:v>106945.07</x:v>
      </x:c>
      <x:c r="L139" t="str">
        <x:v>空運</x:v>
      </x:c>
      <x:c r="M139" t="n">
        <x:v>2</x:v>
      </x:c>
      <x:c r="N139" t="str">
        <x:v>否</x:v>
      </x:c>
      <x:c r="O139" t="n">
        <x:v>0</x:v>
      </x:c>
      <x:c r="P139"/>
    </x:row>
    <x:row r="140" ht="20" customHeight="1">
      <x:c r="A140" t="str">
        <x:v>SH000139</x:v>
      </x:c>
      <x:c r="B140" t="str">
        <x:v>SO00094-01</x:v>
      </x:c>
      <x:c r="C140" t="str">
        <x:v>WO00138</x:v>
      </x:c>
      <x:c r="D140" t="str">
        <x:v>LOT00138</x:v>
      </x:c>
      <x:c r="E140" t="str">
        <x:v>IAT-002</x:v>
      </x:c>
      <x:c r="F140" t="str">
        <x:v>MECH-CON-A</x:v>
      </x:c>
      <x:c r="G140" s="20" t="n">
        <x:v>45338</x:v>
      </x:c>
      <x:c r="H140" s="20" t="n">
        <x:v>45337</x:v>
      </x:c>
      <x:c r="I140" s="20" t="n">
        <x:v>45342</x:v>
      </x:c>
      <x:c r="J140" t="n">
        <x:v>19</x:v>
      </x:c>
      <x:c r="K140" t="n">
        <x:v>106945.07</x:v>
      </x:c>
      <x:c r="L140" t="str">
        <x:v>空運</x:v>
      </x:c>
      <x:c r="M140" t="n">
        <x:v>4</x:v>
      </x:c>
      <x:c r="N140" t="str">
        <x:v>否</x:v>
      </x:c>
      <x:c r="O140" t="n">
        <x:v>0</x:v>
      </x:c>
      <x:c r="P140"/>
    </x:row>
    <x:row r="141" ht="20" customHeight="1">
      <x:c r="A141" t="str">
        <x:v>SH000140</x:v>
      </x:c>
      <x:c r="B141" t="str">
        <x:v>SO00095-01</x:v>
      </x:c>
      <x:c r="C141" t="str">
        <x:v>WO00140</x:v>
      </x:c>
      <x:c r="D141" t="str">
        <x:v>LOT00140</x:v>
      </x:c>
      <x:c r="E141" t="str">
        <x:v>IAT-001</x:v>
      </x:c>
      <x:c r="F141" t="str">
        <x:v>MECH-CON-B</x:v>
      </x:c>
      <x:c r="G141" s="20" t="n">
        <x:v>45376</x:v>
      </x:c>
      <x:c r="H141" s="20" t="n">
        <x:v>45374</x:v>
      </x:c>
      <x:c r="I141" s="20" t="n">
        <x:v>45375</x:v>
      </x:c>
      <x:c r="J141" t="n">
        <x:v>10</x:v>
      </x:c>
      <x:c r="K141" t="n">
        <x:v>154716.26</x:v>
      </x:c>
      <x:c r="L141" t="str">
        <x:v>陸運</x:v>
      </x:c>
      <x:c r="M141" t="n">
        <x:v>0</x:v>
      </x:c>
      <x:c r="N141" t="str">
        <x:v>是</x:v>
      </x:c>
      <x:c r="O141" t="n">
        <x:v>0</x:v>
      </x:c>
      <x:c r="P141"/>
    </x:row>
    <x:row r="142" ht="20" customHeight="1">
      <x:c r="A142" t="str">
        <x:v>SH000141</x:v>
      </x:c>
      <x:c r="B142" t="str">
        <x:v>SO00096-01</x:v>
      </x:c>
      <x:c r="C142" t="str">
        <x:v>WO00141</x:v>
      </x:c>
      <x:c r="D142" t="str">
        <x:v>LOT00141</x:v>
      </x:c>
      <x:c r="E142" t="str">
        <x:v>EMS-008</x:v>
      </x:c>
      <x:c r="F142" t="str">
        <x:v>AUTO-MH-B</x:v>
      </x:c>
      <x:c r="G142" s="20" t="n">
        <x:v>45345</x:v>
      </x:c>
      <x:c r="H142" s="20" t="n">
        <x:v>45344</x:v>
      </x:c>
      <x:c r="I142" s="20" t="n">
        <x:v>45347</x:v>
      </x:c>
      <x:c r="J142" t="n">
        <x:v>4927</x:v>
      </x:c>
      <x:c r="K142" t="n">
        <x:v>2742.98</x:v>
      </x:c>
      <x:c r="L142" t="str">
        <x:v>陸運</x:v>
      </x:c>
      <x:c r="M142" t="n">
        <x:v>2</x:v>
      </x:c>
      <x:c r="N142" t="str">
        <x:v>否</x:v>
      </x:c>
      <x:c r="O142" t="n">
        <x:v>0</x:v>
      </x:c>
      <x:c r="P142"/>
    </x:row>
    <x:row r="143" ht="20" customHeight="1">
      <x:c r="A143" t="str">
        <x:v>SH000142</x:v>
      </x:c>
      <x:c r="B143" t="str">
        <x:v>SO00097-01</x:v>
      </x:c>
      <x:c r="C143" t="str">
        <x:v>WO00143</x:v>
      </x:c>
      <x:c r="D143" t="str">
        <x:v>LOT00143</x:v>
      </x:c>
      <x:c r="E143" t="str">
        <x:v>EMS-008</x:v>
      </x:c>
      <x:c r="F143" t="str">
        <x:v>SEMI-WH-B</x:v>
      </x:c>
      <x:c r="G143" s="20" t="n">
        <x:v>45406</x:v>
      </x:c>
      <x:c r="H143" s="20" t="n">
        <x:v>45405</x:v>
      </x:c>
      <x:c r="I143" s="20" t="n">
        <x:v>45409</x:v>
      </x:c>
      <x:c r="J143" t="n">
        <x:v>77</x:v>
      </x:c>
      <x:c r="K143" t="n">
        <x:v>156982.55</x:v>
      </x:c>
      <x:c r="L143" t="str">
        <x:v>海運</x:v>
      </x:c>
      <x:c r="M143" t="n">
        <x:v>3</x:v>
      </x:c>
      <x:c r="N143" t="str">
        <x:v>否</x:v>
      </x:c>
      <x:c r="O143" t="n">
        <x:v>0</x:v>
      </x:c>
      <x:c r="P143"/>
    </x:row>
    <x:row r="144" ht="20" customHeight="1">
      <x:c r="A144" t="str">
        <x:v>SH000143</x:v>
      </x:c>
      <x:c r="B144" t="str">
        <x:v>SO00097-01</x:v>
      </x:c>
      <x:c r="C144" t="str">
        <x:v>WO00142</x:v>
      </x:c>
      <x:c r="D144" t="str">
        <x:v>LOT00142</x:v>
      </x:c>
      <x:c r="E144" t="str">
        <x:v>EMS-008</x:v>
      </x:c>
      <x:c r="F144" t="str">
        <x:v>SEMI-WH-B</x:v>
      </x:c>
      <x:c r="G144" s="20" t="n">
        <x:v>45406</x:v>
      </x:c>
      <x:c r="H144" s="20" t="n">
        <x:v>45406</x:v>
      </x:c>
      <x:c r="I144" s="20" t="n">
        <x:v>45407</x:v>
      </x:c>
      <x:c r="J144" t="n">
        <x:v>78</x:v>
      </x:c>
      <x:c r="K144" t="n">
        <x:v>156982.55</x:v>
      </x:c>
      <x:c r="L144" t="str">
        <x:v>陸運</x:v>
      </x:c>
      <x:c r="M144" t="n">
        <x:v>1</x:v>
      </x:c>
      <x:c r="N144" t="str">
        <x:v>否</x:v>
      </x:c>
      <x:c r="O144" t="n">
        <x:v>0</x:v>
      </x:c>
      <x:c r="P144"/>
    </x:row>
    <x:row r="145" ht="20" customHeight="1">
      <x:c r="A145" t="str">
        <x:v>SH000144</x:v>
      </x:c>
      <x:c r="B145" t="str">
        <x:v>SO00098-01</x:v>
      </x:c>
      <x:c r="C145" t="str">
        <x:v>WO00144</x:v>
      </x:c>
      <x:c r="D145" t="str">
        <x:v>LOT00144</x:v>
      </x:c>
      <x:c r="E145" t="str">
        <x:v>IAT-005</x:v>
      </x:c>
      <x:c r="F145" t="str">
        <x:v>SEMI-WH-B</x:v>
      </x:c>
      <x:c r="G145" s="20" t="n">
        <x:v>45399</x:v>
      </x:c>
      <x:c r="H145" s="20" t="n">
        <x:v>45395</x:v>
      </x:c>
      <x:c r="I145" s="20" t="n">
        <x:v>45397</x:v>
      </x:c>
      <x:c r="J145" t="n">
        <x:v>78</x:v>
      </x:c>
      <x:c r="K145" t="n">
        <x:v>157688.78</x:v>
      </x:c>
      <x:c r="L145" t="str">
        <x:v>空運</x:v>
      </x:c>
      <x:c r="M145" t="n">
        <x:v>0</x:v>
      </x:c>
      <x:c r="N145" t="str">
        <x:v>是</x:v>
      </x:c>
      <x:c r="O145" t="n">
        <x:v>0</x:v>
      </x:c>
      <x:c r="P145"/>
    </x:row>
    <x:row r="146" ht="20" customHeight="1">
      <x:c r="A146" t="str">
        <x:v>SH000145</x:v>
      </x:c>
      <x:c r="B146" t="str">
        <x:v>SO00099-01</x:v>
      </x:c>
      <x:c r="C146" t="str">
        <x:v>WO00145</x:v>
      </x:c>
      <x:c r="D146" t="str">
        <x:v>LOT00145</x:v>
      </x:c>
      <x:c r="E146" t="str">
        <x:v>EMS-002</x:v>
      </x:c>
      <x:c r="F146" t="str">
        <x:v>PM-VAC-A</x:v>
      </x:c>
      <x:c r="G146" s="20" t="n">
        <x:v>45359</x:v>
      </x:c>
      <x:c r="H146" s="20" t="n">
        <x:v>45357</x:v>
      </x:c>
      <x:c r="I146" s="20" t="n">
        <x:v>45361</x:v>
      </x:c>
      <x:c r="J146" t="n">
        <x:v>489</x:v>
      </x:c>
      <x:c r="K146" t="n">
        <x:v>14185.25</x:v>
      </x:c>
      <x:c r="L146" t="str">
        <x:v>海運</x:v>
      </x:c>
      <x:c r="M146" t="n">
        <x:v>2</x:v>
      </x:c>
      <x:c r="N146" t="str">
        <x:v>否</x:v>
      </x:c>
      <x:c r="O146" t="n">
        <x:v>0</x:v>
      </x:c>
      <x:c r="P146"/>
    </x:row>
    <x:row r="147" ht="20" customHeight="1">
      <x:c r="A147" t="str">
        <x:v>SH000146</x:v>
      </x:c>
      <x:c r="B147" t="str">
        <x:v>SO00100-01</x:v>
      </x:c>
      <x:c r="C147" t="str">
        <x:v>WO00146</x:v>
      </x:c>
      <x:c r="D147" t="str">
        <x:v>LOT00146</x:v>
      </x:c>
      <x:c r="E147" t="str">
        <x:v>IAT-002</x:v>
      </x:c>
      <x:c r="F147" t="str">
        <x:v>AUTO-MH-A</x:v>
      </x:c>
      <x:c r="G147" s="20" t="n">
        <x:v>45355</x:v>
      </x:c>
      <x:c r="H147" s="20" t="n">
        <x:v>45350</x:v>
      </x:c>
      <x:c r="I147" s="20" t="n">
        <x:v>45355</x:v>
      </x:c>
      <x:c r="J147" t="n">
        <x:v>6470</x:v>
      </x:c>
      <x:c r="K147" t="n">
        <x:v>2359.72</x:v>
      </x:c>
      <x:c r="L147" t="str">
        <x:v>空運</x:v>
      </x:c>
      <x:c r="M147" t="n">
        <x:v>0</x:v>
      </x:c>
      <x:c r="N147" t="str">
        <x:v>是</x:v>
      </x:c>
      <x:c r="O147" t="n">
        <x:v>0</x:v>
      </x:c>
      <x:c r="P147"/>
    </x:row>
    <x:row r="148" ht="20" customHeight="1">
      <x:c r="A148" t="str">
        <x:v>SH000147</x:v>
      </x:c>
      <x:c r="B148" t="str">
        <x:v>SO00100-01</x:v>
      </x:c>
      <x:c r="C148" t="str">
        <x:v>WO00147</x:v>
      </x:c>
      <x:c r="D148" t="str">
        <x:v>LOT00147</x:v>
      </x:c>
      <x:c r="E148" t="str">
        <x:v>IAT-002</x:v>
      </x:c>
      <x:c r="F148" t="str">
        <x:v>AUTO-MH-A</x:v>
      </x:c>
      <x:c r="G148" s="20" t="n">
        <x:v>45355</x:v>
      </x:c>
      <x:c r="H148" s="20" t="n">
        <x:v>45354</x:v>
      </x:c>
      <x:c r="I148" s="20" t="n">
        <x:v>45359</x:v>
      </x:c>
      <x:c r="J148" t="n">
        <x:v>6465</x:v>
      </x:c>
      <x:c r="K148" t="n">
        <x:v>2359.72</x:v>
      </x:c>
      <x:c r="L148" t="str">
        <x:v>海運</x:v>
      </x:c>
      <x:c r="M148" t="n">
        <x:v>4</x:v>
      </x:c>
      <x:c r="N148" t="str">
        <x:v>否</x:v>
      </x:c>
      <x:c r="O148" t="n">
        <x:v>0</x:v>
      </x:c>
      <x:c r="P148"/>
    </x:row>
    <x:row r="149" ht="20" customHeight="1">
      <x:c r="A149" t="str">
        <x:v>SH000148</x:v>
      </x:c>
      <x:c r="B149" t="str">
        <x:v>SO00101-01</x:v>
      </x:c>
      <x:c r="C149" t="str">
        <x:v>WO00148</x:v>
      </x:c>
      <x:c r="D149" t="str">
        <x:v>LOT00148</x:v>
      </x:c>
      <x:c r="E149" t="str">
        <x:v>AFT-004</x:v>
      </x:c>
      <x:c r="F149" t="str">
        <x:v>AUTO-KN-B</x:v>
      </x:c>
      <x:c r="G149" s="20" t="n">
        <x:v>45370</x:v>
      </x:c>
      <x:c r="H149" s="20" t="n">
        <x:v>45368</x:v>
      </x:c>
      <x:c r="I149" s="20" t="n">
        <x:v>45369</x:v>
      </x:c>
      <x:c r="J149" t="n">
        <x:v>6435</x:v>
      </x:c>
      <x:c r="K149" t="n">
        <x:v>3782.02</x:v>
      </x:c>
      <x:c r="L149" t="str">
        <x:v>陸運</x:v>
      </x:c>
      <x:c r="M149" t="n">
        <x:v>0</x:v>
      </x:c>
      <x:c r="N149" t="str">
        <x:v>是</x:v>
      </x:c>
      <x:c r="O149" t="n">
        <x:v>0</x:v>
      </x:c>
      <x:c r="P149"/>
    </x:row>
    <x:row r="150" ht="20" customHeight="1">
      <x:c r="A150" t="str">
        <x:v>SH000149</x:v>
      </x:c>
      <x:c r="B150" t="str">
        <x:v>SO00101-01</x:v>
      </x:c>
      <x:c r="C150" t="str">
        <x:v>WO00149</x:v>
      </x:c>
      <x:c r="D150" t="str">
        <x:v>LOT00149</x:v>
      </x:c>
      <x:c r="E150" t="str">
        <x:v>AFT-004</x:v>
      </x:c>
      <x:c r="F150" t="str">
        <x:v>AUTO-KN-B</x:v>
      </x:c>
      <x:c r="G150" s="20" t="n">
        <x:v>45370</x:v>
      </x:c>
      <x:c r="H150" s="20" t="n">
        <x:v>45369</x:v>
      </x:c>
      <x:c r="I150" s="20" t="n">
        <x:v>45374</x:v>
      </x:c>
      <x:c r="J150" t="n">
        <x:v>6459</x:v>
      </x:c>
      <x:c r="K150" t="n">
        <x:v>3782.02</x:v>
      </x:c>
      <x:c r="L150" t="str">
        <x:v>陸運</x:v>
      </x:c>
      <x:c r="M150" t="n">
        <x:v>4</x:v>
      </x:c>
      <x:c r="N150" t="str">
        <x:v>否</x:v>
      </x:c>
      <x:c r="O150" t="n">
        <x:v>0</x:v>
      </x:c>
      <x:c r="P150"/>
    </x:row>
    <x:row r="151" ht="20" customHeight="1">
      <x:c r="A151" t="str">
        <x:v>SH000150</x:v>
      </x:c>
      <x:c r="B151" t="str">
        <x:v>SO00102-01</x:v>
      </x:c>
      <x:c r="C151" t="str">
        <x:v>WO00150</x:v>
      </x:c>
      <x:c r="D151" t="str">
        <x:v>LOT00150</x:v>
      </x:c>
      <x:c r="E151" t="str">
        <x:v>EMS-001</x:v>
      </x:c>
      <x:c r="F151" t="str">
        <x:v>SEMI-CHB-B</x:v>
      </x:c>
      <x:c r="G151" s="20" t="n">
        <x:v>45408</x:v>
      </x:c>
      <x:c r="H151" s="20" t="n">
        <x:v>45414</x:v>
      </x:c>
      <x:c r="I151" s="20" t="n">
        <x:v>45416</x:v>
      </x:c>
      <x:c r="J151" t="n">
        <x:v>59</x:v>
      </x:c>
      <x:c r="K151" t="n">
        <x:v>136733.57</x:v>
      </x:c>
      <x:c r="L151" t="str">
        <x:v>海運</x:v>
      </x:c>
      <x:c r="M151" t="n">
        <x:v>8</x:v>
      </x:c>
      <x:c r="N151" t="str">
        <x:v>否</x:v>
      </x:c>
      <x:c r="O151" t="n">
        <x:v>0</x:v>
      </x:c>
      <x:c r="P151"/>
    </x:row>
    <x:row r="152" ht="20" customHeight="1">
      <x:c r="A152" t="str">
        <x:v>SH000151</x:v>
      </x:c>
      <x:c r="B152" t="str">
        <x:v>SO00103-01</x:v>
      </x:c>
      <x:c r="C152" t="str">
        <x:v>WO00151</x:v>
      </x:c>
      <x:c r="D152" t="str">
        <x:v>LOT00151</x:v>
      </x:c>
      <x:c r="E152" t="str">
        <x:v>AFT-004</x:v>
      </x:c>
      <x:c r="F152" t="str">
        <x:v>PM-SUS-A</x:v>
      </x:c>
      <x:c r="G152" s="20" t="n">
        <x:v>45353</x:v>
      </x:c>
      <x:c r="H152" s="20" t="n">
        <x:v>45351</x:v>
      </x:c>
      <x:c r="I152" s="20" t="n">
        <x:v>45356</x:v>
      </x:c>
      <x:c r="J152" t="n">
        <x:v>291</x:v>
      </x:c>
      <x:c r="K152" t="n">
        <x:v>10596.64</x:v>
      </x:c>
      <x:c r="L152" t="str">
        <x:v>陸運</x:v>
      </x:c>
      <x:c r="M152" t="n">
        <x:v>3</x:v>
      </x:c>
      <x:c r="N152" t="str">
        <x:v>否</x:v>
      </x:c>
      <x:c r="O152" t="n">
        <x:v>0</x:v>
      </x:c>
      <x:c r="P152"/>
    </x:row>
    <x:row r="153" ht="20" customHeight="1">
      <x:c r="A153" t="str">
        <x:v>SH000152</x:v>
      </x:c>
      <x:c r="B153" t="str">
        <x:v>SO00104-01</x:v>
      </x:c>
      <x:c r="C153" t="str">
        <x:v>WO00152</x:v>
      </x:c>
      <x:c r="D153" t="str">
        <x:v>LOT00152</x:v>
      </x:c>
      <x:c r="E153" t="str">
        <x:v>AUT-002</x:v>
      </x:c>
      <x:c r="F153" t="str">
        <x:v>AUTO-BS-A</x:v>
      </x:c>
      <x:c r="G153" s="20" t="n">
        <x:v>45349</x:v>
      </x:c>
      <x:c r="H153" s="20" t="n">
        <x:v>45350</x:v>
      </x:c>
      <x:c r="I153" s="20" t="n">
        <x:v>45352</x:v>
      </x:c>
      <x:c r="J153" t="n">
        <x:v>2941</x:v>
      </x:c>
      <x:c r="K153" t="n">
        <x:v>743.16</x:v>
      </x:c>
      <x:c r="L153" t="str">
        <x:v>空運</x:v>
      </x:c>
      <x:c r="M153" t="n">
        <x:v>3</x:v>
      </x:c>
      <x:c r="N153" t="str">
        <x:v>否</x:v>
      </x:c>
      <x:c r="O153" t="n">
        <x:v>0</x:v>
      </x:c>
      <x:c r="P153"/>
    </x:row>
    <x:row r="154" ht="20" customHeight="1">
      <x:c r="A154" t="str">
        <x:v>SH000153</x:v>
      </x:c>
      <x:c r="B154" t="str">
        <x:v>SO00105-01</x:v>
      </x:c>
      <x:c r="C154" t="str">
        <x:v>WO00153</x:v>
      </x:c>
      <x:c r="D154" t="str">
        <x:v>LOT00153</x:v>
      </x:c>
      <x:c r="E154" t="str">
        <x:v>IAT-010</x:v>
      </x:c>
      <x:c r="F154" t="str">
        <x:v>PM-SUS-A</x:v>
      </x:c>
      <x:c r="G154" s="20" t="n">
        <x:v>45363</x:v>
      </x:c>
      <x:c r="H154" s="20" t="n">
        <x:v>45362</x:v>
      </x:c>
      <x:c r="I154" s="20" t="n">
        <x:v>45363</x:v>
      </x:c>
      <x:c r="J154" t="n">
        <x:v>596</x:v>
      </x:c>
      <x:c r="K154" t="n">
        <x:v>10960.83</x:v>
      </x:c>
      <x:c r="L154" t="str">
        <x:v>空運</x:v>
      </x:c>
      <x:c r="M154" t="n">
        <x:v>0</x:v>
      </x:c>
      <x:c r="N154" t="str">
        <x:v>是</x:v>
      </x:c>
      <x:c r="O154" t="n">
        <x:v>0</x:v>
      </x:c>
      <x:c r="P154"/>
    </x:row>
    <x:row r="155" ht="20" customHeight="1">
      <x:c r="A155" t="str">
        <x:v>SH000154</x:v>
      </x:c>
      <x:c r="B155" t="str">
        <x:v>SO00105-01</x:v>
      </x:c>
      <x:c r="C155" t="str">
        <x:v>WO00154</x:v>
      </x:c>
      <x:c r="D155" t="str">
        <x:v>LOT00154</x:v>
      </x:c>
      <x:c r="E155" t="str">
        <x:v>IAT-010</x:v>
      </x:c>
      <x:c r="F155" t="str">
        <x:v>PM-SUS-A</x:v>
      </x:c>
      <x:c r="G155" s="20" t="n">
        <x:v>45363</x:v>
      </x:c>
      <x:c r="H155" s="20" t="n">
        <x:v>45363</x:v>
      </x:c>
      <x:c r="I155" s="20" t="n">
        <x:v>45367</x:v>
      </x:c>
      <x:c r="J155" t="n">
        <x:v>589</x:v>
      </x:c>
      <x:c r="K155" t="n">
        <x:v>10960.83</x:v>
      </x:c>
      <x:c r="L155" t="str">
        <x:v>海運</x:v>
      </x:c>
      <x:c r="M155" t="n">
        <x:v>4</x:v>
      </x:c>
      <x:c r="N155" t="str">
        <x:v>否</x:v>
      </x:c>
      <x:c r="O155" t="n">
        <x:v>0</x:v>
      </x:c>
      <x:c r="P155"/>
    </x:row>
    <x:row r="156" ht="20" customHeight="1">
      <x:c r="A156" t="str">
        <x:v>SH000155</x:v>
      </x:c>
      <x:c r="B156" t="str">
        <x:v>SO00106-01</x:v>
      </x:c>
      <x:c r="C156" t="str">
        <x:v>WO00155</x:v>
      </x:c>
      <x:c r="D156" t="str">
        <x:v>LOT00155</x:v>
      </x:c>
      <x:c r="E156" t="str">
        <x:v>EMS-007</x:v>
      </x:c>
      <x:c r="F156" t="str">
        <x:v>SEMI-WH-B</x:v>
      </x:c>
      <x:c r="G156" s="20" t="n">
        <x:v>45400</x:v>
      </x:c>
      <x:c r="H156" s="20" t="n">
        <x:v>45399</x:v>
      </x:c>
      <x:c r="I156" s="20" t="n">
        <x:v>45400</x:v>
      </x:c>
      <x:c r="J156" t="n">
        <x:v>59</x:v>
      </x:c>
      <x:c r="K156" t="n">
        <x:v>167716.44</x:v>
      </x:c>
      <x:c r="L156" t="str">
        <x:v>陸運</x:v>
      </x:c>
      <x:c r="M156" t="n">
        <x:v>0</x:v>
      </x:c>
      <x:c r="N156" t="str">
        <x:v>是</x:v>
      </x:c>
      <x:c r="O156" t="n">
        <x:v>0</x:v>
      </x:c>
      <x:c r="P156"/>
    </x:row>
    <x:row r="157" ht="20" customHeight="1">
      <x:c r="A157" t="str">
        <x:v>SH000156</x:v>
      </x:c>
      <x:c r="B157" t="str">
        <x:v>SO00107-01</x:v>
      </x:c>
      <x:c r="C157" t="str">
        <x:v>WO00157</x:v>
      </x:c>
      <x:c r="D157" t="str">
        <x:v>LOT00157</x:v>
      </x:c>
      <x:c r="E157" t="str">
        <x:v>IAT-007</x:v>
      </x:c>
      <x:c r="F157" t="str">
        <x:v>AUTO-FL-A</x:v>
      </x:c>
      <x:c r="G157" s="20" t="n">
        <x:v>45350</x:v>
      </x:c>
      <x:c r="H157" s="20" t="n">
        <x:v>45349</x:v>
      </x:c>
      <x:c r="I157" s="20" t="n">
        <x:v>45352</x:v>
      </x:c>
      <x:c r="J157" t="n">
        <x:v>6409</x:v>
      </x:c>
      <x:c r="K157" t="n">
        <x:v>1374.42</x:v>
      </x:c>
      <x:c r="L157" t="str">
        <x:v>海運</x:v>
      </x:c>
      <x:c r="M157" t="n">
        <x:v>2</x:v>
      </x:c>
      <x:c r="N157" t="str">
        <x:v>否</x:v>
      </x:c>
      <x:c r="O157" t="n">
        <x:v>0</x:v>
      </x:c>
      <x:c r="P157"/>
    </x:row>
    <x:row r="158" ht="20" customHeight="1">
      <x:c r="A158" t="str">
        <x:v>SH000157</x:v>
      </x:c>
      <x:c r="B158" t="str">
        <x:v>SO00107-01</x:v>
      </x:c>
      <x:c r="C158" t="str">
        <x:v>WO00156</x:v>
      </x:c>
      <x:c r="D158" t="str">
        <x:v>LOT00156</x:v>
      </x:c>
      <x:c r="E158" t="str">
        <x:v>IAT-007</x:v>
      </x:c>
      <x:c r="F158" t="str">
        <x:v>AUTO-FL-A</x:v>
      </x:c>
      <x:c r="G158" s="20" t="n">
        <x:v>45350</x:v>
      </x:c>
      <x:c r="H158" s="20" t="n">
        <x:v>45357</x:v>
      </x:c>
      <x:c r="I158" s="20" t="n">
        <x:v>45361</x:v>
      </x:c>
      <x:c r="J158" t="n">
        <x:v>6397</x:v>
      </x:c>
      <x:c r="K158" t="n">
        <x:v>1374.42</x:v>
      </x:c>
      <x:c r="L158" t="str">
        <x:v>海運</x:v>
      </x:c>
      <x:c r="M158" t="n">
        <x:v>11</x:v>
      </x:c>
      <x:c r="N158" t="str">
        <x:v>否</x:v>
      </x:c>
      <x:c r="O158" t="n">
        <x:v>0</x:v>
      </x:c>
      <x:c r="P158"/>
    </x:row>
    <x:row r="159" ht="20" customHeight="1">
      <x:c r="A159" t="str">
        <x:v>SH000158</x:v>
      </x:c>
      <x:c r="B159" t="str">
        <x:v>SO00108-01</x:v>
      </x:c>
      <x:c r="C159" t="str">
        <x:v>WO00158</x:v>
      </x:c>
      <x:c r="D159" t="str">
        <x:v>LOT00158</x:v>
      </x:c>
      <x:c r="E159" t="str">
        <x:v>AUT-005</x:v>
      </x:c>
      <x:c r="F159" t="str">
        <x:v>AUTO-KN-B</x:v>
      </x:c>
      <x:c r="G159" s="20" t="n">
        <x:v>45367</x:v>
      </x:c>
      <x:c r="H159" s="20" t="n">
        <x:v>45363</x:v>
      </x:c>
      <x:c r="I159" s="20" t="n">
        <x:v>45365</x:v>
      </x:c>
      <x:c r="J159" t="n">
        <x:v>4929</x:v>
      </x:c>
      <x:c r="K159" t="n">
        <x:v>3809.77</x:v>
      </x:c>
      <x:c r="L159" t="str">
        <x:v>海運</x:v>
      </x:c>
      <x:c r="M159" t="n">
        <x:v>0</x:v>
      </x:c>
      <x:c r="N159" t="str">
        <x:v>是</x:v>
      </x:c>
      <x:c r="O159" t="n">
        <x:v>0</x:v>
      </x:c>
      <x:c r="P159"/>
    </x:row>
    <x:row r="160" ht="20" customHeight="1">
      <x:c r="A160" t="str">
        <x:v>SH000159</x:v>
      </x:c>
      <x:c r="B160" t="str">
        <x:v>SO00109-01</x:v>
      </x:c>
      <x:c r="C160" t="str">
        <x:v>WO00160</x:v>
      </x:c>
      <x:c r="D160" t="str">
        <x:v>LOT00160</x:v>
      </x:c>
      <x:c r="E160" t="str">
        <x:v>AUT-014</x:v>
      </x:c>
      <x:c r="F160" t="str">
        <x:v>MECH-CON-B</x:v>
      </x:c>
      <x:c r="G160" s="20" t="n">
        <x:v>45381</x:v>
      </x:c>
      <x:c r="H160" s="20" t="n">
        <x:v>45379</x:v>
      </x:c>
      <x:c r="I160" s="20" t="n">
        <x:v>45380</x:v>
      </x:c>
      <x:c r="J160" t="n">
        <x:v>15</x:v>
      </x:c>
      <x:c r="K160" t="n">
        <x:v>160422.92</x:v>
      </x:c>
      <x:c r="L160" t="str">
        <x:v>海運</x:v>
      </x:c>
      <x:c r="M160" t="n">
        <x:v>0</x:v>
      </x:c>
      <x:c r="N160" t="str">
        <x:v>是</x:v>
      </x:c>
      <x:c r="O160" t="n">
        <x:v>0</x:v>
      </x:c>
      <x:c r="P160"/>
    </x:row>
    <x:row r="161" ht="20" customHeight="1">
      <x:c r="A161" t="str">
        <x:v>SH000160</x:v>
      </x:c>
      <x:c r="B161" t="str">
        <x:v>SO00109-01</x:v>
      </x:c>
      <x:c r="C161" t="str">
        <x:v>WO00159</x:v>
      </x:c>
      <x:c r="D161" t="str">
        <x:v>LOT00159</x:v>
      </x:c>
      <x:c r="E161" t="str">
        <x:v>AUT-014</x:v>
      </x:c>
      <x:c r="F161" t="str">
        <x:v>MECH-CON-B</x:v>
      </x:c>
      <x:c r="G161" s="20" t="n">
        <x:v>45381</x:v>
      </x:c>
      <x:c r="H161" s="20" t="n">
        <x:v>45382</x:v>
      </x:c>
      <x:c r="I161" s="20" t="n">
        <x:v>45386</x:v>
      </x:c>
      <x:c r="J161" t="n">
        <x:v>15</x:v>
      </x:c>
      <x:c r="K161" t="n">
        <x:v>160422.92</x:v>
      </x:c>
      <x:c r="L161" t="str">
        <x:v>陸運</x:v>
      </x:c>
      <x:c r="M161" t="n">
        <x:v>5</x:v>
      </x:c>
      <x:c r="N161" t="str">
        <x:v>否</x:v>
      </x:c>
      <x:c r="O161" t="n">
        <x:v>0</x:v>
      </x:c>
      <x:c r="P161"/>
    </x:row>
    <x:row r="162" ht="20" customHeight="1">
      <x:c r="A162" t="str">
        <x:v>SH000161</x:v>
      </x:c>
      <x:c r="B162" t="str">
        <x:v>SO00110-01</x:v>
      </x:c>
      <x:c r="C162" t="str">
        <x:v>WO00161</x:v>
      </x:c>
      <x:c r="D162" t="str">
        <x:v>LOT00161</x:v>
      </x:c>
      <x:c r="E162" t="str">
        <x:v>AFT-005</x:v>
      </x:c>
      <x:c r="F162" t="str">
        <x:v>AUTO-BRK-A</x:v>
      </x:c>
      <x:c r="G162" s="20" t="n">
        <x:v>45368</x:v>
      </x:c>
      <x:c r="H162" s="20" t="n">
        <x:v>45367</x:v>
      </x:c>
      <x:c r="I162" s="20" t="n">
        <x:v>45368</x:v>
      </x:c>
      <x:c r="J162" t="n">
        <x:v>4942</x:v>
      </x:c>
      <x:c r="K162" t="n">
        <x:v>1793.2</x:v>
      </x:c>
      <x:c r="L162" t="str">
        <x:v>海運</x:v>
      </x:c>
      <x:c r="M162" t="n">
        <x:v>0</x:v>
      </x:c>
      <x:c r="N162" t="str">
        <x:v>是</x:v>
      </x:c>
      <x:c r="O162" t="n">
        <x:v>0</x:v>
      </x:c>
      <x:c r="P162"/>
    </x:row>
    <x:row r="163" ht="20" customHeight="1">
      <x:c r="A163" t="str">
        <x:v>SH000162</x:v>
      </x:c>
      <x:c r="B163" t="str">
        <x:v>SO00111-01</x:v>
      </x:c>
      <x:c r="C163" t="str">
        <x:v>WO00163</x:v>
      </x:c>
      <x:c r="D163" t="str">
        <x:v>LOT00163</x:v>
      </x:c>
      <x:c r="E163" t="str">
        <x:v>AFT-002</x:v>
      </x:c>
      <x:c r="F163" t="str">
        <x:v>AUTO-MH-A</x:v>
      </x:c>
      <x:c r="G163" s="20" t="n">
        <x:v>45352</x:v>
      </x:c>
      <x:c r="H163" s="20" t="n">
        <x:v>45348</x:v>
      </x:c>
      <x:c r="I163" s="20" t="n">
        <x:v>45350</x:v>
      </x:c>
      <x:c r="J163" t="n">
        <x:v>4962</x:v>
      </x:c>
      <x:c r="K163" t="n">
        <x:v>2529.74</x:v>
      </x:c>
      <x:c r="L163" t="str">
        <x:v>海運</x:v>
      </x:c>
      <x:c r="M163" t="n">
        <x:v>0</x:v>
      </x:c>
      <x:c r="N163" t="str">
        <x:v>是</x:v>
      </x:c>
      <x:c r="O163" t="n">
        <x:v>0</x:v>
      </x:c>
      <x:c r="P163"/>
    </x:row>
    <x:row r="164" ht="20" customHeight="1">
      <x:c r="A164" t="str">
        <x:v>SH000163</x:v>
      </x:c>
      <x:c r="B164" t="str">
        <x:v>SO00111-01</x:v>
      </x:c>
      <x:c r="C164" t="str">
        <x:v>WO00162</x:v>
      </x:c>
      <x:c r="D164" t="str">
        <x:v>LOT00162</x:v>
      </x:c>
      <x:c r="E164" t="str">
        <x:v>AFT-002</x:v>
      </x:c>
      <x:c r="F164" t="str">
        <x:v>AUTO-MH-A</x:v>
      </x:c>
      <x:c r="G164" s="20" t="n">
        <x:v>45352</x:v>
      </x:c>
      <x:c r="H164" s="20" t="n">
        <x:v>45349</x:v>
      </x:c>
      <x:c r="I164" s="20" t="n">
        <x:v>45354</x:v>
      </x:c>
      <x:c r="J164" t="n">
        <x:v>4850</x:v>
      </x:c>
      <x:c r="K164" t="n">
        <x:v>2529.74</x:v>
      </x:c>
      <x:c r="L164" t="str">
        <x:v>陸運</x:v>
      </x:c>
      <x:c r="M164" t="n">
        <x:v>2</x:v>
      </x:c>
      <x:c r="N164" t="str">
        <x:v>否</x:v>
      </x:c>
      <x:c r="O164" t="n">
        <x:v>0</x:v>
      </x:c>
      <x:c r="P164"/>
    </x:row>
    <x:row r="165" ht="20" customHeight="1">
      <x:c r="A165" t="str">
        <x:v>SH000164</x:v>
      </x:c>
      <x:c r="B165" t="str">
        <x:v>SO00112-01</x:v>
      </x:c>
      <x:c r="C165" t="str">
        <x:v>WO00164</x:v>
      </x:c>
      <x:c r="D165" t="str">
        <x:v>LOT00164</x:v>
      </x:c>
      <x:c r="E165" t="str">
        <x:v>IAT-003</x:v>
      </x:c>
      <x:c r="F165" t="str">
        <x:v>PM-BRG-B</x:v>
      </x:c>
      <x:c r="G165" s="20" t="n">
        <x:v>45352</x:v>
      </x:c>
      <x:c r="H165" s="20" t="n">
        <x:v>45352</x:v>
      </x:c>
      <x:c r="I165" s="20" t="n">
        <x:v>45353</x:v>
      </x:c>
      <x:c r="J165" t="n">
        <x:v>296</x:v>
      </x:c>
      <x:c r="K165" t="n">
        <x:v>8162.49</x:v>
      </x:c>
      <x:c r="L165" t="str">
        <x:v>海運</x:v>
      </x:c>
      <x:c r="M165" t="n">
        <x:v>1</x:v>
      </x:c>
      <x:c r="N165" t="str">
        <x:v>否</x:v>
      </x:c>
      <x:c r="O165" t="n">
        <x:v>0</x:v>
      </x:c>
      <x:c r="P165"/>
    </x:row>
    <x:row r="166" ht="20" customHeight="1">
      <x:c r="A166" t="str">
        <x:v>SH000165</x:v>
      </x:c>
      <x:c r="B166" t="str">
        <x:v>SO00113-01</x:v>
      </x:c>
      <x:c r="C166" t="str">
        <x:v>WO00165</x:v>
      </x:c>
      <x:c r="D166" t="str">
        <x:v>LOT00165</x:v>
      </x:c>
      <x:c r="E166" t="str">
        <x:v>IAT-003</x:v>
      </x:c>
      <x:c r="F166" t="str">
        <x:v>PM-BRG-B</x:v>
      </x:c>
      <x:c r="G166" s="20" t="n">
        <x:v>45411</x:v>
      </x:c>
      <x:c r="H166" s="20" t="n">
        <x:v>45409</x:v>
      </x:c>
      <x:c r="I166" s="20" t="n">
        <x:v>45412</x:v>
      </x:c>
      <x:c r="J166" t="n">
        <x:v>583</x:v>
      </x:c>
      <x:c r="K166" t="n">
        <x:v>7931.24</x:v>
      </x:c>
      <x:c r="L166" t="str">
        <x:v>空運</x:v>
      </x:c>
      <x:c r="M166" t="n">
        <x:v>1</x:v>
      </x:c>
      <x:c r="N166" t="str">
        <x:v>否</x:v>
      </x:c>
      <x:c r="O166" t="n">
        <x:v>0</x:v>
      </x:c>
      <x:c r="P166"/>
    </x:row>
    <x:row r="167" ht="20" customHeight="1">
      <x:c r="A167" t="str">
        <x:v>SH000166</x:v>
      </x:c>
      <x:c r="B167" t="str">
        <x:v>SO00113-01</x:v>
      </x:c>
      <x:c r="C167" t="str">
        <x:v>WO00166</x:v>
      </x:c>
      <x:c r="D167" t="str">
        <x:v>LOT00166</x:v>
      </x:c>
      <x:c r="E167" t="str">
        <x:v>IAT-003</x:v>
      </x:c>
      <x:c r="F167" t="str">
        <x:v>PM-BRG-B</x:v>
      </x:c>
      <x:c r="G167" s="20" t="n">
        <x:v>45411</x:v>
      </x:c>
      <x:c r="H167" s="20" t="n">
        <x:v>45410</x:v>
      </x:c>
      <x:c r="I167" s="20" t="n">
        <x:v>45413</x:v>
      </x:c>
      <x:c r="J167" t="n">
        <x:v>589</x:v>
      </x:c>
      <x:c r="K167" t="n">
        <x:v>7931.24</x:v>
      </x:c>
      <x:c r="L167" t="str">
        <x:v>陸運</x:v>
      </x:c>
      <x:c r="M167" t="n">
        <x:v>2</x:v>
      </x:c>
      <x:c r="N167" t="str">
        <x:v>否</x:v>
      </x:c>
      <x:c r="O167" t="n">
        <x:v>0</x:v>
      </x:c>
      <x:c r="P167"/>
    </x:row>
    <x:row r="168" ht="20" customHeight="1">
      <x:c r="A168" t="str">
        <x:v>SH000167</x:v>
      </x:c>
      <x:c r="B168" t="str">
        <x:v>SO00114-01</x:v>
      </x:c>
      <x:c r="C168" t="str">
        <x:v>WO00167</x:v>
      </x:c>
      <x:c r="D168" t="str">
        <x:v>LOT00167</x:v>
      </x:c>
      <x:c r="E168" t="str">
        <x:v>IAT-002</x:v>
      </x:c>
      <x:c r="F168" t="str">
        <x:v>PM-BRG-A</x:v>
      </x:c>
      <x:c r="G168" s="20" t="n">
        <x:v>45402</x:v>
      </x:c>
      <x:c r="H168" s="20" t="n">
        <x:v>45402</x:v>
      </x:c>
      <x:c r="I168" s="20" t="n">
        <x:v>45405</x:v>
      </x:c>
      <x:c r="J168" t="n">
        <x:v>789</x:v>
      </x:c>
      <x:c r="K168" t="n">
        <x:v>6563.62</x:v>
      </x:c>
      <x:c r="L168" t="str">
        <x:v>海運</x:v>
      </x:c>
      <x:c r="M168" t="n">
        <x:v>3</x:v>
      </x:c>
      <x:c r="N168" t="str">
        <x:v>否</x:v>
      </x:c>
      <x:c r="O168" t="n">
        <x:v>0</x:v>
      </x:c>
      <x:c r="P168"/>
    </x:row>
    <x:row r="169" ht="20" customHeight="1">
      <x:c r="A169" t="str">
        <x:v>SH000168</x:v>
      </x:c>
      <x:c r="B169" t="str">
        <x:v>SO00115-01</x:v>
      </x:c>
      <x:c r="C169" t="str">
        <x:v>WO00168</x:v>
      </x:c>
      <x:c r="D169" t="str">
        <x:v>LOT00168</x:v>
      </x:c>
      <x:c r="E169" t="str">
        <x:v>IAT-010</x:v>
      </x:c>
      <x:c r="F169" t="str">
        <x:v>AUTO-LG-A</x:v>
      </x:c>
      <x:c r="G169" s="20" t="n">
        <x:v>45401</x:v>
      </x:c>
      <x:c r="H169" s="20" t="n">
        <x:v>45407</x:v>
      </x:c>
      <x:c r="I169" s="20" t="n">
        <x:v>45408</x:v>
      </x:c>
      <x:c r="J169" t="n">
        <x:v>4908</x:v>
      </x:c>
      <x:c r="K169" t="n">
        <x:v>1099.5</x:v>
      </x:c>
      <x:c r="L169" t="str">
        <x:v>海運</x:v>
      </x:c>
      <x:c r="M169" t="n">
        <x:v>7</x:v>
      </x:c>
      <x:c r="N169" t="str">
        <x:v>否</x:v>
      </x:c>
      <x:c r="O169" t="n">
        <x:v>0</x:v>
      </x:c>
      <x:c r="P169"/>
    </x:row>
    <x:row r="170" ht="20" customHeight="1">
      <x:c r="A170" t="str">
        <x:v>SH000169</x:v>
      </x:c>
      <x:c r="B170" t="str">
        <x:v>SO00116-01</x:v>
      </x:c>
      <x:c r="C170" t="str">
        <x:v>WO00169</x:v>
      </x:c>
      <x:c r="D170" t="str">
        <x:v>LOT00169</x:v>
      </x:c>
      <x:c r="E170" t="str">
        <x:v>AFT-006</x:v>
      </x:c>
      <x:c r="F170" t="str">
        <x:v>AUTO-BRK-A</x:v>
      </x:c>
      <x:c r="G170" s="20" t="n">
        <x:v>45400</x:v>
      </x:c>
      <x:c r="H170" s="20" t="n">
        <x:v>45396</x:v>
      </x:c>
      <x:c r="I170" s="20" t="n">
        <x:v>45398</x:v>
      </x:c>
      <x:c r="J170" t="n">
        <x:v>4915</x:v>
      </x:c>
      <x:c r="K170" t="n">
        <x:v>1750.79</x:v>
      </x:c>
      <x:c r="L170" t="str">
        <x:v>陸運</x:v>
      </x:c>
      <x:c r="M170" t="n">
        <x:v>0</x:v>
      </x:c>
      <x:c r="N170" t="str">
        <x:v>是</x:v>
      </x:c>
      <x:c r="O170" t="n">
        <x:v>14</x:v>
      </x:c>
      <x:c r="P170" t="str">
        <x:v>包裝破損</x:v>
      </x:c>
    </x:row>
    <x:row r="171" ht="20" customHeight="1">
      <x:c r="A171" t="str">
        <x:v>SH000170</x:v>
      </x:c>
      <x:c r="B171" t="str">
        <x:v>SO00117-01</x:v>
      </x:c>
      <x:c r="C171" t="str">
        <x:v>WO00170</x:v>
      </x:c>
      <x:c r="D171" t="str">
        <x:v>LOT00170</x:v>
      </x:c>
      <x:c r="E171" t="str">
        <x:v>IAT-009</x:v>
      </x:c>
      <x:c r="F171" t="str">
        <x:v>AUTO-MH-A</x:v>
      </x:c>
      <x:c r="G171" s="20" t="n">
        <x:v>45415</x:v>
      </x:c>
      <x:c r="H171" s="20" t="n">
        <x:v>45417</x:v>
      </x:c>
      <x:c r="I171" s="20" t="n">
        <x:v>45420</x:v>
      </x:c>
      <x:c r="J171" t="n">
        <x:v>4875</x:v>
      </x:c>
      <x:c r="K171" t="n">
        <x:v>2588.75</x:v>
      </x:c>
      <x:c r="L171" t="str">
        <x:v>海運</x:v>
      </x:c>
      <x:c r="M171" t="n">
        <x:v>5</x:v>
      </x:c>
      <x:c r="N171" t="str">
        <x:v>否</x:v>
      </x:c>
      <x:c r="O171" t="n">
        <x:v>0</x:v>
      </x:c>
      <x:c r="P171"/>
    </x:row>
    <x:row r="172" ht="20" customHeight="1">
      <x:c r="A172" t="str">
        <x:v>SH000171</x:v>
      </x:c>
      <x:c r="B172" t="str">
        <x:v>SO00118-01</x:v>
      </x:c>
      <x:c r="C172" t="str">
        <x:v>WO00171</x:v>
      </x:c>
      <x:c r="D172" t="str">
        <x:v>LOT00171</x:v>
      </x:c>
      <x:c r="E172" t="str">
        <x:v>IAT-008</x:v>
      </x:c>
      <x:c r="F172" t="str">
        <x:v>PM-SUS-B</x:v>
      </x:c>
      <x:c r="G172" s="20" t="n">
        <x:v>45421</x:v>
      </x:c>
      <x:c r="H172" s="20" t="n">
        <x:v>45419</x:v>
      </x:c>
      <x:c r="I172" s="20" t="n">
        <x:v>45421</x:v>
      </x:c>
      <x:c r="J172" t="n">
        <x:v>589</x:v>
      </x:c>
      <x:c r="K172" t="n">
        <x:v>13696.26</x:v>
      </x:c>
      <x:c r="L172" t="str">
        <x:v>陸運</x:v>
      </x:c>
      <x:c r="M172" t="n">
        <x:v>0</x:v>
      </x:c>
      <x:c r="N172" t="str">
        <x:v>是</x:v>
      </x:c>
      <x:c r="O172" t="n">
        <x:v>0</x:v>
      </x:c>
      <x:c r="P172"/>
    </x:row>
    <x:row r="173" ht="20" customHeight="1">
      <x:c r="A173" t="str">
        <x:v>SH000172</x:v>
      </x:c>
      <x:c r="B173" t="str">
        <x:v>SO00118-01</x:v>
      </x:c>
      <x:c r="C173" t="str">
        <x:v>WO00172</x:v>
      </x:c>
      <x:c r="D173" t="str">
        <x:v>LOT00172</x:v>
      </x:c>
      <x:c r="E173" t="str">
        <x:v>IAT-008</x:v>
      </x:c>
      <x:c r="F173" t="str">
        <x:v>PM-SUS-B</x:v>
      </x:c>
      <x:c r="G173" s="20" t="n">
        <x:v>45421</x:v>
      </x:c>
      <x:c r="H173" s="20" t="n">
        <x:v>45424</x:v>
      </x:c>
      <x:c r="I173" s="20" t="n">
        <x:v>45428</x:v>
      </x:c>
      <x:c r="J173" t="n">
        <x:v>588</x:v>
      </x:c>
      <x:c r="K173" t="n">
        <x:v>13696.26</x:v>
      </x:c>
      <x:c r="L173" t="str">
        <x:v>海運</x:v>
      </x:c>
      <x:c r="M173" t="n">
        <x:v>7</x:v>
      </x:c>
      <x:c r="N173" t="str">
        <x:v>否</x:v>
      </x:c>
      <x:c r="O173" t="n">
        <x:v>0</x:v>
      </x:c>
      <x:c r="P173"/>
    </x:row>
    <x:row r="174" ht="20" customHeight="1">
      <x:c r="A174" t="str">
        <x:v>SH000173</x:v>
      </x:c>
      <x:c r="B174" t="str">
        <x:v>SO00119-01</x:v>
      </x:c>
      <x:c r="C174" t="str">
        <x:v>WO00173</x:v>
      </x:c>
      <x:c r="D174" t="str">
        <x:v>LOT00173</x:v>
      </x:c>
      <x:c r="E174" t="str">
        <x:v>AUT-014</x:v>
      </x:c>
      <x:c r="F174" t="str">
        <x:v>AUTO-KN-B</x:v>
      </x:c>
      <x:c r="G174" s="20" t="n">
        <x:v>45397</x:v>
      </x:c>
      <x:c r="H174" s="20" t="n">
        <x:v>45395</x:v>
      </x:c>
      <x:c r="I174" s="20" t="n">
        <x:v>45400</x:v>
      </x:c>
      <x:c r="J174" t="n">
        <x:v>4957</x:v>
      </x:c>
      <x:c r="K174" t="n">
        <x:v>3553.23</x:v>
      </x:c>
      <x:c r="L174" t="str">
        <x:v>陸運</x:v>
      </x:c>
      <x:c r="M174" t="n">
        <x:v>3</x:v>
      </x:c>
      <x:c r="N174" t="str">
        <x:v>否</x:v>
      </x:c>
      <x:c r="O174" t="n">
        <x:v>0</x:v>
      </x:c>
      <x:c r="P174"/>
    </x:row>
    <x:row r="175" ht="20" customHeight="1">
      <x:c r="A175" t="str">
        <x:v>SH000174</x:v>
      </x:c>
      <x:c r="B175" t="str">
        <x:v>SO00120-01</x:v>
      </x:c>
      <x:c r="C175" t="str">
        <x:v>WO00175</x:v>
      </x:c>
      <x:c r="D175" t="str">
        <x:v>LOT00175</x:v>
      </x:c>
      <x:c r="E175" t="str">
        <x:v>AUT-005</x:v>
      </x:c>
      <x:c r="F175" t="str">
        <x:v>PM-ALB-A</x:v>
      </x:c>
      <x:c r="G175" s="20" t="n">
        <x:v>45387</x:v>
      </x:c>
      <x:c r="H175" s="20" t="n">
        <x:v>45381</x:v>
      </x:c>
      <x:c r="I175" s="20" t="n">
        <x:v>45384</x:v>
      </x:c>
      <x:c r="J175" t="n">
        <x:v>791</x:v>
      </x:c>
      <x:c r="K175" t="n">
        <x:v>10693.73</x:v>
      </x:c>
      <x:c r="L175" t="str">
        <x:v>陸運</x:v>
      </x:c>
      <x:c r="M175" t="n">
        <x:v>0</x:v>
      </x:c>
      <x:c r="N175" t="str">
        <x:v>是</x:v>
      </x:c>
      <x:c r="O175" t="n">
        <x:v>0</x:v>
      </x:c>
      <x:c r="P175"/>
    </x:row>
    <x:row r="176" ht="20" customHeight="1">
      <x:c r="A176" t="str">
        <x:v>SH000175</x:v>
      </x:c>
      <x:c r="B176" t="str">
        <x:v>SO00120-01</x:v>
      </x:c>
      <x:c r="C176" t="str">
        <x:v>WO00174</x:v>
      </x:c>
      <x:c r="D176" t="str">
        <x:v>LOT00174</x:v>
      </x:c>
      <x:c r="E176" t="str">
        <x:v>AUT-005</x:v>
      </x:c>
      <x:c r="F176" t="str">
        <x:v>PM-ALB-A</x:v>
      </x:c>
      <x:c r="G176" s="20" t="n">
        <x:v>45387</x:v>
      </x:c>
      <x:c r="H176" s="20" t="n">
        <x:v>45386</x:v>
      </x:c>
      <x:c r="I176" s="20" t="n">
        <x:v>45390</x:v>
      </x:c>
      <x:c r="J176" t="n">
        <x:v>793</x:v>
      </x:c>
      <x:c r="K176" t="n">
        <x:v>10693.73</x:v>
      </x:c>
      <x:c r="L176" t="str">
        <x:v>陸運</x:v>
      </x:c>
      <x:c r="M176" t="n">
        <x:v>3</x:v>
      </x:c>
      <x:c r="N176" t="str">
        <x:v>否</x:v>
      </x:c>
      <x:c r="O176" t="n">
        <x:v>4</x:v>
      </x:c>
      <x:c r="P176" t="str">
        <x:v>尺寸異常</x:v>
      </x:c>
    </x:row>
    <x:row r="177" ht="20" customHeight="1">
      <x:c r="A177" t="str">
        <x:v>SH000176</x:v>
      </x:c>
      <x:c r="B177" t="str">
        <x:v>SO00121-01</x:v>
      </x:c>
      <x:c r="C177" t="str">
        <x:v>WO00177</x:v>
      </x:c>
      <x:c r="D177" t="str">
        <x:v>LOT00177</x:v>
      </x:c>
      <x:c r="E177" t="str">
        <x:v>AUT-012</x:v>
      </x:c>
      <x:c r="F177" t="str">
        <x:v>AUTO-BS-A</x:v>
      </x:c>
      <x:c r="G177" s="20" t="n">
        <x:v>45382</x:v>
      </x:c>
      <x:c r="H177" s="20" t="n">
        <x:v>45382</x:v>
      </x:c>
      <x:c r="I177" s="20" t="n">
        <x:v>45385</x:v>
      </x:c>
      <x:c r="J177" t="n">
        <x:v>4957</x:v>
      </x:c>
      <x:c r="K177" t="n">
        <x:v>697.79</x:v>
      </x:c>
      <x:c r="L177" t="str">
        <x:v>空運</x:v>
      </x:c>
      <x:c r="M177" t="n">
        <x:v>3</x:v>
      </x:c>
      <x:c r="N177" t="str">
        <x:v>否</x:v>
      </x:c>
      <x:c r="O177" t="n">
        <x:v>0</x:v>
      </x:c>
      <x:c r="P177"/>
    </x:row>
    <x:row r="178" ht="20" customHeight="1">
      <x:c r="A178" t="str">
        <x:v>SH000177</x:v>
      </x:c>
      <x:c r="B178" t="str">
        <x:v>SO00121-01</x:v>
      </x:c>
      <x:c r="C178" t="str">
        <x:v>WO00176</x:v>
      </x:c>
      <x:c r="D178" t="str">
        <x:v>LOT00176</x:v>
      </x:c>
      <x:c r="E178" t="str">
        <x:v>AUT-012</x:v>
      </x:c>
      <x:c r="F178" t="str">
        <x:v>AUTO-BS-A</x:v>
      </x:c>
      <x:c r="G178" s="20" t="n">
        <x:v>45382</x:v>
      </x:c>
      <x:c r="H178" s="20" t="n">
        <x:v>45384</x:v>
      </x:c>
      <x:c r="I178" s="20" t="n">
        <x:v>45389</x:v>
      </x:c>
      <x:c r="J178" t="n">
        <x:v>4930</x:v>
      </x:c>
      <x:c r="K178" t="n">
        <x:v>697.79</x:v>
      </x:c>
      <x:c r="L178" t="str">
        <x:v>海運</x:v>
      </x:c>
      <x:c r="M178" t="n">
        <x:v>7</x:v>
      </x:c>
      <x:c r="N178" t="str">
        <x:v>否</x:v>
      </x:c>
      <x:c r="O178" t="n">
        <x:v>0</x:v>
      </x:c>
      <x:c r="P178"/>
    </x:row>
    <x:row r="179" ht="20" customHeight="1">
      <x:c r="A179" t="str">
        <x:v>SH000178</x:v>
      </x:c>
      <x:c r="B179" t="str">
        <x:v>SO00122-01</x:v>
      </x:c>
      <x:c r="C179" t="str">
        <x:v>WO00178</x:v>
      </x:c>
      <x:c r="D179" t="str">
        <x:v>LOT00178</x:v>
      </x:c>
      <x:c r="E179" t="str">
        <x:v>EMS-005</x:v>
      </x:c>
      <x:c r="F179" t="str">
        <x:v>SEMI-CHB-A</x:v>
      </x:c>
      <x:c r="G179" s="20" t="n">
        <x:v>45418</x:v>
      </x:c>
      <x:c r="H179" s="20" t="n">
        <x:v>45423</x:v>
      </x:c>
      <x:c r="I179" s="20" t="n">
        <x:v>45427</x:v>
      </x:c>
      <x:c r="J179" t="n">
        <x:v>79</x:v>
      </x:c>
      <x:c r="K179" t="n">
        <x:v>90851.74</x:v>
      </x:c>
      <x:c r="L179" t="str">
        <x:v>陸運</x:v>
      </x:c>
      <x:c r="M179" t="n">
        <x:v>9</x:v>
      </x:c>
      <x:c r="N179" t="str">
        <x:v>否</x:v>
      </x:c>
      <x:c r="O179" t="n">
        <x:v>0</x:v>
      </x:c>
      <x:c r="P179"/>
    </x:row>
    <x:row r="180" ht="20" customHeight="1">
      <x:c r="A180" t="str">
        <x:v>SH000179</x:v>
      </x:c>
      <x:c r="B180" t="str">
        <x:v>SO00123-01</x:v>
      </x:c>
      <x:c r="C180" t="str">
        <x:v>WO00179</x:v>
      </x:c>
      <x:c r="D180" t="str">
        <x:v>LOT00179</x:v>
      </x:c>
      <x:c r="E180" t="str">
        <x:v>EMS-007</x:v>
      </x:c>
      <x:c r="F180" t="str">
        <x:v>AUTO-BRK-A</x:v>
      </x:c>
      <x:c r="G180" s="20" t="n">
        <x:v>45397</x:v>
      </x:c>
      <x:c r="H180" s="20" t="n">
        <x:v>45394</x:v>
      </x:c>
      <x:c r="I180" s="20" t="n">
        <x:v>45395</x:v>
      </x:c>
      <x:c r="J180" t="n">
        <x:v>4915</x:v>
      </x:c>
      <x:c r="K180" t="n">
        <x:v>1783.42</x:v>
      </x:c>
      <x:c r="L180" t="str">
        <x:v>空運</x:v>
      </x:c>
      <x:c r="M180" t="n">
        <x:v>0</x:v>
      </x:c>
      <x:c r="N180" t="str">
        <x:v>是</x:v>
      </x:c>
      <x:c r="O180" t="n">
        <x:v>0</x:v>
      </x:c>
      <x:c r="P180"/>
    </x:row>
    <x:row r="181" ht="20" customHeight="1">
      <x:c r="A181" t="str">
        <x:v>SH000180</x:v>
      </x:c>
      <x:c r="B181" t="str">
        <x:v>SO00124-01</x:v>
      </x:c>
      <x:c r="C181" t="str">
        <x:v>WO00180</x:v>
      </x:c>
      <x:c r="D181" t="str">
        <x:v>LOT00180</x:v>
      </x:c>
      <x:c r="E181" t="str">
        <x:v>SEM-010</x:v>
      </x:c>
      <x:c r="F181" t="str">
        <x:v>MECH-CON-B</x:v>
      </x:c>
      <x:c r="G181" s="20" t="n">
        <x:v>45433</x:v>
      </x:c>
      <x:c r="H181" s="20" t="n">
        <x:v>45431</x:v>
      </x:c>
      <x:c r="I181" s="20" t="n">
        <x:v>45432</x:v>
      </x:c>
      <x:c r="J181" t="n">
        <x:v>20</x:v>
      </x:c>
      <x:c r="K181" t="n">
        <x:v>152064.23</x:v>
      </x:c>
      <x:c r="L181" t="str">
        <x:v>海運</x:v>
      </x:c>
      <x:c r="M181" t="n">
        <x:v>0</x:v>
      </x:c>
      <x:c r="N181" t="str">
        <x:v>是</x:v>
      </x:c>
      <x:c r="O181" t="n">
        <x:v>0</x:v>
      </x:c>
      <x:c r="P181"/>
    </x:row>
    <x:row r="182" ht="20" customHeight="1">
      <x:c r="A182" t="str">
        <x:v>SH000181</x:v>
      </x:c>
      <x:c r="B182" t="str">
        <x:v>SO00124-01</x:v>
      </x:c>
      <x:c r="C182" t="str">
        <x:v>WO00181</x:v>
      </x:c>
      <x:c r="D182" t="str">
        <x:v>LOT00181</x:v>
      </x:c>
      <x:c r="E182" t="str">
        <x:v>SEM-010</x:v>
      </x:c>
      <x:c r="F182" t="str">
        <x:v>MECH-CON-B</x:v>
      </x:c>
      <x:c r="G182" s="20" t="n">
        <x:v>45433</x:v>
      </x:c>
      <x:c r="H182" s="20" t="n">
        <x:v>45429</x:v>
      </x:c>
      <x:c r="I182" s="20" t="n">
        <x:v>45430</x:v>
      </x:c>
      <x:c r="J182" t="n">
        <x:v>19</x:v>
      </x:c>
      <x:c r="K182" t="n">
        <x:v>152064.23</x:v>
      </x:c>
      <x:c r="L182" t="str">
        <x:v>海運</x:v>
      </x:c>
      <x:c r="M182" t="n">
        <x:v>0</x:v>
      </x:c>
      <x:c r="N182" t="str">
        <x:v>是</x:v>
      </x:c>
      <x:c r="O182" t="n">
        <x:v>0</x:v>
      </x:c>
      <x:c r="P182"/>
    </x:row>
    <x:row r="183" ht="20" customHeight="1">
      <x:c r="A183" t="str">
        <x:v>SH000182</x:v>
      </x:c>
      <x:c r="B183" t="str">
        <x:v>SO00125-01</x:v>
      </x:c>
      <x:c r="C183" t="str">
        <x:v>WO00182</x:v>
      </x:c>
      <x:c r="D183" t="str">
        <x:v>LOT00182</x:v>
      </x:c>
      <x:c r="E183" t="str">
        <x:v>IAT-002</x:v>
      </x:c>
      <x:c r="F183" t="str">
        <x:v>AUTO-FL-B</x:v>
      </x:c>
      <x:c r="G183" s="20" t="n">
        <x:v>45400</x:v>
      </x:c>
      <x:c r="H183" s="20" t="n">
        <x:v>45394</x:v>
      </x:c>
      <x:c r="I183" s="20" t="n">
        <x:v>45396</x:v>
      </x:c>
      <x:c r="J183" t="n">
        <x:v>6861</x:v>
      </x:c>
      <x:c r="K183" t="n">
        <x:v>1560.45</x:v>
      </x:c>
      <x:c r="L183" t="str">
        <x:v>海運</x:v>
      </x:c>
      <x:c r="M183" t="n">
        <x:v>0</x:v>
      </x:c>
      <x:c r="N183" t="str">
        <x:v>是</x:v>
      </x:c>
      <x:c r="O183" t="n">
        <x:v>0</x:v>
      </x:c>
      <x:c r="P183"/>
    </x:row>
    <x:row r="184" ht="20" customHeight="1">
      <x:c r="A184" t="str">
        <x:v>SH000183</x:v>
      </x:c>
      <x:c r="B184" t="str">
        <x:v>SO00126-01</x:v>
      </x:c>
      <x:c r="C184" t="str">
        <x:v>WO00183</x:v>
      </x:c>
      <x:c r="D184" t="str">
        <x:v>LOT00183</x:v>
      </x:c>
      <x:c r="E184" t="str">
        <x:v>EMS-007</x:v>
      </x:c>
      <x:c r="F184" t="str">
        <x:v>AUTO-KN-A</x:v>
      </x:c>
      <x:c r="G184" s="20" t="n">
        <x:v>45401</x:v>
      </x:c>
      <x:c r="H184" s="20" t="n">
        <x:v>45398</x:v>
      </x:c>
      <x:c r="I184" s="20" t="n">
        <x:v>45403</x:v>
      </x:c>
      <x:c r="J184" t="n">
        <x:v>6409</x:v>
      </x:c>
      <x:c r="K184" t="n">
        <x:v>2951.82</x:v>
      </x:c>
      <x:c r="L184" t="str">
        <x:v>海運</x:v>
      </x:c>
      <x:c r="M184" t="n">
        <x:v>2</x:v>
      </x:c>
      <x:c r="N184" t="str">
        <x:v>否</x:v>
      </x:c>
      <x:c r="O184" t="n">
        <x:v>63</x:v>
      </x:c>
      <x:c r="P184" t="str">
        <x:v>包裝破損</x:v>
      </x:c>
    </x:row>
    <x:row r="185" ht="20" customHeight="1">
      <x:c r="A185" t="str">
        <x:v>SH000184</x:v>
      </x:c>
      <x:c r="B185" t="str">
        <x:v>SO00126-01</x:v>
      </x:c>
      <x:c r="C185" t="str">
        <x:v>WO00184</x:v>
      </x:c>
      <x:c r="D185" t="str">
        <x:v>LOT00184</x:v>
      </x:c>
      <x:c r="E185" t="str">
        <x:v>EMS-007</x:v>
      </x:c>
      <x:c r="F185" t="str">
        <x:v>AUTO-KN-A</x:v>
      </x:c>
      <x:c r="G185" s="20" t="n">
        <x:v>45401</x:v>
      </x:c>
      <x:c r="H185" s="20" t="n">
        <x:v>45403</x:v>
      </x:c>
      <x:c r="I185" s="20" t="n">
        <x:v>45406</x:v>
      </x:c>
      <x:c r="J185" t="n">
        <x:v>6415</x:v>
      </x:c>
      <x:c r="K185" t="n">
        <x:v>2951.82</x:v>
      </x:c>
      <x:c r="L185" t="str">
        <x:v>空運</x:v>
      </x:c>
      <x:c r="M185" t="n">
        <x:v>5</x:v>
      </x:c>
      <x:c r="N185" t="str">
        <x:v>否</x:v>
      </x:c>
      <x:c r="O185" t="n">
        <x:v>0</x:v>
      </x:c>
      <x:c r="P185"/>
    </x:row>
    <x:row r="186" ht="20" customHeight="1">
      <x:c r="A186" t="str">
        <x:v>SH000185</x:v>
      </x:c>
      <x:c r="B186" t="str">
        <x:v>SO00127-01</x:v>
      </x:c>
      <x:c r="C186" t="str">
        <x:v>WO00185</x:v>
      </x:c>
      <x:c r="D186" t="str">
        <x:v>LOT00185</x:v>
      </x:c>
      <x:c r="E186" t="str">
        <x:v>EMS-004</x:v>
      </x:c>
      <x:c r="F186" t="str">
        <x:v>SEMI-CHB-A</x:v>
      </x:c>
      <x:c r="G186" s="20" t="n">
        <x:v>45426</x:v>
      </x:c>
      <x:c r="H186" s="20" t="n">
        <x:v>45425</x:v>
      </x:c>
      <x:c r="I186" s="20" t="n">
        <x:v>45430</x:v>
      </x:c>
      <x:c r="J186" t="n">
        <x:v>59</x:v>
      </x:c>
      <x:c r="K186" t="n">
        <x:v>86227.04</x:v>
      </x:c>
      <x:c r="L186" t="str">
        <x:v>陸運</x:v>
      </x:c>
      <x:c r="M186" t="n">
        <x:v>4</x:v>
      </x:c>
      <x:c r="N186" t="str">
        <x:v>否</x:v>
      </x:c>
      <x:c r="O186" t="n">
        <x:v>0</x:v>
      </x:c>
      <x:c r="P186"/>
    </x:row>
    <x:row r="187" ht="20" customHeight="1">
      <x:c r="A187" t="str">
        <x:v>SH000186</x:v>
      </x:c>
      <x:c r="B187" t="str">
        <x:v>SO00127-01</x:v>
      </x:c>
      <x:c r="C187" t="str">
        <x:v>WO00186</x:v>
      </x:c>
      <x:c r="D187" t="str">
        <x:v>LOT00186</x:v>
      </x:c>
      <x:c r="E187" t="str">
        <x:v>EMS-004</x:v>
      </x:c>
      <x:c r="F187" t="str">
        <x:v>SEMI-CHB-A</x:v>
      </x:c>
      <x:c r="G187" s="20" t="n">
        <x:v>45426</x:v>
      </x:c>
      <x:c r="H187" s="20" t="n">
        <x:v>45425</x:v>
      </x:c>
      <x:c r="I187" s="20" t="n">
        <x:v>45429</x:v>
      </x:c>
      <x:c r="J187" t="n">
        <x:v>59</x:v>
      </x:c>
      <x:c r="K187" t="n">
        <x:v>86227.04</x:v>
      </x:c>
      <x:c r="L187" t="str">
        <x:v>陸運</x:v>
      </x:c>
      <x:c r="M187" t="n">
        <x:v>3</x:v>
      </x:c>
      <x:c r="N187" t="str">
        <x:v>否</x:v>
      </x:c>
      <x:c r="O187" t="n">
        <x:v>0</x:v>
      </x:c>
      <x:c r="P187"/>
    </x:row>
    <x:row r="188" ht="20" customHeight="1">
      <x:c r="A188" t="str">
        <x:v>SH000187</x:v>
      </x:c>
      <x:c r="B188" t="str">
        <x:v>SO00128-01</x:v>
      </x:c>
      <x:c r="C188" t="str">
        <x:v>WO00187</x:v>
      </x:c>
      <x:c r="D188" t="str">
        <x:v>LOT00187</x:v>
      </x:c>
      <x:c r="E188" t="str">
        <x:v>EMS-007</x:v>
      </x:c>
      <x:c r="F188" t="str">
        <x:v>AUTO-LG-B</x:v>
      </x:c>
      <x:c r="G188" s="20" t="n">
        <x:v>45389</x:v>
      </x:c>
      <x:c r="H188" s="20" t="n">
        <x:v>45390</x:v>
      </x:c>
      <x:c r="I188" s="20" t="n">
        <x:v>45394</x:v>
      </x:c>
      <x:c r="J188" t="n">
        <x:v>2951</x:v>
      </x:c>
      <x:c r="K188" t="n">
        <x:v>1208.15</x:v>
      </x:c>
      <x:c r="L188" t="str">
        <x:v>海運</x:v>
      </x:c>
      <x:c r="M188" t="n">
        <x:v>5</x:v>
      </x:c>
      <x:c r="N188" t="str">
        <x:v>否</x:v>
      </x:c>
      <x:c r="O188" t="n">
        <x:v>0</x:v>
      </x:c>
      <x:c r="P188"/>
    </x:row>
    <x:row r="189" ht="20" customHeight="1">
      <x:c r="A189" t="str">
        <x:v>SH000188</x:v>
      </x:c>
      <x:c r="B189" t="str">
        <x:v>SO00129-01</x:v>
      </x:c>
      <x:c r="C189" t="str">
        <x:v>WO00189</x:v>
      </x:c>
      <x:c r="D189" t="str">
        <x:v>LOT00189</x:v>
      </x:c>
      <x:c r="E189" t="str">
        <x:v>AUT-011</x:v>
      </x:c>
      <x:c r="F189" t="str">
        <x:v>PM-SUS-B</x:v>
      </x:c>
      <x:c r="G189" s="20" t="n">
        <x:v>45396</x:v>
      </x:c>
      <x:c r="H189" s="20" t="n">
        <x:v>45392</x:v>
      </x:c>
      <x:c r="I189" s="20" t="n">
        <x:v>45395</x:v>
      </x:c>
      <x:c r="J189" t="n">
        <x:v>588</x:v>
      </x:c>
      <x:c r="K189" t="n">
        <x:v>15275.7</x:v>
      </x:c>
      <x:c r="L189" t="str">
        <x:v>空運</x:v>
      </x:c>
      <x:c r="M189" t="n">
        <x:v>0</x:v>
      </x:c>
      <x:c r="N189" t="str">
        <x:v>是</x:v>
      </x:c>
      <x:c r="O189" t="n">
        <x:v>0</x:v>
      </x:c>
      <x:c r="P189"/>
    </x:row>
    <x:row r="190" ht="20" customHeight="1">
      <x:c r="A190" t="str">
        <x:v>SH000189</x:v>
      </x:c>
      <x:c r="B190" t="str">
        <x:v>SO00129-01</x:v>
      </x:c>
      <x:c r="C190" t="str">
        <x:v>WO00188</x:v>
      </x:c>
      <x:c r="D190" t="str">
        <x:v>LOT00188</x:v>
      </x:c>
      <x:c r="E190" t="str">
        <x:v>AUT-011</x:v>
      </x:c>
      <x:c r="F190" t="str">
        <x:v>PM-SUS-B</x:v>
      </x:c>
      <x:c r="G190" s="20" t="n">
        <x:v>45396</x:v>
      </x:c>
      <x:c r="H190" s="20" t="n">
        <x:v>45399</x:v>
      </x:c>
      <x:c r="I190" s="20" t="n">
        <x:v>45400</x:v>
      </x:c>
      <x:c r="J190" t="n">
        <x:v>585</x:v>
      </x:c>
      <x:c r="K190" t="n">
        <x:v>15275.7</x:v>
      </x:c>
      <x:c r="L190" t="str">
        <x:v>海運</x:v>
      </x:c>
      <x:c r="M190" t="n">
        <x:v>4</x:v>
      </x:c>
      <x:c r="N190" t="str">
        <x:v>否</x:v>
      </x:c>
      <x:c r="O190" t="n">
        <x:v>0</x:v>
      </x:c>
      <x:c r="P190"/>
    </x:row>
    <x:row r="191" ht="20" customHeight="1">
      <x:c r="A191" t="str">
        <x:v>SH000190</x:v>
      </x:c>
      <x:c r="B191" t="str">
        <x:v>SO00130-01</x:v>
      </x:c>
      <x:c r="C191" t="str">
        <x:v>WO00190</x:v>
      </x:c>
      <x:c r="D191" t="str">
        <x:v>LOT00190</x:v>
      </x:c>
      <x:c r="E191" t="str">
        <x:v>IAT-003</x:v>
      </x:c>
      <x:c r="F191" t="str">
        <x:v>AUTO-LG-B</x:v>
      </x:c>
      <x:c r="G191" s="20" t="n">
        <x:v>45395</x:v>
      </x:c>
      <x:c r="H191" s="20" t="n">
        <x:v>45391</x:v>
      </x:c>
      <x:c r="I191" s="20" t="n">
        <x:v>45394</x:v>
      </x:c>
      <x:c r="J191" t="n">
        <x:v>6854</x:v>
      </x:c>
      <x:c r="K191" t="n">
        <x:v>1113.16</x:v>
      </x:c>
      <x:c r="L191" t="str">
        <x:v>海運</x:v>
      </x:c>
      <x:c r="M191" t="n">
        <x:v>0</x:v>
      </x:c>
      <x:c r="N191" t="str">
        <x:v>是</x:v>
      </x:c>
      <x:c r="O191" t="n">
        <x:v>0</x:v>
      </x:c>
      <x:c r="P191"/>
    </x:row>
    <x:row r="192" ht="20" customHeight="1">
      <x:c r="A192" t="str">
        <x:v>SH000191</x:v>
      </x:c>
      <x:c r="B192" t="str">
        <x:v>SO00131-01</x:v>
      </x:c>
      <x:c r="C192" t="str">
        <x:v>WO00191</x:v>
      </x:c>
      <x:c r="D192" t="str">
        <x:v>LOT00191</x:v>
      </x:c>
      <x:c r="E192" t="str">
        <x:v>AUT-010</x:v>
      </x:c>
      <x:c r="F192" t="str">
        <x:v>AUTO-FL-B</x:v>
      </x:c>
      <x:c r="G192" s="20" t="n">
        <x:v>45400</x:v>
      </x:c>
      <x:c r="H192" s="20" t="n">
        <x:v>45399</x:v>
      </x:c>
      <x:c r="I192" s="20" t="n">
        <x:v>45400</x:v>
      </x:c>
      <x:c r="J192" t="n">
        <x:v>2979</x:v>
      </x:c>
      <x:c r="K192" t="n">
        <x:v>1511.77</x:v>
      </x:c>
      <x:c r="L192" t="str">
        <x:v>空運</x:v>
      </x:c>
      <x:c r="M192" t="n">
        <x:v>0</x:v>
      </x:c>
      <x:c r="N192" t="str">
        <x:v>是</x:v>
      </x:c>
      <x:c r="O192" t="n">
        <x:v>0</x:v>
      </x:c>
      <x:c r="P192"/>
    </x:row>
    <x:row r="193" ht="20" customHeight="1">
      <x:c r="A193" t="str">
        <x:v>SH000192</x:v>
      </x:c>
      <x:c r="B193" t="str">
        <x:v>SO00132-01</x:v>
      </x:c>
      <x:c r="C193" t="str">
        <x:v>WO00192</x:v>
      </x:c>
      <x:c r="D193" t="str">
        <x:v>LOT00192</x:v>
      </x:c>
      <x:c r="E193" t="str">
        <x:v>AFT-002</x:v>
      </x:c>
      <x:c r="F193" t="str">
        <x:v>AUTO-BS-A</x:v>
      </x:c>
      <x:c r="G193" s="20" t="n">
        <x:v>45377</x:v>
      </x:c>
      <x:c r="H193" s="20" t="n">
        <x:v>45377</x:v>
      </x:c>
      <x:c r="I193" s="20" t="n">
        <x:v>45382</x:v>
      </x:c>
      <x:c r="J193" t="n">
        <x:v>5000</x:v>
      </x:c>
      <x:c r="K193" t="n">
        <x:v>727.45</x:v>
      </x:c>
      <x:c r="L193" t="str">
        <x:v>陸運</x:v>
      </x:c>
      <x:c r="M193" t="n">
        <x:v>5</x:v>
      </x:c>
      <x:c r="N193" t="str">
        <x:v>否</x:v>
      </x:c>
      <x:c r="O193" t="n">
        <x:v>0</x:v>
      </x:c>
      <x:c r="P193"/>
    </x:row>
    <x:row r="194" ht="20" customHeight="1">
      <x:c r="A194" t="str">
        <x:v>SH000193</x:v>
      </x:c>
      <x:c r="B194" t="str">
        <x:v>SO00133-01</x:v>
      </x:c>
      <x:c r="C194" t="str">
        <x:v>WO00193</x:v>
      </x:c>
      <x:c r="D194" t="str">
        <x:v>LOT00193</x:v>
      </x:c>
      <x:c r="E194" t="str">
        <x:v>AUT-012</x:v>
      </x:c>
      <x:c r="F194" t="str">
        <x:v>AUTO-KN-A</x:v>
      </x:c>
      <x:c r="G194" s="20" t="n">
        <x:v>45419</x:v>
      </x:c>
      <x:c r="H194" s="20" t="n">
        <x:v>45419</x:v>
      </x:c>
      <x:c r="I194" s="20" t="n">
        <x:v>45423</x:v>
      </x:c>
      <x:c r="J194" t="n">
        <x:v>6917</x:v>
      </x:c>
      <x:c r="K194" t="n">
        <x:v>3227.55</x:v>
      </x:c>
      <x:c r="L194" t="str">
        <x:v>陸運</x:v>
      </x:c>
      <x:c r="M194" t="n">
        <x:v>4</x:v>
      </x:c>
      <x:c r="N194" t="str">
        <x:v>否</x:v>
      </x:c>
      <x:c r="O194" t="n">
        <x:v>0</x:v>
      </x:c>
      <x:c r="P194"/>
    </x:row>
    <x:row r="195" ht="20" customHeight="1">
      <x:c r="A195" t="str">
        <x:v>SH000194</x:v>
      </x:c>
      <x:c r="B195" t="str">
        <x:v>SO00134-01</x:v>
      </x:c>
      <x:c r="C195" t="str">
        <x:v>WO00195</x:v>
      </x:c>
      <x:c r="D195" t="str">
        <x:v>LOT00195</x:v>
      </x:c>
      <x:c r="E195" t="str">
        <x:v>EMS-005</x:v>
      </x:c>
      <x:c r="F195" t="str">
        <x:v>PM-VAC-A</x:v>
      </x:c>
      <x:c r="G195" s="20" t="n">
        <x:v>45440</x:v>
      </x:c>
      <x:c r="H195" s="20" t="n">
        <x:v>45438</x:v>
      </x:c>
      <x:c r="I195" s="20" t="n">
        <x:v>45443</x:v>
      </x:c>
      <x:c r="J195" t="n">
        <x:v>778</x:v>
      </x:c>
      <x:c r="K195" t="n">
        <x:v>15967.79</x:v>
      </x:c>
      <x:c r="L195" t="str">
        <x:v>陸運</x:v>
      </x:c>
      <x:c r="M195" t="n">
        <x:v>3</x:v>
      </x:c>
      <x:c r="N195" t="str">
        <x:v>否</x:v>
      </x:c>
      <x:c r="O195" t="n">
        <x:v>0</x:v>
      </x:c>
      <x:c r="P195"/>
    </x:row>
    <x:row r="196" ht="20" customHeight="1">
      <x:c r="A196" t="str">
        <x:v>SH000195</x:v>
      </x:c>
      <x:c r="B196" t="str">
        <x:v>SO00134-01</x:v>
      </x:c>
      <x:c r="C196" t="str">
        <x:v>WO00194</x:v>
      </x:c>
      <x:c r="D196" t="str">
        <x:v>LOT00194</x:v>
      </x:c>
      <x:c r="E196" t="str">
        <x:v>EMS-005</x:v>
      </x:c>
      <x:c r="F196" t="str">
        <x:v>PM-VAC-A</x:v>
      </x:c>
      <x:c r="G196" s="20" t="n">
        <x:v>45440</x:v>
      </x:c>
      <x:c r="H196" s="20" t="n">
        <x:v>45446</x:v>
      </x:c>
      <x:c r="I196" s="20" t="n">
        <x:v>45448</x:v>
      </x:c>
      <x:c r="J196" t="n">
        <x:v>787</x:v>
      </x:c>
      <x:c r="K196" t="n">
        <x:v>15967.79</x:v>
      </x:c>
      <x:c r="L196" t="str">
        <x:v>海運</x:v>
      </x:c>
      <x:c r="M196" t="n">
        <x:v>8</x:v>
      </x:c>
      <x:c r="N196" t="str">
        <x:v>否</x:v>
      </x:c>
      <x:c r="O196" t="n">
        <x:v>0</x:v>
      </x:c>
      <x:c r="P196"/>
    </x:row>
    <x:row r="197" ht="20" customHeight="1">
      <x:c r="A197" t="str">
        <x:v>SH000196</x:v>
      </x:c>
      <x:c r="B197" t="str">
        <x:v>SO00135-01</x:v>
      </x:c>
      <x:c r="C197" t="str">
        <x:v>WO00196</x:v>
      </x:c>
      <x:c r="D197" t="str">
        <x:v>LOT00196</x:v>
      </x:c>
      <x:c r="E197" t="str">
        <x:v>AUT-002</x:v>
      </x:c>
      <x:c r="F197" t="str">
        <x:v>AUTO-LG-A</x:v>
      </x:c>
      <x:c r="G197" s="20" t="n">
        <x:v>45428</x:v>
      </x:c>
      <x:c r="H197" s="20" t="n">
        <x:v>45426</x:v>
      </x:c>
      <x:c r="I197" s="20" t="n">
        <x:v>45428</x:v>
      </x:c>
      <x:c r="J197" t="n">
        <x:v>4923</x:v>
      </x:c>
      <x:c r="K197" t="n">
        <x:v>1164.76</x:v>
      </x:c>
      <x:c r="L197" t="str">
        <x:v>海運</x:v>
      </x:c>
      <x:c r="M197" t="n">
        <x:v>0</x:v>
      </x:c>
      <x:c r="N197" t="str">
        <x:v>是</x:v>
      </x:c>
      <x:c r="O197" t="n">
        <x:v>0</x:v>
      </x:c>
      <x:c r="P197"/>
    </x:row>
    <x:row r="198" ht="20" customHeight="1">
      <x:c r="A198" t="str">
        <x:v>SH000197</x:v>
      </x:c>
      <x:c r="B198" t="str">
        <x:v>SO00135-01</x:v>
      </x:c>
      <x:c r="C198" t="str">
        <x:v>WO00197</x:v>
      </x:c>
      <x:c r="D198" t="str">
        <x:v>LOT00197</x:v>
      </x:c>
      <x:c r="E198" t="str">
        <x:v>AUT-002</x:v>
      </x:c>
      <x:c r="F198" t="str">
        <x:v>AUTO-LG-A</x:v>
      </x:c>
      <x:c r="G198" s="20" t="n">
        <x:v>45428</x:v>
      </x:c>
      <x:c r="H198" s="20" t="n">
        <x:v>45426</x:v>
      </x:c>
      <x:c r="I198" s="20" t="n">
        <x:v>45427</x:v>
      </x:c>
      <x:c r="J198" t="n">
        <x:v>4918</x:v>
      </x:c>
      <x:c r="K198" t="n">
        <x:v>1164.76</x:v>
      </x:c>
      <x:c r="L198" t="str">
        <x:v>空運</x:v>
      </x:c>
      <x:c r="M198" t="n">
        <x:v>0</x:v>
      </x:c>
      <x:c r="N198" t="str">
        <x:v>是</x:v>
      </x:c>
      <x:c r="O198" t="n">
        <x:v>0</x:v>
      </x:c>
      <x:c r="P198"/>
    </x:row>
    <x:row r="199" ht="20" customHeight="1">
      <x:c r="A199" t="str">
        <x:v>SH000198</x:v>
      </x:c>
      <x:c r="B199" t="str">
        <x:v>SO00136-01</x:v>
      </x:c>
      <x:c r="C199" t="str">
        <x:v>WO00198</x:v>
      </x:c>
      <x:c r="D199" t="str">
        <x:v>LOT00198</x:v>
      </x:c>
      <x:c r="E199" t="str">
        <x:v>EMS-002</x:v>
      </x:c>
      <x:c r="F199" t="str">
        <x:v>AUTO-KN-B</x:v>
      </x:c>
      <x:c r="G199" s="20" t="n">
        <x:v>45417</x:v>
      </x:c>
      <x:c r="H199" s="20" t="n">
        <x:v>45415</x:v>
      </x:c>
      <x:c r="I199" s="20" t="n">
        <x:v>45417</x:v>
      </x:c>
      <x:c r="J199" t="n">
        <x:v>2966</x:v>
      </x:c>
      <x:c r="K199" t="n">
        <x:v>3674.13</x:v>
      </x:c>
      <x:c r="L199" t="str">
        <x:v>海運</x:v>
      </x:c>
      <x:c r="M199" t="n">
        <x:v>0</x:v>
      </x:c>
      <x:c r="N199" t="str">
        <x:v>是</x:v>
      </x:c>
      <x:c r="O199" t="n">
        <x:v>0</x:v>
      </x:c>
      <x:c r="P199"/>
    </x:row>
    <x:row r="200" ht="20" customHeight="1">
      <x:c r="A200" t="str">
        <x:v>SH000199</x:v>
      </x:c>
      <x:c r="B200" t="str">
        <x:v>SO00137-01</x:v>
      </x:c>
      <x:c r="C200" t="str">
        <x:v>WO00200</x:v>
      </x:c>
      <x:c r="D200" t="str">
        <x:v>LOT00200</x:v>
      </x:c>
      <x:c r="E200" t="str">
        <x:v>SEM-006</x:v>
      </x:c>
      <x:c r="F200" t="str">
        <x:v>PM-SUS-B</x:v>
      </x:c>
      <x:c r="G200" s="20" t="n">
        <x:v>45436</x:v>
      </x:c>
      <x:c r="H200" s="20" t="n">
        <x:v>45432</x:v>
      </x:c>
      <x:c r="I200" s="20" t="n">
        <x:v>45434</x:v>
      </x:c>
      <x:c r="J200" t="n">
        <x:v>588</x:v>
      </x:c>
      <x:c r="K200" t="n">
        <x:v>14158.31</x:v>
      </x:c>
      <x:c r="L200" t="str">
        <x:v>海運</x:v>
      </x:c>
      <x:c r="M200" t="n">
        <x:v>0</x:v>
      </x:c>
      <x:c r="N200" t="str">
        <x:v>是</x:v>
      </x:c>
      <x:c r="O200" t="n">
        <x:v>4</x:v>
      </x:c>
      <x:c r="P200" t="str">
        <x:v>包裝破損</x:v>
      </x:c>
    </x:row>
    <x:row r="201" ht="20" customHeight="1">
      <x:c r="A201" t="str">
        <x:v>SH000200</x:v>
      </x:c>
      <x:c r="B201" t="str">
        <x:v>SO00137-01</x:v>
      </x:c>
      <x:c r="C201" t="str">
        <x:v>WO00199</x:v>
      </x:c>
      <x:c r="D201" t="str">
        <x:v>LOT00199</x:v>
      </x:c>
      <x:c r="E201" t="str">
        <x:v>SEM-006</x:v>
      </x:c>
      <x:c r="F201" t="str">
        <x:v>PM-SUS-B</x:v>
      </x:c>
      <x:c r="G201" s="20" t="n">
        <x:v>45436</x:v>
      </x:c>
      <x:c r="H201" s="20" t="n">
        <x:v>45436</x:v>
      </x:c>
      <x:c r="I201" s="20" t="n">
        <x:v>45439</x:v>
      </x:c>
      <x:c r="J201" t="n">
        <x:v>587</x:v>
      </x:c>
      <x:c r="K201" t="n">
        <x:v>14158.31</x:v>
      </x:c>
      <x:c r="L201" t="str">
        <x:v>海運</x:v>
      </x:c>
      <x:c r="M201" t="n">
        <x:v>3</x:v>
      </x:c>
      <x:c r="N201" t="str">
        <x:v>否</x:v>
      </x:c>
      <x:c r="O201" t="n">
        <x:v>0</x:v>
      </x:c>
      <x:c r="P201"/>
    </x:row>
    <x:row r="202" ht="20" customHeight="1">
      <x:c r="A202" t="str">
        <x:v>SH000201</x:v>
      </x:c>
      <x:c r="B202" t="str">
        <x:v>SO00138-01</x:v>
      </x:c>
      <x:c r="C202" t="str">
        <x:v>WO00201</x:v>
      </x:c>
      <x:c r="D202" t="str">
        <x:v>LOT00201</x:v>
      </x:c>
      <x:c r="E202" t="str">
        <x:v>IAT-007</x:v>
      </x:c>
      <x:c r="F202" t="str">
        <x:v>PM-VAC-B</x:v>
      </x:c>
      <x:c r="G202" s="20" t="n">
        <x:v>45450</x:v>
      </x:c>
      <x:c r="H202" s="20" t="n">
        <x:v>45449</x:v>
      </x:c>
      <x:c r="I202" s="20" t="n">
        <x:v>45454</x:v>
      </x:c>
      <x:c r="J202" t="n">
        <x:v>590</x:v>
      </x:c>
      <x:c r="K202" t="n">
        <x:v>20570.18</x:v>
      </x:c>
      <x:c r="L202" t="str">
        <x:v>空運</x:v>
      </x:c>
      <x:c r="M202" t="n">
        <x:v>4</x:v>
      </x:c>
      <x:c r="N202" t="str">
        <x:v>否</x:v>
      </x:c>
      <x:c r="O202" t="n">
        <x:v>0</x:v>
      </x:c>
      <x:c r="P202"/>
    </x:row>
    <x:row r="203" ht="20" customHeight="1">
      <x:c r="A203" t="str">
        <x:v>SH000202</x:v>
      </x:c>
      <x:c r="B203" t="str">
        <x:v>SO00138-01</x:v>
      </x:c>
      <x:c r="C203" t="str">
        <x:v>WO00202</x:v>
      </x:c>
      <x:c r="D203" t="str">
        <x:v>LOT00202</x:v>
      </x:c>
      <x:c r="E203" t="str">
        <x:v>IAT-007</x:v>
      </x:c>
      <x:c r="F203" t="str">
        <x:v>PM-VAC-B</x:v>
      </x:c>
      <x:c r="G203" s="20" t="n">
        <x:v>45450</x:v>
      </x:c>
      <x:c r="H203" s="20" t="n">
        <x:v>45448</x:v>
      </x:c>
      <x:c r="I203" s="20" t="n">
        <x:v>45452</x:v>
      </x:c>
      <x:c r="J203" t="n">
        <x:v>588</x:v>
      </x:c>
      <x:c r="K203" t="n">
        <x:v>20570.18</x:v>
      </x:c>
      <x:c r="L203" t="str">
        <x:v>空運</x:v>
      </x:c>
      <x:c r="M203" t="n">
        <x:v>2</x:v>
      </x:c>
      <x:c r="N203" t="str">
        <x:v>否</x:v>
      </x:c>
      <x:c r="O203" t="n">
        <x:v>0</x:v>
      </x:c>
      <x:c r="P203"/>
    </x:row>
    <x:row r="204" ht="20" customHeight="1">
      <x:c r="A204" t="str">
        <x:v>SH000203</x:v>
      </x:c>
      <x:c r="B204" t="str">
        <x:v>SO00139-01</x:v>
      </x:c>
      <x:c r="C204" t="str">
        <x:v>WO00203</x:v>
      </x:c>
      <x:c r="D204" t="str">
        <x:v>LOT00203</x:v>
      </x:c>
      <x:c r="E204" t="str">
        <x:v>AUT-009</x:v>
      </x:c>
      <x:c r="F204" t="str">
        <x:v>AUTO-BS-A</x:v>
      </x:c>
      <x:c r="G204" s="20" t="n">
        <x:v>45408</x:v>
      </x:c>
      <x:c r="H204" s="20" t="n">
        <x:v>45410</x:v>
      </x:c>
      <x:c r="I204" s="20" t="n">
        <x:v>45412</x:v>
      </x:c>
      <x:c r="J204" t="n">
        <x:v>6945</x:v>
      </x:c>
      <x:c r="K204" t="n">
        <x:v>766.18</x:v>
      </x:c>
      <x:c r="L204" t="str">
        <x:v>陸運</x:v>
      </x:c>
      <x:c r="M204" t="n">
        <x:v>4</x:v>
      </x:c>
      <x:c r="N204" t="str">
        <x:v>否</x:v>
      </x:c>
      <x:c r="O204" t="n">
        <x:v>0</x:v>
      </x:c>
      <x:c r="P204"/>
    </x:row>
    <x:row r="205" ht="20" customHeight="1">
      <x:c r="A205" t="str">
        <x:v>SH000204</x:v>
      </x:c>
      <x:c r="B205" t="str">
        <x:v>SO00140-01</x:v>
      </x:c>
      <x:c r="C205" t="str">
        <x:v>WO00204</x:v>
      </x:c>
      <x:c r="D205" t="str">
        <x:v>LOT00204</x:v>
      </x:c>
      <x:c r="E205" t="str">
        <x:v>SEM-001</x:v>
      </x:c>
      <x:c r="F205" t="str">
        <x:v>PM-VAC-A</x:v>
      </x:c>
      <x:c r="G205" s="20" t="n">
        <x:v>45427</x:v>
      </x:c>
      <x:c r="H205" s="20" t="n">
        <x:v>45420</x:v>
      </x:c>
      <x:c r="I205" s="20" t="n">
        <x:v>45423</x:v>
      </x:c>
      <x:c r="J205" t="n">
        <x:v>590</x:v>
      </x:c>
      <x:c r="K205" t="n">
        <x:v>15626.19</x:v>
      </x:c>
      <x:c r="L205" t="str">
        <x:v>海運</x:v>
      </x:c>
      <x:c r="M205" t="n">
        <x:v>0</x:v>
      </x:c>
      <x:c r="N205" t="str">
        <x:v>是</x:v>
      </x:c>
      <x:c r="O205" t="n">
        <x:v>0</x:v>
      </x:c>
      <x:c r="P205"/>
    </x:row>
    <x:row r="206" ht="20" customHeight="1">
      <x:c r="A206" t="str">
        <x:v>SH000205</x:v>
      </x:c>
      <x:c r="B206" t="str">
        <x:v>SO00140-01</x:v>
      </x:c>
      <x:c r="C206" t="str">
        <x:v>WO00205</x:v>
      </x:c>
      <x:c r="D206" t="str">
        <x:v>LOT00205</x:v>
      </x:c>
      <x:c r="E206" t="str">
        <x:v>SEM-001</x:v>
      </x:c>
      <x:c r="F206" t="str">
        <x:v>PM-VAC-A</x:v>
      </x:c>
      <x:c r="G206" s="20" t="n">
        <x:v>45427</x:v>
      </x:c>
      <x:c r="H206" s="20" t="n">
        <x:v>45429</x:v>
      </x:c>
      <x:c r="I206" s="20" t="n">
        <x:v>45431</x:v>
      </x:c>
      <x:c r="J206" t="n">
        <x:v>589</x:v>
      </x:c>
      <x:c r="K206" t="n">
        <x:v>15626.19</x:v>
      </x:c>
      <x:c r="L206" t="str">
        <x:v>陸運</x:v>
      </x:c>
      <x:c r="M206" t="n">
        <x:v>4</x:v>
      </x:c>
      <x:c r="N206" t="str">
        <x:v>否</x:v>
      </x:c>
      <x:c r="O206" t="n">
        <x:v>0</x:v>
      </x:c>
      <x:c r="P206"/>
    </x:row>
    <x:row r="207" ht="20" customHeight="1">
      <x:c r="A207" t="str">
        <x:v>SH000206</x:v>
      </x:c>
      <x:c r="B207" t="str">
        <x:v>SO00141-01</x:v>
      </x:c>
      <x:c r="C207" t="str">
        <x:v>WO00206</x:v>
      </x:c>
      <x:c r="D207" t="str">
        <x:v>LOT00206</x:v>
      </x:c>
      <x:c r="E207" t="str">
        <x:v>IAT-003</x:v>
      </x:c>
      <x:c r="F207" t="str">
        <x:v>PM-BRG-A</x:v>
      </x:c>
      <x:c r="G207" s="20" t="n">
        <x:v>45437</x:v>
      </x:c>
      <x:c r="H207" s="20" t="n">
        <x:v>45434</x:v>
      </x:c>
      <x:c r="I207" s="20" t="n">
        <x:v>45439</x:v>
      </x:c>
      <x:c r="J207" t="n">
        <x:v>485</x:v>
      </x:c>
      <x:c r="K207" t="n">
        <x:v>6847.95</x:v>
      </x:c>
      <x:c r="L207" t="str">
        <x:v>海運</x:v>
      </x:c>
      <x:c r="M207" t="n">
        <x:v>2</x:v>
      </x:c>
      <x:c r="N207" t="str">
        <x:v>否</x:v>
      </x:c>
      <x:c r="O207" t="n">
        <x:v>0</x:v>
      </x:c>
      <x:c r="P207"/>
    </x:row>
    <x:row r="208" ht="20" customHeight="1">
      <x:c r="A208" t="str">
        <x:v>SH000207</x:v>
      </x:c>
      <x:c r="B208" t="str">
        <x:v>SO00142-01</x:v>
      </x:c>
      <x:c r="C208" t="str">
        <x:v>WO00208</x:v>
      </x:c>
      <x:c r="D208" t="str">
        <x:v>LOT00208</x:v>
      </x:c>
      <x:c r="E208" t="str">
        <x:v>AFT-007</x:v>
      </x:c>
      <x:c r="F208" t="str">
        <x:v>PM-ALB-B</x:v>
      </x:c>
      <x:c r="G208" s="20" t="n">
        <x:v>45420</x:v>
      </x:c>
      <x:c r="H208" s="20" t="n">
        <x:v>45419</x:v>
      </x:c>
      <x:c r="I208" s="20" t="n">
        <x:v>45423</x:v>
      </x:c>
      <x:c r="J208" t="n">
        <x:v>581</x:v>
      </x:c>
      <x:c r="K208" t="n">
        <x:v>15800.51</x:v>
      </x:c>
      <x:c r="L208" t="str">
        <x:v>陸運</x:v>
      </x:c>
      <x:c r="M208" t="n">
        <x:v>3</x:v>
      </x:c>
      <x:c r="N208" t="str">
        <x:v>否</x:v>
      </x:c>
      <x:c r="O208" t="n">
        <x:v>0</x:v>
      </x:c>
      <x:c r="P208"/>
    </x:row>
    <x:row r="209" ht="20" customHeight="1">
      <x:c r="A209" t="str">
        <x:v>SH000208</x:v>
      </x:c>
      <x:c r="B209" t="str">
        <x:v>SO00142-01</x:v>
      </x:c>
      <x:c r="C209" t="str">
        <x:v>WO00207</x:v>
      </x:c>
      <x:c r="D209" t="str">
        <x:v>LOT00207</x:v>
      </x:c>
      <x:c r="E209" t="str">
        <x:v>AFT-007</x:v>
      </x:c>
      <x:c r="F209" t="str">
        <x:v>PM-ALB-B</x:v>
      </x:c>
      <x:c r="G209" s="20" t="n">
        <x:v>45420</x:v>
      </x:c>
      <x:c r="H209" s="20" t="n">
        <x:v>45421</x:v>
      </x:c>
      <x:c r="I209" s="20" t="n">
        <x:v>45423</x:v>
      </x:c>
      <x:c r="J209" t="n">
        <x:v>591</x:v>
      </x:c>
      <x:c r="K209" t="n">
        <x:v>15800.51</x:v>
      </x:c>
      <x:c r="L209" t="str">
        <x:v>陸運</x:v>
      </x:c>
      <x:c r="M209" t="n">
        <x:v>3</x:v>
      </x:c>
      <x:c r="N209" t="str">
        <x:v>否</x:v>
      </x:c>
      <x:c r="O209" t="n">
        <x:v>4</x:v>
      </x:c>
      <x:c r="P209" t="str">
        <x:v>外觀瑕疵</x:v>
      </x:c>
    </x:row>
    <x:row r="210" ht="20" customHeight="1">
      <x:c r="A210" t="str">
        <x:v>SH000209</x:v>
      </x:c>
      <x:c r="B210" t="str">
        <x:v>SO00143-01</x:v>
      </x:c>
      <x:c r="C210" t="str">
        <x:v>WO00211</x:v>
      </x:c>
      <x:c r="D210" t="str">
        <x:v>LOT00211</x:v>
      </x:c>
      <x:c r="E210" t="str">
        <x:v>EMS-003</x:v>
      </x:c>
      <x:c r="F210" t="str">
        <x:v>MECH-STG-A</x:v>
      </x:c>
      <x:c r="G210" s="20" t="n">
        <x:v>45455</x:v>
      </x:c>
      <x:c r="H210" s="20" t="n">
        <x:v>45450</x:v>
      </x:c>
      <x:c r="I210" s="20" t="n">
        <x:v>45455</x:v>
      </x:c>
      <x:c r="J210" t="n">
        <x:v>16</x:v>
      </x:c>
      <x:c r="K210" t="n">
        <x:v>139461.63</x:v>
      </x:c>
      <x:c r="L210" t="str">
        <x:v>海運</x:v>
      </x:c>
      <x:c r="M210" t="n">
        <x:v>0</x:v>
      </x:c>
      <x:c r="N210" t="str">
        <x:v>是</x:v>
      </x:c>
      <x:c r="O210" t="n">
        <x:v>0</x:v>
      </x:c>
      <x:c r="P210"/>
    </x:row>
    <x:row r="211" ht="20" customHeight="1">
      <x:c r="A211" t="str">
        <x:v>SH000210</x:v>
      </x:c>
      <x:c r="B211" t="str">
        <x:v>SO00143-01</x:v>
      </x:c>
      <x:c r="C211" t="str">
        <x:v>WO00209</x:v>
      </x:c>
      <x:c r="D211" t="str">
        <x:v>LOT00209</x:v>
      </x:c>
      <x:c r="E211" t="str">
        <x:v>EMS-003</x:v>
      </x:c>
      <x:c r="F211" t="str">
        <x:v>MECH-STG-A</x:v>
      </x:c>
      <x:c r="G211" s="20" t="n">
        <x:v>45455</x:v>
      </x:c>
      <x:c r="H211" s="20" t="n">
        <x:v>45453</x:v>
      </x:c>
      <x:c r="I211" s="20" t="n">
        <x:v>45457</x:v>
      </x:c>
      <x:c r="J211" t="n">
        <x:v>17</x:v>
      </x:c>
      <x:c r="K211" t="n">
        <x:v>139461.63</x:v>
      </x:c>
      <x:c r="L211" t="str">
        <x:v>空運</x:v>
      </x:c>
      <x:c r="M211" t="n">
        <x:v>2</x:v>
      </x:c>
      <x:c r="N211" t="str">
        <x:v>否</x:v>
      </x:c>
      <x:c r="O211" t="n">
        <x:v>0</x:v>
      </x:c>
      <x:c r="P211"/>
    </x:row>
    <x:row r="212" ht="20" customHeight="1">
      <x:c r="A212" t="str">
        <x:v>SH000211</x:v>
      </x:c>
      <x:c r="B212" t="str">
        <x:v>SO00143-01</x:v>
      </x:c>
      <x:c r="C212" t="str">
        <x:v>WO00210</x:v>
      </x:c>
      <x:c r="D212" t="str">
        <x:v>LOT00210</x:v>
      </x:c>
      <x:c r="E212" t="str">
        <x:v>EMS-003</x:v>
      </x:c>
      <x:c r="F212" t="str">
        <x:v>MECH-STG-A</x:v>
      </x:c>
      <x:c r="G212" s="20" t="n">
        <x:v>45455</x:v>
      </x:c>
      <x:c r="H212" s="20" t="n">
        <x:v>45454</x:v>
      </x:c>
      <x:c r="I212" s="20" t="n">
        <x:v>45457</x:v>
      </x:c>
      <x:c r="J212" t="n">
        <x:v>17</x:v>
      </x:c>
      <x:c r="K212" t="n">
        <x:v>139461.63</x:v>
      </x:c>
      <x:c r="L212" t="str">
        <x:v>海運</x:v>
      </x:c>
      <x:c r="M212" t="n">
        <x:v>2</x:v>
      </x:c>
      <x:c r="N212" t="str">
        <x:v>否</x:v>
      </x:c>
      <x:c r="O212" t="n">
        <x:v>0</x:v>
      </x:c>
      <x:c r="P212"/>
    </x:row>
    <x:row r="213" ht="20" customHeight="1">
      <x:c r="A213" t="str">
        <x:v>SH000212</x:v>
      </x:c>
      <x:c r="B213" t="str">
        <x:v>SO00144-01</x:v>
      </x:c>
      <x:c r="C213" t="str">
        <x:v>WO00212</x:v>
      </x:c>
      <x:c r="D213" t="str">
        <x:v>LOT00212</x:v>
      </x:c>
      <x:c r="E213" t="str">
        <x:v>AUT-011</x:v>
      </x:c>
      <x:c r="F213" t="str">
        <x:v>PM-VAC-B</x:v>
      </x:c>
      <x:c r="G213" s="20" t="n">
        <x:v>45442</x:v>
      </x:c>
      <x:c r="H213" s="20" t="n">
        <x:v>45437</x:v>
      </x:c>
      <x:c r="I213" s="20" t="n">
        <x:v>45442</x:v>
      </x:c>
      <x:c r="J213" t="n">
        <x:v>487</x:v>
      </x:c>
      <x:c r="K213" t="n">
        <x:v>23502.53</x:v>
      </x:c>
      <x:c r="L213" t="str">
        <x:v>海運</x:v>
      </x:c>
      <x:c r="M213" t="n">
        <x:v>0</x:v>
      </x:c>
      <x:c r="N213" t="str">
        <x:v>是</x:v>
      </x:c>
      <x:c r="O213" t="n">
        <x:v>0</x:v>
      </x:c>
      <x:c r="P213"/>
    </x:row>
    <x:row r="214" ht="20" customHeight="1">
      <x:c r="A214" t="str">
        <x:v>SH000213</x:v>
      </x:c>
      <x:c r="B214" t="str">
        <x:v>SO00145-01</x:v>
      </x:c>
      <x:c r="C214" t="str">
        <x:v>WO00213</x:v>
      </x:c>
      <x:c r="D214" t="str">
        <x:v>LOT00213</x:v>
      </x:c>
      <x:c r="E214" t="str">
        <x:v>AFT-005</x:v>
      </x:c>
      <x:c r="F214" t="str">
        <x:v>AUTO-BS-A</x:v>
      </x:c>
      <x:c r="G214" s="20" t="n">
        <x:v>45426</x:v>
      </x:c>
      <x:c r="H214" s="20" t="n">
        <x:v>45429</x:v>
      </x:c>
      <x:c r="I214" s="20" t="n">
        <x:v>45432</x:v>
      </x:c>
      <x:c r="J214" t="n">
        <x:v>4885</x:v>
      </x:c>
      <x:c r="K214" t="n">
        <x:v>751.94</x:v>
      </x:c>
      <x:c r="L214" t="str">
        <x:v>空運</x:v>
      </x:c>
      <x:c r="M214" t="n">
        <x:v>6</x:v>
      </x:c>
      <x:c r="N214" t="str">
        <x:v>否</x:v>
      </x:c>
      <x:c r="O214" t="n">
        <x:v>0</x:v>
      </x:c>
      <x:c r="P214"/>
    </x:row>
    <x:row r="215" ht="20" customHeight="1">
      <x:c r="A215" t="str">
        <x:v>SH000214</x:v>
      </x:c>
      <x:c r="B215" t="str">
        <x:v>SO00146-01</x:v>
      </x:c>
      <x:c r="C215" t="str">
        <x:v>WO00214</x:v>
      </x:c>
      <x:c r="D215" t="str">
        <x:v>LOT00214</x:v>
      </x:c>
      <x:c r="E215" t="str">
        <x:v>AUT-008</x:v>
      </x:c>
      <x:c r="F215" t="str">
        <x:v>AUTO-BRK-A</x:v>
      </x:c>
      <x:c r="G215" s="20" t="n">
        <x:v>45414</x:v>
      </x:c>
      <x:c r="H215" s="20" t="n">
        <x:v>45414</x:v>
      </x:c>
      <x:c r="I215" s="20" t="n">
        <x:v>45416</x:v>
      </x:c>
      <x:c r="J215" t="n">
        <x:v>4890</x:v>
      </x:c>
      <x:c r="K215" t="n">
        <x:v>1594.31</x:v>
      </x:c>
      <x:c r="L215" t="str">
        <x:v>空運</x:v>
      </x:c>
      <x:c r="M215" t="n">
        <x:v>2</x:v>
      </x:c>
      <x:c r="N215" t="str">
        <x:v>否</x:v>
      </x:c>
      <x:c r="O215" t="n">
        <x:v>0</x:v>
      </x:c>
      <x:c r="P215"/>
    </x:row>
    <x:row r="216" ht="20" customHeight="1">
      <x:c r="A216" t="str">
        <x:v>SH000215</x:v>
      </x:c>
      <x:c r="B216" t="str">
        <x:v>SO00146-01</x:v>
      </x:c>
      <x:c r="C216" t="str">
        <x:v>WO00215</x:v>
      </x:c>
      <x:c r="D216" t="str">
        <x:v>LOT00215</x:v>
      </x:c>
      <x:c r="E216" t="str">
        <x:v>AUT-008</x:v>
      </x:c>
      <x:c r="F216" t="str">
        <x:v>AUTO-BRK-A</x:v>
      </x:c>
      <x:c r="G216" s="20" t="n">
        <x:v>45414</x:v>
      </x:c>
      <x:c r="H216" s="20" t="n">
        <x:v>45414</x:v>
      </x:c>
      <x:c r="I216" s="20" t="n">
        <x:v>45415</x:v>
      </x:c>
      <x:c r="J216" t="n">
        <x:v>4898</x:v>
      </x:c>
      <x:c r="K216" t="n">
        <x:v>1594.31</x:v>
      </x:c>
      <x:c r="L216" t="str">
        <x:v>陸運</x:v>
      </x:c>
      <x:c r="M216" t="n">
        <x:v>1</x:v>
      </x:c>
      <x:c r="N216" t="str">
        <x:v>否</x:v>
      </x:c>
      <x:c r="O216" t="n">
        <x:v>0</x:v>
      </x:c>
      <x:c r="P216"/>
    </x:row>
    <x:row r="217" ht="20" customHeight="1">
      <x:c r="A217" t="str">
        <x:v>SH000216</x:v>
      </x:c>
      <x:c r="B217" t="str">
        <x:v>SO00147-01</x:v>
      </x:c>
      <x:c r="C217" t="str">
        <x:v>WO00217</x:v>
      </x:c>
      <x:c r="D217" t="str">
        <x:v>LOT00217</x:v>
      </x:c>
      <x:c r="E217" t="str">
        <x:v>SEM-009</x:v>
      </x:c>
      <x:c r="F217" t="str">
        <x:v>SEMI-WH-A</x:v>
      </x:c>
      <x:c r="G217" s="20" t="n">
        <x:v>45462</x:v>
      </x:c>
      <x:c r="H217" s="20" t="n">
        <x:v>45459</x:v>
      </x:c>
      <x:c r="I217" s="20" t="n">
        <x:v>45464</x:v>
      </x:c>
      <x:c r="J217" t="n">
        <x:v>78</x:v>
      </x:c>
      <x:c r="K217" t="n">
        <x:v>115841.81</x:v>
      </x:c>
      <x:c r="L217" t="str">
        <x:v>空運</x:v>
      </x:c>
      <x:c r="M217" t="n">
        <x:v>2</x:v>
      </x:c>
      <x:c r="N217" t="str">
        <x:v>否</x:v>
      </x:c>
      <x:c r="O217" t="n">
        <x:v>0</x:v>
      </x:c>
      <x:c r="P217"/>
    </x:row>
    <x:row r="218" ht="20" customHeight="1">
      <x:c r="A218" t="str">
        <x:v>SH000217</x:v>
      </x:c>
      <x:c r="B218" t="str">
        <x:v>SO00147-01</x:v>
      </x:c>
      <x:c r="C218" t="str">
        <x:v>WO00216</x:v>
      </x:c>
      <x:c r="D218" t="str">
        <x:v>LOT00216</x:v>
      </x:c>
      <x:c r="E218" t="str">
        <x:v>SEM-009</x:v>
      </x:c>
      <x:c r="F218" t="str">
        <x:v>SEMI-WH-A</x:v>
      </x:c>
      <x:c r="G218" s="20" t="n">
        <x:v>45462</x:v>
      </x:c>
      <x:c r="H218" s="20" t="n">
        <x:v>45463</x:v>
      </x:c>
      <x:c r="I218" s="20" t="n">
        <x:v>45464</x:v>
      </x:c>
      <x:c r="J218" t="n">
        <x:v>78</x:v>
      </x:c>
      <x:c r="K218" t="n">
        <x:v>115841.81</x:v>
      </x:c>
      <x:c r="L218" t="str">
        <x:v>海運</x:v>
      </x:c>
      <x:c r="M218" t="n">
        <x:v>2</x:v>
      </x:c>
      <x:c r="N218" t="str">
        <x:v>否</x:v>
      </x:c>
      <x:c r="O218" t="n">
        <x:v>0</x:v>
      </x:c>
      <x:c r="P218"/>
    </x:row>
    <x:row r="219" ht="20" customHeight="1">
      <x:c r="A219" t="str">
        <x:v>SH000218</x:v>
      </x:c>
      <x:c r="B219" t="str">
        <x:v>SO00148-01</x:v>
      </x:c>
      <x:c r="C219" t="str">
        <x:v>WO00218</x:v>
      </x:c>
      <x:c r="D219" t="str">
        <x:v>LOT00218</x:v>
      </x:c>
      <x:c r="E219" t="str">
        <x:v>AUT-013</x:v>
      </x:c>
      <x:c r="F219" t="str">
        <x:v>AUTO-BS-A</x:v>
      </x:c>
      <x:c r="G219" s="20" t="n">
        <x:v>45442</x:v>
      </x:c>
      <x:c r="H219" s="20" t="n">
        <x:v>45444</x:v>
      </x:c>
      <x:c r="I219" s="20" t="n">
        <x:v>45445</x:v>
      </x:c>
      <x:c r="J219" t="n">
        <x:v>4939</x:v>
      </x:c>
      <x:c r="K219" t="n">
        <x:v>764.9</x:v>
      </x:c>
      <x:c r="L219" t="str">
        <x:v>陸運</x:v>
      </x:c>
      <x:c r="M219" t="n">
        <x:v>3</x:v>
      </x:c>
      <x:c r="N219" t="str">
        <x:v>否</x:v>
      </x:c>
      <x:c r="O219" t="n">
        <x:v>0</x:v>
      </x:c>
      <x:c r="P219"/>
    </x:row>
    <x:row r="220" ht="20" customHeight="1">
      <x:c r="A220" t="str">
        <x:v>SH000219</x:v>
      </x:c>
      <x:c r="B220" t="str">
        <x:v>SO00149-01</x:v>
      </x:c>
      <x:c r="C220" t="str">
        <x:v>WO00219</x:v>
      </x:c>
      <x:c r="D220" t="str">
        <x:v>LOT00219</x:v>
      </x:c>
      <x:c r="E220" t="str">
        <x:v>AUT-013</x:v>
      </x:c>
      <x:c r="F220" t="str">
        <x:v>AUTO-FL-B</x:v>
      </x:c>
      <x:c r="G220" s="20" t="n">
        <x:v>45464</x:v>
      </x:c>
      <x:c r="H220" s="20" t="n">
        <x:v>45462</x:v>
      </x:c>
      <x:c r="I220" s="20" t="n">
        <x:v>45466</x:v>
      </x:c>
      <x:c r="J220" t="n">
        <x:v>4949</x:v>
      </x:c>
      <x:c r="K220" t="n">
        <x:v>1465.98</x:v>
      </x:c>
      <x:c r="L220" t="str">
        <x:v>陸運</x:v>
      </x:c>
      <x:c r="M220" t="n">
        <x:v>2</x:v>
      </x:c>
      <x:c r="N220" t="str">
        <x:v>否</x:v>
      </x:c>
      <x:c r="O220" t="n">
        <x:v>0</x:v>
      </x:c>
      <x:c r="P220"/>
    </x:row>
    <x:row r="221" ht="20" customHeight="1">
      <x:c r="A221" t="str">
        <x:v>SH000220</x:v>
      </x:c>
      <x:c r="B221" t="str">
        <x:v>SO00150-01</x:v>
      </x:c>
      <x:c r="C221" t="str">
        <x:v>WO00220</x:v>
      </x:c>
      <x:c r="D221" t="str">
        <x:v>LOT00220</x:v>
      </x:c>
      <x:c r="E221" t="str">
        <x:v>SEM-004</x:v>
      </x:c>
      <x:c r="F221" t="str">
        <x:v>MECH-CON-A</x:v>
      </x:c>
      <x:c r="G221" s="20" t="n">
        <x:v>45462</x:v>
      </x:c>
      <x:c r="H221" s="20" t="n">
        <x:v>45463</x:v>
      </x:c>
      <x:c r="I221" s="20" t="n">
        <x:v>45468</x:v>
      </x:c>
      <x:c r="J221" t="n">
        <x:v>10</x:v>
      </x:c>
      <x:c r="K221" t="n">
        <x:v>112414.78</x:v>
      </x:c>
      <x:c r="L221" t="str">
        <x:v>陸運</x:v>
      </x:c>
      <x:c r="M221" t="n">
        <x:v>6</x:v>
      </x:c>
      <x:c r="N221" t="str">
        <x:v>否</x:v>
      </x:c>
      <x:c r="O221" t="n">
        <x:v>0</x:v>
      </x:c>
      <x:c r="P221"/>
    </x:row>
    <x:row r="222" ht="20" customHeight="1">
      <x:c r="A222" t="str">
        <x:v>SH000221</x:v>
      </x:c>
      <x:c r="B222" t="str">
        <x:v>SO00151-01</x:v>
      </x:c>
      <x:c r="C222" t="str">
        <x:v>WO00222</x:v>
      </x:c>
      <x:c r="D222" t="str">
        <x:v>LOT00222</x:v>
      </x:c>
      <x:c r="E222" t="str">
        <x:v>IAT-002</x:v>
      </x:c>
      <x:c r="F222" t="str">
        <x:v>SEMI-CHB-A</x:v>
      </x:c>
      <x:c r="G222" s="20" t="n">
        <x:v>45475</x:v>
      </x:c>
      <x:c r="H222" s="20" t="n">
        <x:v>45470</x:v>
      </x:c>
      <x:c r="I222" s="20" t="n">
        <x:v>45472</x:v>
      </x:c>
      <x:c r="J222" t="n">
        <x:v>79</x:v>
      </x:c>
      <x:c r="K222" t="n">
        <x:v>93347.01</x:v>
      </x:c>
      <x:c r="L222" t="str">
        <x:v>海運</x:v>
      </x:c>
      <x:c r="M222" t="n">
        <x:v>0</x:v>
      </x:c>
      <x:c r="N222" t="str">
        <x:v>是</x:v>
      </x:c>
      <x:c r="O222" t="n">
        <x:v>0</x:v>
      </x:c>
      <x:c r="P222"/>
    </x:row>
    <x:row r="223" ht="20" customHeight="1">
      <x:c r="A223" t="str">
        <x:v>SH000222</x:v>
      </x:c>
      <x:c r="B223" t="str">
        <x:v>SO00151-01</x:v>
      </x:c>
      <x:c r="C223" t="str">
        <x:v>WO00221</x:v>
      </x:c>
      <x:c r="D223" t="str">
        <x:v>LOT00221</x:v>
      </x:c>
      <x:c r="E223" t="str">
        <x:v>IAT-002</x:v>
      </x:c>
      <x:c r="F223" t="str">
        <x:v>SEMI-CHB-A</x:v>
      </x:c>
      <x:c r="G223" s="20" t="n">
        <x:v>45475</x:v>
      </x:c>
      <x:c r="H223" s="20" t="n">
        <x:v>45477</x:v>
      </x:c>
      <x:c r="I223" s="20" t="n">
        <x:v>45480</x:v>
      </x:c>
      <x:c r="J223" t="n">
        <x:v>79</x:v>
      </x:c>
      <x:c r="K223" t="n">
        <x:v>93347.01</x:v>
      </x:c>
      <x:c r="L223" t="str">
        <x:v>海運</x:v>
      </x:c>
      <x:c r="M223" t="n">
        <x:v>5</x:v>
      </x:c>
      <x:c r="N223" t="str">
        <x:v>否</x:v>
      </x:c>
      <x:c r="O223" t="n">
        <x:v>0</x:v>
      </x:c>
      <x:c r="P223"/>
    </x:row>
    <x:row r="224" ht="20" customHeight="1">
      <x:c r="A224" t="str">
        <x:v>SH000223</x:v>
      </x:c>
      <x:c r="B224" t="str">
        <x:v>SO00152-01</x:v>
      </x:c>
      <x:c r="C224" t="str">
        <x:v>WO00223</x:v>
      </x:c>
      <x:c r="D224" t="str">
        <x:v>LOT00223</x:v>
      </x:c>
      <x:c r="E224" t="str">
        <x:v>IAT-001</x:v>
      </x:c>
      <x:c r="F224" t="str">
        <x:v>PM-SUS-A</x:v>
      </x:c>
      <x:c r="G224" s="20" t="n">
        <x:v>45465</x:v>
      </x:c>
      <x:c r="H224" s="20" t="n">
        <x:v>45460</x:v>
      </x:c>
      <x:c r="I224" s="20" t="n">
        <x:v>45464</x:v>
      </x:c>
      <x:c r="J224" t="n">
        <x:v>781</x:v>
      </x:c>
      <x:c r="K224" t="n">
        <x:v>10538.79</x:v>
      </x:c>
      <x:c r="L224" t="str">
        <x:v>空運</x:v>
      </x:c>
      <x:c r="M224" t="n">
        <x:v>0</x:v>
      </x:c>
      <x:c r="N224" t="str">
        <x:v>是</x:v>
      </x:c>
      <x:c r="O224" t="n">
        <x:v>0</x:v>
      </x:c>
      <x:c r="P224"/>
    </x:row>
    <x:row r="225" ht="20" customHeight="1">
      <x:c r="A225" t="str">
        <x:v>SH000224</x:v>
      </x:c>
      <x:c r="B225" t="str">
        <x:v>SO00153-01</x:v>
      </x:c>
      <x:c r="C225" t="str">
        <x:v>WO00224</x:v>
      </x:c>
      <x:c r="D225" t="str">
        <x:v>LOT00224</x:v>
      </x:c>
      <x:c r="E225" t="str">
        <x:v>EMS-006</x:v>
      </x:c>
      <x:c r="F225" t="str">
        <x:v>SEMI-WH-B</x:v>
      </x:c>
      <x:c r="G225" s="20" t="n">
        <x:v>45488</x:v>
      </x:c>
      <x:c r="H225" s="20" t="n">
        <x:v>45487</x:v>
      </x:c>
      <x:c r="I225" s="20" t="n">
        <x:v>45490</x:v>
      </x:c>
      <x:c r="J225" t="n">
        <x:v>39</x:v>
      </x:c>
      <x:c r="K225" t="n">
        <x:v>164181.53</x:v>
      </x:c>
      <x:c r="L225" t="str">
        <x:v>陸運</x:v>
      </x:c>
      <x:c r="M225" t="n">
        <x:v>2</x:v>
      </x:c>
      <x:c r="N225" t="str">
        <x:v>否</x:v>
      </x:c>
      <x:c r="O225" t="n">
        <x:v>0</x:v>
      </x:c>
      <x:c r="P225"/>
    </x:row>
    <x:row r="226" ht="20" customHeight="1">
      <x:c r="A226" t="str">
        <x:v>SH000225</x:v>
      </x:c>
      <x:c r="B226" t="str">
        <x:v>SO00154-01</x:v>
      </x:c>
      <x:c r="C226" t="str">
        <x:v>WO00225</x:v>
      </x:c>
      <x:c r="D226" t="str">
        <x:v>LOT00225</x:v>
      </x:c>
      <x:c r="E226" t="str">
        <x:v>IAT-006</x:v>
      </x:c>
      <x:c r="F226" t="str">
        <x:v>PM-BRG-A</x:v>
      </x:c>
      <x:c r="G226" s="20" t="n">
        <x:v>45468</x:v>
      </x:c>
      <x:c r="H226" s="20" t="n">
        <x:v>45467</x:v>
      </x:c>
      <x:c r="I226" s="20" t="n">
        <x:v>45468</x:v>
      </x:c>
      <x:c r="J226" t="n">
        <x:v>492</x:v>
      </x:c>
      <x:c r="K226" t="n">
        <x:v>6836.14</x:v>
      </x:c>
      <x:c r="L226" t="str">
        <x:v>陸運</x:v>
      </x:c>
      <x:c r="M226" t="n">
        <x:v>0</x:v>
      </x:c>
      <x:c r="N226" t="str">
        <x:v>是</x:v>
      </x:c>
      <x:c r="O226" t="n">
        <x:v>0</x:v>
      </x:c>
      <x:c r="P226"/>
    </x:row>
    <x:row r="227" ht="20" customHeight="1">
      <x:c r="A227" t="str">
        <x:v>SH000226</x:v>
      </x:c>
      <x:c r="B227" t="str">
        <x:v>SO00155-01</x:v>
      </x:c>
      <x:c r="C227" t="str">
        <x:v>WO00227</x:v>
      </x:c>
      <x:c r="D227" t="str">
        <x:v>LOT00227</x:v>
      </x:c>
      <x:c r="E227" t="str">
        <x:v>AFT-001</x:v>
      </x:c>
      <x:c r="F227" t="str">
        <x:v>AUTO-KN-A</x:v>
      </x:c>
      <x:c r="G227" s="20" t="n">
        <x:v>45444</x:v>
      </x:c>
      <x:c r="H227" s="20" t="n">
        <x:v>45442</x:v>
      </x:c>
      <x:c r="I227" s="20" t="n">
        <x:v>45447</x:v>
      </x:c>
      <x:c r="J227" t="n">
        <x:v>4935</x:v>
      </x:c>
      <x:c r="K227" t="n">
        <x:v>3183.31</x:v>
      </x:c>
      <x:c r="L227" t="str">
        <x:v>陸運</x:v>
      </x:c>
      <x:c r="M227" t="n">
        <x:v>3</x:v>
      </x:c>
      <x:c r="N227" t="str">
        <x:v>否</x:v>
      </x:c>
      <x:c r="O227" t="n">
        <x:v>0</x:v>
      </x:c>
      <x:c r="P227"/>
    </x:row>
    <x:row r="228" ht="20" customHeight="1">
      <x:c r="A228" t="str">
        <x:v>SH000227</x:v>
      </x:c>
      <x:c r="B228" t="str">
        <x:v>SO00155-01</x:v>
      </x:c>
      <x:c r="C228" t="str">
        <x:v>WO00226</x:v>
      </x:c>
      <x:c r="D228" t="str">
        <x:v>LOT00226</x:v>
      </x:c>
      <x:c r="E228" t="str">
        <x:v>AFT-001</x:v>
      </x:c>
      <x:c r="F228" t="str">
        <x:v>AUTO-KN-A</x:v>
      </x:c>
      <x:c r="G228" s="20" t="n">
        <x:v>45444</x:v>
      </x:c>
      <x:c r="H228" s="20" t="n">
        <x:v>45445</x:v>
      </x:c>
      <x:c r="I228" s="20" t="n">
        <x:v>45447</x:v>
      </x:c>
      <x:c r="J228" t="n">
        <x:v>4951</x:v>
      </x:c>
      <x:c r="K228" t="n">
        <x:v>3183.31</x:v>
      </x:c>
      <x:c r="L228" t="str">
        <x:v>空運</x:v>
      </x:c>
      <x:c r="M228" t="n">
        <x:v>3</x:v>
      </x:c>
      <x:c r="N228" t="str">
        <x:v>否</x:v>
      </x:c>
      <x:c r="O228" t="n">
        <x:v>0</x:v>
      </x:c>
      <x:c r="P228"/>
    </x:row>
    <x:row r="229" ht="20" customHeight="1">
      <x:c r="A229" t="str">
        <x:v>SH000228</x:v>
      </x:c>
      <x:c r="B229" t="str">
        <x:v>SO00156-01</x:v>
      </x:c>
      <x:c r="C229" t="str">
        <x:v>WO00228</x:v>
      </x:c>
      <x:c r="D229" t="str">
        <x:v>LOT00228</x:v>
      </x:c>
      <x:c r="E229" t="str">
        <x:v>AUT-003</x:v>
      </x:c>
      <x:c r="F229" t="str">
        <x:v>AUTO-BS-A</x:v>
      </x:c>
      <x:c r="G229" s="20" t="n">
        <x:v>45444</x:v>
      </x:c>
      <x:c r="H229" s="20" t="n">
        <x:v>45441</x:v>
      </x:c>
      <x:c r="I229" s="20" t="n">
        <x:v>45446</x:v>
      </x:c>
      <x:c r="J229" t="n">
        <x:v>4933</x:v>
      </x:c>
      <x:c r="K229" t="n">
        <x:v>786.06</x:v>
      </x:c>
      <x:c r="L229" t="str">
        <x:v>海運</x:v>
      </x:c>
      <x:c r="M229" t="n">
        <x:v>2</x:v>
      </x:c>
      <x:c r="N229" t="str">
        <x:v>否</x:v>
      </x:c>
      <x:c r="O229" t="n">
        <x:v>0</x:v>
      </x:c>
      <x:c r="P229"/>
    </x:row>
    <x:row r="230" ht="20" customHeight="1">
      <x:c r="A230" t="str">
        <x:v>SH000229</x:v>
      </x:c>
      <x:c r="B230" t="str">
        <x:v>SO00156-01</x:v>
      </x:c>
      <x:c r="C230" t="str">
        <x:v>WO00229</x:v>
      </x:c>
      <x:c r="D230" t="str">
        <x:v>LOT00229</x:v>
      </x:c>
      <x:c r="E230" t="str">
        <x:v>AUT-003</x:v>
      </x:c>
      <x:c r="F230" t="str">
        <x:v>AUTO-BS-A</x:v>
      </x:c>
      <x:c r="G230" s="20" t="n">
        <x:v>45444</x:v>
      </x:c>
      <x:c r="H230" s="20" t="n">
        <x:v>45443</x:v>
      </x:c>
      <x:c r="I230" s="20" t="n">
        <x:v>45444</x:v>
      </x:c>
      <x:c r="J230" t="n">
        <x:v>4984</x:v>
      </x:c>
      <x:c r="K230" t="n">
        <x:v>786.06</x:v>
      </x:c>
      <x:c r="L230" t="str">
        <x:v>空運</x:v>
      </x:c>
      <x:c r="M230" t="n">
        <x:v>0</x:v>
      </x:c>
      <x:c r="N230" t="str">
        <x:v>是</x:v>
      </x:c>
      <x:c r="O230" t="n">
        <x:v>0</x:v>
      </x:c>
      <x:c r="P230"/>
    </x:row>
    <x:row r="231" ht="20" customHeight="1">
      <x:c r="A231" t="str">
        <x:v>SH000230</x:v>
      </x:c>
      <x:c r="B231" t="str">
        <x:v>SO00157-01</x:v>
      </x:c>
      <x:c r="C231" t="str">
        <x:v>WO00230</x:v>
      </x:c>
      <x:c r="D231" t="str">
        <x:v>LOT00230</x:v>
      </x:c>
      <x:c r="E231" t="str">
        <x:v>EMS-007</x:v>
      </x:c>
      <x:c r="F231" t="str">
        <x:v>AUTO-LG-B</x:v>
      </x:c>
      <x:c r="G231" s="20" t="n">
        <x:v>45444</x:v>
      </x:c>
      <x:c r="H231" s="20" t="n">
        <x:v>45443</x:v>
      </x:c>
      <x:c r="I231" s="20" t="n">
        <x:v>45447</x:v>
      </x:c>
      <x:c r="J231" t="n">
        <x:v>4925</x:v>
      </x:c>
      <x:c r="K231" t="n">
        <x:v>1222.98</x:v>
      </x:c>
      <x:c r="L231" t="str">
        <x:v>陸運</x:v>
      </x:c>
      <x:c r="M231" t="n">
        <x:v>3</x:v>
      </x:c>
      <x:c r="N231" t="str">
        <x:v>否</x:v>
      </x:c>
      <x:c r="O231" t="n">
        <x:v>0</x:v>
      </x:c>
      <x:c r="P231"/>
    </x:row>
    <x:row r="232" ht="20" customHeight="1">
      <x:c r="A232" t="str">
        <x:v>SH000231</x:v>
      </x:c>
      <x:c r="B232" t="str">
        <x:v>SO00158-01</x:v>
      </x:c>
      <x:c r="C232" t="str">
        <x:v>WO00231</x:v>
      </x:c>
      <x:c r="D232" t="str">
        <x:v>LOT00231</x:v>
      </x:c>
      <x:c r="E232" t="str">
        <x:v>AUT-004</x:v>
      </x:c>
      <x:c r="F232" t="str">
        <x:v>AUTO-BS-B</x:v>
      </x:c>
      <x:c r="G232" s="20" t="n">
        <x:v>45448</x:v>
      </x:c>
      <x:c r="H232" s="20" t="n">
        <x:v>45443</x:v>
      </x:c>
      <x:c r="I232" s="20" t="n">
        <x:v>45445</x:v>
      </x:c>
      <x:c r="J232" t="n">
        <x:v>4948</x:v>
      </x:c>
      <x:c r="K232" t="n">
        <x:v>835.94</x:v>
      </x:c>
      <x:c r="L232" t="str">
        <x:v>空運</x:v>
      </x:c>
      <x:c r="M232" t="n">
        <x:v>0</x:v>
      </x:c>
      <x:c r="N232" t="str">
        <x:v>是</x:v>
      </x:c>
      <x:c r="O232" t="n">
        <x:v>0</x:v>
      </x:c>
      <x:c r="P232"/>
    </x:row>
    <x:row r="233" ht="20" customHeight="1">
      <x:c r="A233" t="str">
        <x:v>SH000232</x:v>
      </x:c>
      <x:c r="B233" t="str">
        <x:v>SO00159-01</x:v>
      </x:c>
      <x:c r="C233" t="str">
        <x:v>WO00233</x:v>
      </x:c>
      <x:c r="D233" t="str">
        <x:v>LOT00233</x:v>
      </x:c>
      <x:c r="E233" t="str">
        <x:v>EMS-005</x:v>
      </x:c>
      <x:c r="F233" t="str">
        <x:v>PM-SUS-B</x:v>
      </x:c>
      <x:c r="G233" s="20" t="n">
        <x:v>45471</x:v>
      </x:c>
      <x:c r="H233" s="20" t="n">
        <x:v>45466</x:v>
      </x:c>
      <x:c r="I233" s="20" t="n">
        <x:v>45469</x:v>
      </x:c>
      <x:c r="J233" t="n">
        <x:v>789</x:v>
      </x:c>
      <x:c r="K233" t="n">
        <x:v>14081.49</x:v>
      </x:c>
      <x:c r="L233" t="str">
        <x:v>空運</x:v>
      </x:c>
      <x:c r="M233" t="n">
        <x:v>0</x:v>
      </x:c>
      <x:c r="N233" t="str">
        <x:v>是</x:v>
      </x:c>
      <x:c r="O233" t="n">
        <x:v>0</x:v>
      </x:c>
      <x:c r="P233"/>
    </x:row>
    <x:row r="234" ht="20" customHeight="1">
      <x:c r="A234" t="str">
        <x:v>SH000233</x:v>
      </x:c>
      <x:c r="B234" t="str">
        <x:v>SO00159-01</x:v>
      </x:c>
      <x:c r="C234" t="str">
        <x:v>WO00232</x:v>
      </x:c>
      <x:c r="D234" t="str">
        <x:v>LOT00232</x:v>
      </x:c>
      <x:c r="E234" t="str">
        <x:v>EMS-005</x:v>
      </x:c>
      <x:c r="F234" t="str">
        <x:v>PM-SUS-B</x:v>
      </x:c>
      <x:c r="G234" s="20" t="n">
        <x:v>45471</x:v>
      </x:c>
      <x:c r="H234" s="20" t="n">
        <x:v>45472</x:v>
      </x:c>
      <x:c r="I234" s="20" t="n">
        <x:v>45476</x:v>
      </x:c>
      <x:c r="J234" t="n">
        <x:v>791</x:v>
      </x:c>
      <x:c r="K234" t="n">
        <x:v>14081.49</x:v>
      </x:c>
      <x:c r="L234" t="str">
        <x:v>空運</x:v>
      </x:c>
      <x:c r="M234" t="n">
        <x:v>5</x:v>
      </x:c>
      <x:c r="N234" t="str">
        <x:v>否</x:v>
      </x:c>
      <x:c r="O234" t="n">
        <x:v>0</x:v>
      </x:c>
      <x:c r="P234"/>
    </x:row>
    <x:row r="235" ht="20" customHeight="1">
      <x:c r="A235" t="str">
        <x:v>SH000234</x:v>
      </x:c>
      <x:c r="B235" t="str">
        <x:v>SO00160-01</x:v>
      </x:c>
      <x:c r="C235" t="str">
        <x:v>WO00234</x:v>
      </x:c>
      <x:c r="D235" t="str">
        <x:v>LOT00234</x:v>
      </x:c>
      <x:c r="E235" t="str">
        <x:v>IAT-005</x:v>
      </x:c>
      <x:c r="F235" t="str">
        <x:v>AUTO-MH-B</x:v>
      </x:c>
      <x:c r="G235" s="20" t="n">
        <x:v>45461</x:v>
      </x:c>
      <x:c r="H235" s="20" t="n">
        <x:v>45458</x:v>
      </x:c>
      <x:c r="I235" s="20" t="n">
        <x:v>45461</x:v>
      </x:c>
      <x:c r="J235" t="n">
        <x:v>4886</x:v>
      </x:c>
      <x:c r="K235" t="n">
        <x:v>2886.61</x:v>
      </x:c>
      <x:c r="L235" t="str">
        <x:v>海運</x:v>
      </x:c>
      <x:c r="M235" t="n">
        <x:v>0</x:v>
      </x:c>
      <x:c r="N235" t="str">
        <x:v>是</x:v>
      </x:c>
      <x:c r="O235" t="n">
        <x:v>0</x:v>
      </x:c>
      <x:c r="P235"/>
    </x:row>
    <x:row r="236" ht="20" customHeight="1">
      <x:c r="A236" t="str">
        <x:v>SH000235</x:v>
      </x:c>
      <x:c r="B236" t="str">
        <x:v>SO00160-01</x:v>
      </x:c>
      <x:c r="C236" t="str">
        <x:v>WO00235</x:v>
      </x:c>
      <x:c r="D236" t="str">
        <x:v>LOT00235</x:v>
      </x:c>
      <x:c r="E236" t="str">
        <x:v>IAT-005</x:v>
      </x:c>
      <x:c r="F236" t="str">
        <x:v>AUTO-MH-B</x:v>
      </x:c>
      <x:c r="G236" s="20" t="n">
        <x:v>45461</x:v>
      </x:c>
      <x:c r="H236" s="20" t="n">
        <x:v>45456</x:v>
      </x:c>
      <x:c r="I236" s="20" t="n">
        <x:v>45458</x:v>
      </x:c>
      <x:c r="J236" t="n">
        <x:v>5000</x:v>
      </x:c>
      <x:c r="K236" t="n">
        <x:v>2886.61</x:v>
      </x:c>
      <x:c r="L236" t="str">
        <x:v>空運</x:v>
      </x:c>
      <x:c r="M236" t="n">
        <x:v>0</x:v>
      </x:c>
      <x:c r="N236" t="str">
        <x:v>是</x:v>
      </x:c>
      <x:c r="O236" t="n">
        <x:v>0</x:v>
      </x:c>
      <x:c r="P236"/>
    </x:row>
    <x:row r="237" ht="20" customHeight="1">
      <x:c r="A237" t="str">
        <x:v>SH000236</x:v>
      </x:c>
      <x:c r="B237" t="str">
        <x:v>SO00161-01</x:v>
      </x:c>
      <x:c r="C237" t="str">
        <x:v>WO00236</x:v>
      </x:c>
      <x:c r="D237" t="str">
        <x:v>LOT00236</x:v>
      </x:c>
      <x:c r="E237" t="str">
        <x:v>SEM-007</x:v>
      </x:c>
      <x:c r="F237" t="str">
        <x:v>PM-VAC-A</x:v>
      </x:c>
      <x:c r="G237" s="20" t="n">
        <x:v>45468</x:v>
      </x:c>
      <x:c r="H237" s="20" t="n">
        <x:v>45472</x:v>
      </x:c>
      <x:c r="I237" s="20" t="n">
        <x:v>45473</x:v>
      </x:c>
      <x:c r="J237" t="n">
        <x:v>489</x:v>
      </x:c>
      <x:c r="K237" t="n">
        <x:v>15796.32</x:v>
      </x:c>
      <x:c r="L237" t="str">
        <x:v>陸運</x:v>
      </x:c>
      <x:c r="M237" t="n">
        <x:v>5</x:v>
      </x:c>
      <x:c r="N237" t="str">
        <x:v>否</x:v>
      </x:c>
      <x:c r="O237" t="n">
        <x:v>0</x:v>
      </x:c>
      <x:c r="P237"/>
    </x:row>
    <x:row r="238" ht="20" customHeight="1">
      <x:c r="A238" t="str">
        <x:v>SH000237</x:v>
      </x:c>
      <x:c r="B238" t="str">
        <x:v>SO00162-01</x:v>
      </x:c>
      <x:c r="C238" t="str">
        <x:v>WO00237</x:v>
      </x:c>
      <x:c r="D238" t="str">
        <x:v>LOT00237</x:v>
      </x:c>
      <x:c r="E238" t="str">
        <x:v>AUT-007</x:v>
      </x:c>
      <x:c r="F238" t="str">
        <x:v>PM-ALB-B</x:v>
      </x:c>
      <x:c r="G238" s="20" t="n">
        <x:v>45479</x:v>
      </x:c>
      <x:c r="H238" s="20" t="n">
        <x:v>45478</x:v>
      </x:c>
      <x:c r="I238" s="20" t="n">
        <x:v>45479</x:v>
      </x:c>
      <x:c r="J238" t="n">
        <x:v>589</x:v>
      </x:c>
      <x:c r="K238" t="n">
        <x:v>15878.29</x:v>
      </x:c>
      <x:c r="L238" t="str">
        <x:v>海運</x:v>
      </x:c>
      <x:c r="M238" t="n">
        <x:v>0</x:v>
      </x:c>
      <x:c r="N238" t="str">
        <x:v>是</x:v>
      </x:c>
      <x:c r="O238" t="n">
        <x:v>0</x:v>
      </x:c>
      <x:c r="P238"/>
    </x:row>
    <x:row r="239" ht="20" customHeight="1">
      <x:c r="A239" t="str">
        <x:v>SH000238</x:v>
      </x:c>
      <x:c r="B239" t="str">
        <x:v>SO00162-01</x:v>
      </x:c>
      <x:c r="C239" t="str">
        <x:v>WO00238</x:v>
      </x:c>
      <x:c r="D239" t="str">
        <x:v>LOT00238</x:v>
      </x:c>
      <x:c r="E239" t="str">
        <x:v>AUT-007</x:v>
      </x:c>
      <x:c r="F239" t="str">
        <x:v>PM-ALB-B</x:v>
      </x:c>
      <x:c r="G239" s="20" t="n">
        <x:v>45479</x:v>
      </x:c>
      <x:c r="H239" s="20" t="n">
        <x:v>45482</x:v>
      </x:c>
      <x:c r="I239" s="20" t="n">
        <x:v>45484</x:v>
      </x:c>
      <x:c r="J239" t="n">
        <x:v>585</x:v>
      </x:c>
      <x:c r="K239" t="n">
        <x:v>15878.29</x:v>
      </x:c>
      <x:c r="L239" t="str">
        <x:v>空運</x:v>
      </x:c>
      <x:c r="M239" t="n">
        <x:v>5</x:v>
      </x:c>
      <x:c r="N239" t="str">
        <x:v>否</x:v>
      </x:c>
      <x:c r="O239" t="n">
        <x:v>0</x:v>
      </x:c>
      <x:c r="P239"/>
    </x:row>
    <x:row r="240" ht="20" customHeight="1">
      <x:c r="A240" t="str">
        <x:v>SH000239</x:v>
      </x:c>
      <x:c r="B240" t="str">
        <x:v>SO00163-01</x:v>
      </x:c>
      <x:c r="C240" t="str">
        <x:v>WO00239</x:v>
      </x:c>
      <x:c r="D240" t="str">
        <x:v>LOT00239</x:v>
      </x:c>
      <x:c r="E240" t="str">
        <x:v>IAT-007</x:v>
      </x:c>
      <x:c r="F240" t="str">
        <x:v>AUTO-BS-B</x:v>
      </x:c>
      <x:c r="G240" s="20" t="n">
        <x:v>45449</x:v>
      </x:c>
      <x:c r="H240" s="20" t="n">
        <x:v>45450</x:v>
      </x:c>
      <x:c r="I240" s="20" t="n">
        <x:v>45453</x:v>
      </x:c>
      <x:c r="J240" t="n">
        <x:v>6864</x:v>
      </x:c>
      <x:c r="K240" t="n">
        <x:v>883.56</x:v>
      </x:c>
      <x:c r="L240" t="str">
        <x:v>空運</x:v>
      </x:c>
      <x:c r="M240" t="n">
        <x:v>4</x:v>
      </x:c>
      <x:c r="N240" t="str">
        <x:v>否</x:v>
      </x:c>
      <x:c r="O240" t="n">
        <x:v>0</x:v>
      </x:c>
      <x:c r="P240"/>
    </x:row>
    <x:row r="241" ht="20" customHeight="1">
      <x:c r="A241" t="str">
        <x:v>SH000240</x:v>
      </x:c>
      <x:c r="B241" t="str">
        <x:v>SO00164-01</x:v>
      </x:c>
      <x:c r="C241" t="str">
        <x:v>WO00241</x:v>
      </x:c>
      <x:c r="D241" t="str">
        <x:v>LOT00241</x:v>
      </x:c>
      <x:c r="E241" t="str">
        <x:v>IAT-002</x:v>
      </x:c>
      <x:c r="F241" t="str">
        <x:v>AUTO-MH-A</x:v>
      </x:c>
      <x:c r="G241" s="20" t="n">
        <x:v>45457</x:v>
      </x:c>
      <x:c r="H241" s="20" t="n">
        <x:v>45455</x:v>
      </x:c>
      <x:c r="I241" s="20" t="n">
        <x:v>45456</x:v>
      </x:c>
      <x:c r="J241" t="n">
        <x:v>6418</x:v>
      </x:c>
      <x:c r="K241" t="n">
        <x:v>2457.66</x:v>
      </x:c>
      <x:c r="L241" t="str">
        <x:v>海運</x:v>
      </x:c>
      <x:c r="M241" t="n">
        <x:v>0</x:v>
      </x:c>
      <x:c r="N241" t="str">
        <x:v>是</x:v>
      </x:c>
      <x:c r="O241" t="n">
        <x:v>0</x:v>
      </x:c>
      <x:c r="P241"/>
    </x:row>
    <x:row r="242" ht="20" customHeight="1">
      <x:c r="A242" t="str">
        <x:v>SH000241</x:v>
      </x:c>
      <x:c r="B242" t="str">
        <x:v>SO00164-01</x:v>
      </x:c>
      <x:c r="C242" t="str">
        <x:v>WO00240</x:v>
      </x:c>
      <x:c r="D242" t="str">
        <x:v>LOT00240</x:v>
      </x:c>
      <x:c r="E242" t="str">
        <x:v>IAT-002</x:v>
      </x:c>
      <x:c r="F242" t="str">
        <x:v>AUTO-MH-A</x:v>
      </x:c>
      <x:c r="G242" s="20" t="n">
        <x:v>45457</x:v>
      </x:c>
      <x:c r="H242" s="20" t="n">
        <x:v>45455</x:v>
      </x:c>
      <x:c r="I242" s="20" t="n">
        <x:v>45456</x:v>
      </x:c>
      <x:c r="J242" t="n">
        <x:v>6417</x:v>
      </x:c>
      <x:c r="K242" t="n">
        <x:v>2457.66</x:v>
      </x:c>
      <x:c r="L242" t="str">
        <x:v>陸運</x:v>
      </x:c>
      <x:c r="M242" t="n">
        <x:v>0</x:v>
      </x:c>
      <x:c r="N242" t="str">
        <x:v>是</x:v>
      </x:c>
      <x:c r="O242" t="n">
        <x:v>0</x:v>
      </x:c>
      <x:c r="P242"/>
    </x:row>
    <x:row r="243" ht="20" customHeight="1">
      <x:c r="A243" t="str">
        <x:v>SH000242</x:v>
      </x:c>
      <x:c r="B243" t="str">
        <x:v>SO00165-01</x:v>
      </x:c>
      <x:c r="C243" t="str">
        <x:v>WO00242</x:v>
      </x:c>
      <x:c r="D243" t="str">
        <x:v>LOT00242</x:v>
      </x:c>
      <x:c r="E243" t="str">
        <x:v>SEM-004</x:v>
      </x:c>
      <x:c r="F243" t="str">
        <x:v>MECH-CON-B</x:v>
      </x:c>
      <x:c r="G243" s="20" t="n">
        <x:v>45500</x:v>
      </x:c>
      <x:c r="H243" s="20" t="n">
        <x:v>45501</x:v>
      </x:c>
      <x:c r="I243" s="20" t="n">
        <x:v>45506</x:v>
      </x:c>
      <x:c r="J243" t="n">
        <x:v>10</x:v>
      </x:c>
      <x:c r="K243" t="n">
        <x:v>151927.52</x:v>
      </x:c>
      <x:c r="L243" t="str">
        <x:v>海運</x:v>
      </x:c>
      <x:c r="M243" t="n">
        <x:v>6</x:v>
      </x:c>
      <x:c r="N243" t="str">
        <x:v>否</x:v>
      </x:c>
      <x:c r="O243" t="n">
        <x:v>0</x:v>
      </x:c>
      <x:c r="P243"/>
    </x:row>
    <x:row r="244" ht="20" customHeight="1">
      <x:c r="A244" t="str">
        <x:v>SH000243</x:v>
      </x:c>
      <x:c r="B244" t="str">
        <x:v>SO00166-01</x:v>
      </x:c>
      <x:c r="C244" t="str">
        <x:v>WO00243</x:v>
      </x:c>
      <x:c r="D244" t="str">
        <x:v>LOT00243</x:v>
      </x:c>
      <x:c r="E244" t="str">
        <x:v>AFT-001</x:v>
      </x:c>
      <x:c r="F244" t="str">
        <x:v>AUTO-MH-A</x:v>
      </x:c>
      <x:c r="G244" s="20" t="n">
        <x:v>45451</x:v>
      </x:c>
      <x:c r="H244" s="20" t="n">
        <x:v>45446</x:v>
      </x:c>
      <x:c r="I244" s="20" t="n">
        <x:v>45447</x:v>
      </x:c>
      <x:c r="J244" t="n">
        <x:v>4962</x:v>
      </x:c>
      <x:c r="K244" t="n">
        <x:v>2623.04</x:v>
      </x:c>
      <x:c r="L244" t="str">
        <x:v>陸運</x:v>
      </x:c>
      <x:c r="M244" t="n">
        <x:v>0</x:v>
      </x:c>
      <x:c r="N244" t="str">
        <x:v>是</x:v>
      </x:c>
      <x:c r="O244" t="n">
        <x:v>0</x:v>
      </x:c>
      <x:c r="P244"/>
    </x:row>
    <x:row r="245" ht="20" customHeight="1">
      <x:c r="A245" t="str">
        <x:v>SH000244</x:v>
      </x:c>
      <x:c r="B245" t="str">
        <x:v>SO00166-01</x:v>
      </x:c>
      <x:c r="C245" t="str">
        <x:v>WO00244</x:v>
      </x:c>
      <x:c r="D245" t="str">
        <x:v>LOT00244</x:v>
      </x:c>
      <x:c r="E245" t="str">
        <x:v>AFT-001</x:v>
      </x:c>
      <x:c r="F245" t="str">
        <x:v>AUTO-MH-A</x:v>
      </x:c>
      <x:c r="G245" s="20" t="n">
        <x:v>45451</x:v>
      </x:c>
      <x:c r="H245" s="20" t="n">
        <x:v>45449</x:v>
      </x:c>
      <x:c r="I245" s="20" t="n">
        <x:v>45451</x:v>
      </x:c>
      <x:c r="J245" t="n">
        <x:v>4972</x:v>
      </x:c>
      <x:c r="K245" t="n">
        <x:v>2623.04</x:v>
      </x:c>
      <x:c r="L245" t="str">
        <x:v>陸運</x:v>
      </x:c>
      <x:c r="M245" t="n">
        <x:v>0</x:v>
      </x:c>
      <x:c r="N245" t="str">
        <x:v>是</x:v>
      </x:c>
      <x:c r="O245" t="n">
        <x:v>0</x:v>
      </x:c>
      <x:c r="P245"/>
    </x:row>
    <x:row r="246" ht="20" customHeight="1">
      <x:c r="A246" t="str">
        <x:v>SH000245</x:v>
      </x:c>
      <x:c r="B246" t="str">
        <x:v>SO00167-01</x:v>
      </x:c>
      <x:c r="C246" t="str">
        <x:v>WO00245</x:v>
      </x:c>
      <x:c r="D246" t="str">
        <x:v>LOT00245</x:v>
      </x:c>
      <x:c r="E246" t="str">
        <x:v>AUT-013</x:v>
      </x:c>
      <x:c r="F246" t="str">
        <x:v>AUTO-BRK-A</x:v>
      </x:c>
      <x:c r="G246" s="20" t="n">
        <x:v>45449</x:v>
      </x:c>
      <x:c r="H246" s="20" t="n">
        <x:v>45444</x:v>
      </x:c>
      <x:c r="I246" s="20" t="n">
        <x:v>45449</x:v>
      </x:c>
      <x:c r="J246" t="n">
        <x:v>4894</x:v>
      </x:c>
      <x:c r="K246" t="n">
        <x:v>1829.83</x:v>
      </x:c>
      <x:c r="L246" t="str">
        <x:v>海運</x:v>
      </x:c>
      <x:c r="M246" t="n">
        <x:v>0</x:v>
      </x:c>
      <x:c r="N246" t="str">
        <x:v>是</x:v>
      </x:c>
      <x:c r="O246" t="n">
        <x:v>0</x:v>
      </x:c>
      <x:c r="P246"/>
    </x:row>
    <x:row r="247" ht="20" customHeight="1">
      <x:c r="A247" t="str">
        <x:v>SH000246</x:v>
      </x:c>
      <x:c r="B247" t="str">
        <x:v>SO00168-01</x:v>
      </x:c>
      <x:c r="C247" t="str">
        <x:v>WO00247</x:v>
      </x:c>
      <x:c r="D247" t="str">
        <x:v>LOT00247</x:v>
      </x:c>
      <x:c r="E247" t="str">
        <x:v>IAT-005</x:v>
      </x:c>
      <x:c r="F247" t="str">
        <x:v>PM-ALB-A</x:v>
      </x:c>
      <x:c r="G247" s="20" t="n">
        <x:v>45465</x:v>
      </x:c>
      <x:c r="H247" s="20" t="n">
        <x:v>45462</x:v>
      </x:c>
      <x:c r="I247" s="20" t="n">
        <x:v>45464</x:v>
      </x:c>
      <x:c r="J247" t="n">
        <x:v>784</x:v>
      </x:c>
      <x:c r="K247" t="n">
        <x:v>11057.29</x:v>
      </x:c>
      <x:c r="L247" t="str">
        <x:v>空運</x:v>
      </x:c>
      <x:c r="M247" t="n">
        <x:v>0</x:v>
      </x:c>
      <x:c r="N247" t="str">
        <x:v>是</x:v>
      </x:c>
      <x:c r="O247" t="n">
        <x:v>0</x:v>
      </x:c>
      <x:c r="P247"/>
    </x:row>
    <x:row r="248" ht="20" customHeight="1">
      <x:c r="A248" t="str">
        <x:v>SH000247</x:v>
      </x:c>
      <x:c r="B248" t="str">
        <x:v>SO00168-01</x:v>
      </x:c>
      <x:c r="C248" t="str">
        <x:v>WO00246</x:v>
      </x:c>
      <x:c r="D248" t="str">
        <x:v>LOT00246</x:v>
      </x:c>
      <x:c r="E248" t="str">
        <x:v>IAT-005</x:v>
      </x:c>
      <x:c r="F248" t="str">
        <x:v>PM-ALB-A</x:v>
      </x:c>
      <x:c r="G248" s="20" t="n">
        <x:v>45465</x:v>
      </x:c>
      <x:c r="H248" s="20" t="n">
        <x:v>45462</x:v>
      </x:c>
      <x:c r="I248" s="20" t="n">
        <x:v>45463</x:v>
      </x:c>
      <x:c r="J248" t="n">
        <x:v>794</x:v>
      </x:c>
      <x:c r="K248" t="n">
        <x:v>11057.29</x:v>
      </x:c>
      <x:c r="L248" t="str">
        <x:v>空運</x:v>
      </x:c>
      <x:c r="M248" t="n">
        <x:v>0</x:v>
      </x:c>
      <x:c r="N248" t="str">
        <x:v>是</x:v>
      </x:c>
      <x:c r="O248" t="n">
        <x:v>0</x:v>
      </x:c>
      <x:c r="P248"/>
    </x:row>
    <x:row r="249" ht="20" customHeight="1">
      <x:c r="A249" t="str">
        <x:v>SH000248</x:v>
      </x:c>
      <x:c r="B249" t="str">
        <x:v>SO00169-01</x:v>
      </x:c>
      <x:c r="C249" t="str">
        <x:v>WO00248</x:v>
      </x:c>
      <x:c r="D249" t="str">
        <x:v>LOT00248</x:v>
      </x:c>
      <x:c r="E249" t="str">
        <x:v>SEM-009</x:v>
      </x:c>
      <x:c r="F249" t="str">
        <x:v>PM-BRG-B</x:v>
      </x:c>
      <x:c r="G249" s="20" t="n">
        <x:v>45467</x:v>
      </x:c>
      <x:c r="H249" s="20" t="n">
        <x:v>45467</x:v>
      </x:c>
      <x:c r="I249" s="20" t="n">
        <x:v>45469</x:v>
      </x:c>
      <x:c r="J249" t="n">
        <x:v>491</x:v>
      </x:c>
      <x:c r="K249" t="n">
        <x:v>7692.4</x:v>
      </x:c>
      <x:c r="L249" t="str">
        <x:v>海運</x:v>
      </x:c>
      <x:c r="M249" t="n">
        <x:v>2</x:v>
      </x:c>
      <x:c r="N249" t="str">
        <x:v>否</x:v>
      </x:c>
      <x:c r="O249" t="n">
        <x:v>0</x:v>
      </x:c>
      <x:c r="P249"/>
    </x:row>
    <x:row r="250" ht="20" customHeight="1">
      <x:c r="A250" t="str">
        <x:v>SH000249</x:v>
      </x:c>
      <x:c r="B250" t="str">
        <x:v>SO00170-01</x:v>
      </x:c>
      <x:c r="C250" t="str">
        <x:v>WO00249</x:v>
      </x:c>
      <x:c r="D250" t="str">
        <x:v>LOT00249</x:v>
      </x:c>
      <x:c r="E250" t="str">
        <x:v>SEM-001</x:v>
      </x:c>
      <x:c r="F250" t="str">
        <x:v>SEMI-WH-B</x:v>
      </x:c>
      <x:c r="G250" s="20" t="n">
        <x:v>45532</x:v>
      </x:c>
      <x:c r="H250" s="20" t="n">
        <x:v>45529</x:v>
      </x:c>
      <x:c r="I250" s="20" t="n">
        <x:v>45533</x:v>
      </x:c>
      <x:c r="J250" t="n">
        <x:v>59</x:v>
      </x:c>
      <x:c r="K250" t="n">
        <x:v>172685.73</x:v>
      </x:c>
      <x:c r="L250" t="str">
        <x:v>空運</x:v>
      </x:c>
      <x:c r="M250" t="n">
        <x:v>1</x:v>
      </x:c>
      <x:c r="N250" t="str">
        <x:v>否</x:v>
      </x:c>
      <x:c r="O250" t="n">
        <x:v>0</x:v>
      </x:c>
      <x:c r="P250"/>
    </x:row>
    <x:row r="251" ht="20" customHeight="1">
      <x:c r="A251" t="str">
        <x:v>SH000250</x:v>
      </x:c>
      <x:c r="B251" t="str">
        <x:v>SO00170-01</x:v>
      </x:c>
      <x:c r="C251" t="str">
        <x:v>WO00250</x:v>
      </x:c>
      <x:c r="D251" t="str">
        <x:v>LOT00250</x:v>
      </x:c>
      <x:c r="E251" t="str">
        <x:v>SEM-001</x:v>
      </x:c>
      <x:c r="F251" t="str">
        <x:v>SEMI-WH-B</x:v>
      </x:c>
      <x:c r="G251" s="20" t="n">
        <x:v>45532</x:v>
      </x:c>
      <x:c r="H251" s="20" t="n">
        <x:v>45529</x:v>
      </x:c>
      <x:c r="I251" s="20" t="n">
        <x:v>45534</x:v>
      </x:c>
      <x:c r="J251" t="n">
        <x:v>59</x:v>
      </x:c>
      <x:c r="K251" t="n">
        <x:v>172685.73</x:v>
      </x:c>
      <x:c r="L251" t="str">
        <x:v>陸運</x:v>
      </x:c>
      <x:c r="M251" t="n">
        <x:v>2</x:v>
      </x:c>
      <x:c r="N251" t="str">
        <x:v>否</x:v>
      </x:c>
      <x:c r="O251" t="n">
        <x:v>0</x:v>
      </x:c>
      <x:c r="P251"/>
    </x:row>
    <x:row r="252" ht="20" customHeight="1">
      <x:c r="A252" t="str">
        <x:v>SH000251</x:v>
      </x:c>
      <x:c r="B252" t="str">
        <x:v>SO00171-01</x:v>
      </x:c>
      <x:c r="C252" t="str">
        <x:v>WO00251</x:v>
      </x:c>
      <x:c r="D252" t="str">
        <x:v>LOT00251</x:v>
      </x:c>
      <x:c r="E252" t="str">
        <x:v>IAT-001</x:v>
      </x:c>
      <x:c r="F252" t="str">
        <x:v>AUTO-BS-B</x:v>
      </x:c>
      <x:c r="G252" s="20" t="n">
        <x:v>45479</x:v>
      </x:c>
      <x:c r="H252" s="20" t="n">
        <x:v>45478</x:v>
      </x:c>
      <x:c r="I252" s="20" t="n">
        <x:v>45480</x:v>
      </x:c>
      <x:c r="J252" t="n">
        <x:v>6917</x:v>
      </x:c>
      <x:c r="K252" t="n">
        <x:v>937.78</x:v>
      </x:c>
      <x:c r="L252" t="str">
        <x:v>空運</x:v>
      </x:c>
      <x:c r="M252" t="n">
        <x:v>1</x:v>
      </x:c>
      <x:c r="N252" t="str">
        <x:v>否</x:v>
      </x:c>
      <x:c r="O252" t="n">
        <x:v>0</x:v>
      </x:c>
      <x:c r="P252"/>
    </x:row>
    <x:row r="253" ht="20" customHeight="1">
      <x:c r="A253" t="str">
        <x:v>SH000252</x:v>
      </x:c>
      <x:c r="B253" t="str">
        <x:v>SO00172-01</x:v>
      </x:c>
      <x:c r="C253" t="str">
        <x:v>WO00253</x:v>
      </x:c>
      <x:c r="D253" t="str">
        <x:v>LOT00253</x:v>
      </x:c>
      <x:c r="E253" t="str">
        <x:v>EMS-008</x:v>
      </x:c>
      <x:c r="F253" t="str">
        <x:v>AUTO-FL-B</x:v>
      </x:c>
      <x:c r="G253" s="20" t="n">
        <x:v>45466</x:v>
      </x:c>
      <x:c r="H253" s="20" t="n">
        <x:v>45465</x:v>
      </x:c>
      <x:c r="I253" s="20" t="n">
        <x:v>45466</x:v>
      </x:c>
      <x:c r="J253" t="n">
        <x:v>6466</x:v>
      </x:c>
      <x:c r="K253" t="n">
        <x:v>1555.27</x:v>
      </x:c>
      <x:c r="L253" t="str">
        <x:v>海運</x:v>
      </x:c>
      <x:c r="M253" t="n">
        <x:v>0</x:v>
      </x:c>
      <x:c r="N253" t="str">
        <x:v>是</x:v>
      </x:c>
      <x:c r="O253" t="n">
        <x:v>36</x:v>
      </x:c>
      <x:c r="P253" t="str">
        <x:v>外觀瑕疵</x:v>
      </x:c>
    </x:row>
    <x:row r="254" ht="20" customHeight="1">
      <x:c r="A254" t="str">
        <x:v>SH000253</x:v>
      </x:c>
      <x:c r="B254" t="str">
        <x:v>SO00172-01</x:v>
      </x:c>
      <x:c r="C254" t="str">
        <x:v>WO00252</x:v>
      </x:c>
      <x:c r="D254" t="str">
        <x:v>LOT00252</x:v>
      </x:c>
      <x:c r="E254" t="str">
        <x:v>EMS-008</x:v>
      </x:c>
      <x:c r="F254" t="str">
        <x:v>AUTO-FL-B</x:v>
      </x:c>
      <x:c r="G254" s="20" t="n">
        <x:v>45466</x:v>
      </x:c>
      <x:c r="H254" s="20" t="n">
        <x:v>45473</x:v>
      </x:c>
      <x:c r="I254" s="20" t="n">
        <x:v>45474</x:v>
      </x:c>
      <x:c r="J254" t="n">
        <x:v>6451</x:v>
      </x:c>
      <x:c r="K254" t="n">
        <x:v>1555.27</x:v>
      </x:c>
      <x:c r="L254" t="str">
        <x:v>空運</x:v>
      </x:c>
      <x:c r="M254" t="n">
        <x:v>8</x:v>
      </x:c>
      <x:c r="N254" t="str">
        <x:v>否</x:v>
      </x:c>
      <x:c r="O254" t="n">
        <x:v>0</x:v>
      </x:c>
      <x:c r="P254"/>
    </x:row>
    <x:row r="255" ht="20" customHeight="1">
      <x:c r="A255" t="str">
        <x:v>SH000254</x:v>
      </x:c>
      <x:c r="B255" t="str">
        <x:v>SO00173-01</x:v>
      </x:c>
      <x:c r="C255" t="str">
        <x:v>WO00254</x:v>
      </x:c>
      <x:c r="D255" t="str">
        <x:v>LOT00254</x:v>
      </x:c>
      <x:c r="E255" t="str">
        <x:v>IAT-008</x:v>
      </x:c>
      <x:c r="F255" t="str">
        <x:v>AUTO-FL-A</x:v>
      </x:c>
      <x:c r="G255" s="20" t="n">
        <x:v>45490</x:v>
      </x:c>
      <x:c r="H255" s="20" t="n">
        <x:v>45494</x:v>
      </x:c>
      <x:c r="I255" s="20" t="n">
        <x:v>45498</x:v>
      </x:c>
      <x:c r="J255" t="n">
        <x:v>6863</x:v>
      </x:c>
      <x:c r="K255" t="n">
        <x:v>1299.61</x:v>
      </x:c>
      <x:c r="L255" t="str">
        <x:v>空運</x:v>
      </x:c>
      <x:c r="M255" t="n">
        <x:v>8</x:v>
      </x:c>
      <x:c r="N255" t="str">
        <x:v>否</x:v>
      </x:c>
      <x:c r="O255" t="n">
        <x:v>0</x:v>
      </x:c>
      <x:c r="P255"/>
    </x:row>
    <x:row r="256" ht="20" customHeight="1">
      <x:c r="A256" t="str">
        <x:v>SH000255</x:v>
      </x:c>
      <x:c r="B256" t="str">
        <x:v>SO00174-01</x:v>
      </x:c>
      <x:c r="C256" t="str">
        <x:v>WO00255</x:v>
      </x:c>
      <x:c r="D256" t="str">
        <x:v>LOT00255</x:v>
      </x:c>
      <x:c r="E256" t="str">
        <x:v>SEM-005</x:v>
      </x:c>
      <x:c r="F256" t="str">
        <x:v>PM-VAC-B</x:v>
      </x:c>
      <x:c r="G256" s="20" t="n">
        <x:v>45516</x:v>
      </x:c>
      <x:c r="H256" s="20" t="n">
        <x:v>45514</x:v>
      </x:c>
      <x:c r="I256" s="20" t="n">
        <x:v>45517</x:v>
      </x:c>
      <x:c r="J256" t="n">
        <x:v>777</x:v>
      </x:c>
      <x:c r="K256" t="n">
        <x:v>23109.93</x:v>
      </x:c>
      <x:c r="L256" t="str">
        <x:v>空運</x:v>
      </x:c>
      <x:c r="M256" t="n">
        <x:v>1</x:v>
      </x:c>
      <x:c r="N256" t="str">
        <x:v>否</x:v>
      </x:c>
      <x:c r="O256" t="n">
        <x:v>0</x:v>
      </x:c>
      <x:c r="P256"/>
    </x:row>
    <x:row r="257" ht="20" customHeight="1">
      <x:c r="A257" t="str">
        <x:v>SH000256</x:v>
      </x:c>
      <x:c r="B257" t="str">
        <x:v>SO00174-01</x:v>
      </x:c>
      <x:c r="C257" t="str">
        <x:v>WO00256</x:v>
      </x:c>
      <x:c r="D257" t="str">
        <x:v>LOT00256</x:v>
      </x:c>
      <x:c r="E257" t="str">
        <x:v>SEM-005</x:v>
      </x:c>
      <x:c r="F257" t="str">
        <x:v>PM-VAC-B</x:v>
      </x:c>
      <x:c r="G257" s="20" t="n">
        <x:v>45516</x:v>
      </x:c>
      <x:c r="H257" s="20" t="n">
        <x:v>45515</x:v>
      </x:c>
      <x:c r="I257" s="20" t="n">
        <x:v>45516</x:v>
      </x:c>
      <x:c r="J257" t="n">
        <x:v>788</x:v>
      </x:c>
      <x:c r="K257" t="n">
        <x:v>23109.93</x:v>
      </x:c>
      <x:c r="L257" t="str">
        <x:v>海運</x:v>
      </x:c>
      <x:c r="M257" t="n">
        <x:v>0</x:v>
      </x:c>
      <x:c r="N257" t="str">
        <x:v>是</x:v>
      </x:c>
      <x:c r="O257" t="n">
        <x:v>0</x:v>
      </x:c>
      <x:c r="P257"/>
    </x:row>
    <x:row r="258" ht="20" customHeight="1">
      <x:c r="A258" t="str">
        <x:v>SH000257</x:v>
      </x:c>
      <x:c r="B258" t="str">
        <x:v>SO00175-01</x:v>
      </x:c>
      <x:c r="C258" t="str">
        <x:v>WO00257</x:v>
      </x:c>
      <x:c r="D258" t="str">
        <x:v>LOT00257</x:v>
      </x:c>
      <x:c r="E258" t="str">
        <x:v>IAT-007</x:v>
      </x:c>
      <x:c r="F258" t="str">
        <x:v>MECH-STG-B</x:v>
      </x:c>
      <x:c r="G258" s="20" t="n">
        <x:v>45515</x:v>
      </x:c>
      <x:c r="H258" s="20" t="n">
        <x:v>45512</x:v>
      </x:c>
      <x:c r="I258" s="20" t="n">
        <x:v>45517</x:v>
      </x:c>
      <x:c r="J258" t="n">
        <x:v>17</x:v>
      </x:c>
      <x:c r="K258" t="n">
        <x:v>193242.29</x:v>
      </x:c>
      <x:c r="L258" t="str">
        <x:v>空運</x:v>
      </x:c>
      <x:c r="M258" t="n">
        <x:v>2</x:v>
      </x:c>
      <x:c r="N258" t="str">
        <x:v>否</x:v>
      </x:c>
      <x:c r="O258" t="n">
        <x:v>0</x:v>
      </x:c>
      <x:c r="P258"/>
    </x:row>
    <x:row r="259" ht="20" customHeight="1">
      <x:c r="A259" t="str">
        <x:v>SH000258</x:v>
      </x:c>
      <x:c r="B259" t="str">
        <x:v>SO00175-01</x:v>
      </x:c>
      <x:c r="C259" t="str">
        <x:v>WO00258</x:v>
      </x:c>
      <x:c r="D259" t="str">
        <x:v>LOT00258</x:v>
      </x:c>
      <x:c r="E259" t="str">
        <x:v>IAT-007</x:v>
      </x:c>
      <x:c r="F259" t="str">
        <x:v>MECH-STG-B</x:v>
      </x:c>
      <x:c r="G259" s="20" t="n">
        <x:v>45515</x:v>
      </x:c>
      <x:c r="H259" s="20" t="n">
        <x:v>45511</x:v>
      </x:c>
      <x:c r="I259" s="20" t="n">
        <x:v>45512</x:v>
      </x:c>
      <x:c r="J259" t="n">
        <x:v>17</x:v>
      </x:c>
      <x:c r="K259" t="n">
        <x:v>193242.29</x:v>
      </x:c>
      <x:c r="L259" t="str">
        <x:v>空運</x:v>
      </x:c>
      <x:c r="M259" t="n">
        <x:v>0</x:v>
      </x:c>
      <x:c r="N259" t="str">
        <x:v>是</x:v>
      </x:c>
      <x:c r="O259" t="n">
        <x:v>0</x:v>
      </x:c>
      <x:c r="P259"/>
    </x:row>
    <x:row r="260" ht="20" customHeight="1">
      <x:c r="A260" t="str">
        <x:v>SH000259</x:v>
      </x:c>
      <x:c r="B260" t="str">
        <x:v>SO00175-01</x:v>
      </x:c>
      <x:c r="C260" t="str">
        <x:v>WO00259</x:v>
      </x:c>
      <x:c r="D260" t="str">
        <x:v>LOT00259</x:v>
      </x:c>
      <x:c r="E260" t="str">
        <x:v>IAT-007</x:v>
      </x:c>
      <x:c r="F260" t="str">
        <x:v>MECH-STG-B</x:v>
      </x:c>
      <x:c r="G260" s="20" t="n">
        <x:v>45515</x:v>
      </x:c>
      <x:c r="H260" s="20" t="n">
        <x:v>45516</x:v>
      </x:c>
      <x:c r="I260" s="20" t="n">
        <x:v>45521</x:v>
      </x:c>
      <x:c r="J260" t="n">
        <x:v>16</x:v>
      </x:c>
      <x:c r="K260" t="n">
        <x:v>193242.29</x:v>
      </x:c>
      <x:c r="L260" t="str">
        <x:v>空運</x:v>
      </x:c>
      <x:c r="M260" t="n">
        <x:v>6</x:v>
      </x:c>
      <x:c r="N260" t="str">
        <x:v>否</x:v>
      </x:c>
      <x:c r="O260" t="n">
        <x:v>0</x:v>
      </x:c>
      <x:c r="P260"/>
    </x:row>
    <x:row r="261" ht="20" customHeight="1">
      <x:c r="A261" t="str">
        <x:v>SH000260</x:v>
      </x:c>
      <x:c r="B261" t="str">
        <x:v>SO00176-01</x:v>
      </x:c>
      <x:c r="C261" t="str">
        <x:v>WO00260</x:v>
      </x:c>
      <x:c r="D261" t="str">
        <x:v>LOT00260</x:v>
      </x:c>
      <x:c r="E261" t="str">
        <x:v>AUT-013</x:v>
      </x:c>
      <x:c r="F261" t="str">
        <x:v>MECH-CON-B</x:v>
      </x:c>
      <x:c r="G261" s="20" t="n">
        <x:v>45496</x:v>
      </x:c>
      <x:c r="H261" s="20" t="n">
        <x:v>45493</x:v>
      </x:c>
      <x:c r="I261" s="20" t="n">
        <x:v>45497</x:v>
      </x:c>
      <x:c r="J261" t="n">
        <x:v>15</x:v>
      </x:c>
      <x:c r="K261" t="n">
        <x:v>148775.14</x:v>
      </x:c>
      <x:c r="L261" t="str">
        <x:v>陸運</x:v>
      </x:c>
      <x:c r="M261" t="n">
        <x:v>1</x:v>
      </x:c>
      <x:c r="N261" t="str">
        <x:v>否</x:v>
      </x:c>
      <x:c r="O261" t="n">
        <x:v>0</x:v>
      </x:c>
      <x:c r="P261"/>
    </x:row>
    <x:row r="262" ht="20" customHeight="1">
      <x:c r="A262" t="str">
        <x:v>SH000261</x:v>
      </x:c>
      <x:c r="B262" t="str">
        <x:v>SO00176-01</x:v>
      </x:c>
      <x:c r="C262" t="str">
        <x:v>WO00261</x:v>
      </x:c>
      <x:c r="D262" t="str">
        <x:v>LOT00261</x:v>
      </x:c>
      <x:c r="E262" t="str">
        <x:v>AUT-013</x:v>
      </x:c>
      <x:c r="F262" t="str">
        <x:v>MECH-CON-B</x:v>
      </x:c>
      <x:c r="G262" s="20" t="n">
        <x:v>45496</x:v>
      </x:c>
      <x:c r="H262" s="20" t="n">
        <x:v>45499</x:v>
      </x:c>
      <x:c r="I262" s="20" t="n">
        <x:v>45500</x:v>
      </x:c>
      <x:c r="J262" t="n">
        <x:v>15</x:v>
      </x:c>
      <x:c r="K262" t="n">
        <x:v>148775.14</x:v>
      </x:c>
      <x:c r="L262" t="str">
        <x:v>海運</x:v>
      </x:c>
      <x:c r="M262" t="n">
        <x:v>4</x:v>
      </x:c>
      <x:c r="N262" t="str">
        <x:v>否</x:v>
      </x:c>
      <x:c r="O262" t="n">
        <x:v>0</x:v>
      </x:c>
      <x:c r="P262"/>
    </x:row>
    <x:row r="263" ht="20" customHeight="1">
      <x:c r="A263" t="str">
        <x:v>SH000262</x:v>
      </x:c>
      <x:c r="B263" t="str">
        <x:v>SO00177-01</x:v>
      </x:c>
      <x:c r="C263" t="str">
        <x:v>WO00262</x:v>
      </x:c>
      <x:c r="D263" t="str">
        <x:v>LOT00262</x:v>
      </x:c>
      <x:c r="E263" t="str">
        <x:v>AUT-004</x:v>
      </x:c>
      <x:c r="F263" t="str">
        <x:v>AUTO-FL-B</x:v>
      </x:c>
      <x:c r="G263" s="20" t="n">
        <x:v>45501</x:v>
      </x:c>
      <x:c r="H263" s="20" t="n">
        <x:v>45505</x:v>
      </x:c>
      <x:c r="I263" s="20" t="n">
        <x:v>45510</x:v>
      </x:c>
      <x:c r="J263" t="n">
        <x:v>4913</x:v>
      </x:c>
      <x:c r="K263" t="n">
        <x:v>1475.08</x:v>
      </x:c>
      <x:c r="L263" t="str">
        <x:v>海運</x:v>
      </x:c>
      <x:c r="M263" t="n">
        <x:v>9</x:v>
      </x:c>
      <x:c r="N263" t="str">
        <x:v>否</x:v>
      </x:c>
      <x:c r="O263" t="n">
        <x:v>0</x:v>
      </x:c>
      <x:c r="P263"/>
    </x:row>
    <x:row r="264" ht="20" customHeight="1">
      <x:c r="A264" t="str">
        <x:v>SH000263</x:v>
      </x:c>
      <x:c r="B264" t="str">
        <x:v>SO00178-01</x:v>
      </x:c>
      <x:c r="C264" t="str">
        <x:v>WO00263</x:v>
      </x:c>
      <x:c r="D264" t="str">
        <x:v>LOT00263</x:v>
      </x:c>
      <x:c r="E264" t="str">
        <x:v>EMS-008</x:v>
      </x:c>
      <x:c r="F264" t="str">
        <x:v>AUTO-LG-B</x:v>
      </x:c>
      <x:c r="G264" s="20" t="n">
        <x:v>45487</x:v>
      </x:c>
      <x:c r="H264" s="20" t="n">
        <x:v>45494</x:v>
      </x:c>
      <x:c r="I264" s="20" t="n">
        <x:v>45495</x:v>
      </x:c>
      <x:c r="J264" t="n">
        <x:v>2996</x:v>
      </x:c>
      <x:c r="K264" t="n">
        <x:v>1252.55</x:v>
      </x:c>
      <x:c r="L264" t="str">
        <x:v>陸運</x:v>
      </x:c>
      <x:c r="M264" t="n">
        <x:v>8</x:v>
      </x:c>
      <x:c r="N264" t="str">
        <x:v>否</x:v>
      </x:c>
      <x:c r="O264" t="n">
        <x:v>0</x:v>
      </x:c>
      <x:c r="P264"/>
    </x:row>
    <x:row r="265" ht="20" customHeight="1">
      <x:c r="A265" t="str">
        <x:v>SH000264</x:v>
      </x:c>
      <x:c r="B265" t="str">
        <x:v>SO00179-01</x:v>
      </x:c>
      <x:c r="C265" t="str">
        <x:v>WO00264</x:v>
      </x:c>
      <x:c r="D265" t="str">
        <x:v>LOT00264</x:v>
      </x:c>
      <x:c r="E265" t="str">
        <x:v>AUT-010</x:v>
      </x:c>
      <x:c r="F265" t="str">
        <x:v>AUTO-FL-B</x:v>
      </x:c>
      <x:c r="G265" s="20" t="n">
        <x:v>45494</x:v>
      </x:c>
      <x:c r="H265" s="20" t="n">
        <x:v>45493</x:v>
      </x:c>
      <x:c r="I265" s="20" t="n">
        <x:v>45496</x:v>
      </x:c>
      <x:c r="J265" t="n">
        <x:v>6979</x:v>
      </x:c>
      <x:c r="K265" t="n">
        <x:v>1488.57</x:v>
      </x:c>
      <x:c r="L265" t="str">
        <x:v>海運</x:v>
      </x:c>
      <x:c r="M265" t="n">
        <x:v>2</x:v>
      </x:c>
      <x:c r="N265" t="str">
        <x:v>否</x:v>
      </x:c>
      <x:c r="O265" t="n">
        <x:v>0</x:v>
      </x:c>
      <x:c r="P265"/>
    </x:row>
    <x:row r="266" ht="20" customHeight="1">
      <x:c r="A266" t="str">
        <x:v>SH000265</x:v>
      </x:c>
      <x:c r="B266" t="str">
        <x:v>SO00180-01</x:v>
      </x:c>
      <x:c r="C266" t="str">
        <x:v>WO00266</x:v>
      </x:c>
      <x:c r="D266" t="str">
        <x:v>LOT00266</x:v>
      </x:c>
      <x:c r="E266" t="str">
        <x:v>AUT-002</x:v>
      </x:c>
      <x:c r="F266" t="str">
        <x:v>AUTO-KN-B</x:v>
      </x:c>
      <x:c r="G266" s="20" t="n">
        <x:v>45492</x:v>
      </x:c>
      <x:c r="H266" s="20" t="n">
        <x:v>45489</x:v>
      </x:c>
      <x:c r="I266" s="20" t="n">
        <x:v>45491</x:v>
      </x:c>
      <x:c r="J266" t="n">
        <x:v>4949</x:v>
      </x:c>
      <x:c r="K266" t="n">
        <x:v>3804.86</x:v>
      </x:c>
      <x:c r="L266" t="str">
        <x:v>陸運</x:v>
      </x:c>
      <x:c r="M266" t="n">
        <x:v>0</x:v>
      </x:c>
      <x:c r="N266" t="str">
        <x:v>是</x:v>
      </x:c>
      <x:c r="O266" t="n">
        <x:v>0</x:v>
      </x:c>
      <x:c r="P266"/>
    </x:row>
    <x:row r="267" ht="20" customHeight="1">
      <x:c r="A267" t="str">
        <x:v>SH000266</x:v>
      </x:c>
      <x:c r="B267" t="str">
        <x:v>SO00180-01</x:v>
      </x:c>
      <x:c r="C267" t="str">
        <x:v>WO00265</x:v>
      </x:c>
      <x:c r="D267" t="str">
        <x:v>LOT00265</x:v>
      </x:c>
      <x:c r="E267" t="str">
        <x:v>AUT-002</x:v>
      </x:c>
      <x:c r="F267" t="str">
        <x:v>AUTO-KN-B</x:v>
      </x:c>
      <x:c r="G267" s="20" t="n">
        <x:v>45492</x:v>
      </x:c>
      <x:c r="H267" s="20" t="n">
        <x:v>45492</x:v>
      </x:c>
      <x:c r="I267" s="20" t="n">
        <x:v>45493</x:v>
      </x:c>
      <x:c r="J267" t="n">
        <x:v>4955</x:v>
      </x:c>
      <x:c r="K267" t="n">
        <x:v>3804.86</x:v>
      </x:c>
      <x:c r="L267" t="str">
        <x:v>空運</x:v>
      </x:c>
      <x:c r="M267" t="n">
        <x:v>1</x:v>
      </x:c>
      <x:c r="N267" t="str">
        <x:v>否</x:v>
      </x:c>
      <x:c r="O267" t="n">
        <x:v>0</x:v>
      </x:c>
      <x:c r="P267"/>
    </x:row>
    <x:row r="268" ht="20" customHeight="1">
      <x:c r="A268" t="str">
        <x:v>SH000267</x:v>
      </x:c>
      <x:c r="B268" t="str">
        <x:v>SO00181-01</x:v>
      </x:c>
      <x:c r="C268" t="str">
        <x:v>WO00267</x:v>
      </x:c>
      <x:c r="D268" t="str">
        <x:v>LOT00267</x:v>
      </x:c>
      <x:c r="E268" t="str">
        <x:v>AUT-007</x:v>
      </x:c>
      <x:c r="F268" t="str">
        <x:v>PM-ALB-B</x:v>
      </x:c>
      <x:c r="G268" s="20" t="n">
        <x:v>45510</x:v>
      </x:c>
      <x:c r="H268" s="20" t="n">
        <x:v>45507</x:v>
      </x:c>
      <x:c r="I268" s="20" t="n">
        <x:v>45510</x:v>
      </x:c>
      <x:c r="J268" t="n">
        <x:v>491</x:v>
      </x:c>
      <x:c r="K268" t="n">
        <x:v>14981.97</x:v>
      </x:c>
      <x:c r="L268" t="str">
        <x:v>空運</x:v>
      </x:c>
      <x:c r="M268" t="n">
        <x:v>0</x:v>
      </x:c>
      <x:c r="N268" t="str">
        <x:v>是</x:v>
      </x:c>
      <x:c r="O268" t="n">
        <x:v>0</x:v>
      </x:c>
      <x:c r="P268"/>
    </x:row>
    <x:row r="269" ht="20" customHeight="1">
      <x:c r="A269" t="str">
        <x:v>SH000268</x:v>
      </x:c>
      <x:c r="B269" t="str">
        <x:v>SO00182-01</x:v>
      </x:c>
      <x:c r="C269" t="str">
        <x:v>WO00268</x:v>
      </x:c>
      <x:c r="D269" t="str">
        <x:v>LOT00268</x:v>
      </x:c>
      <x:c r="E269" t="str">
        <x:v>IAT-006</x:v>
      </x:c>
      <x:c r="F269" t="str">
        <x:v>PM-ALB-A</x:v>
      </x:c>
      <x:c r="G269" s="20" t="n">
        <x:v>45484</x:v>
      </x:c>
      <x:c r="H269" s="20" t="n">
        <x:v>45483</x:v>
      </x:c>
      <x:c r="I269" s="20" t="n">
        <x:v>45488</x:v>
      </x:c>
      <x:c r="J269" t="n">
        <x:v>294</x:v>
      </x:c>
      <x:c r="K269" t="n">
        <x:v>11183.34</x:v>
      </x:c>
      <x:c r="L269" t="str">
        <x:v>海運</x:v>
      </x:c>
      <x:c r="M269" t="n">
        <x:v>4</x:v>
      </x:c>
      <x:c r="N269" t="str">
        <x:v>否</x:v>
      </x:c>
      <x:c r="O269" t="n">
        <x:v>0</x:v>
      </x:c>
      <x:c r="P269"/>
    </x:row>
    <x:row r="270" ht="20" customHeight="1">
      <x:c r="A270" t="str">
        <x:v>SH000269</x:v>
      </x:c>
      <x:c r="B270" t="str">
        <x:v>SO00183-01</x:v>
      </x:c>
      <x:c r="C270" t="str">
        <x:v>WO00270</x:v>
      </x:c>
      <x:c r="D270" t="str">
        <x:v>LOT00270</x:v>
      </x:c>
      <x:c r="E270" t="str">
        <x:v>AUT-013</x:v>
      </x:c>
      <x:c r="F270" t="str">
        <x:v>AUTO-LG-B</x:v>
      </x:c>
      <x:c r="G270" s="20" t="n">
        <x:v>45465</x:v>
      </x:c>
      <x:c r="H270" s="20" t="n">
        <x:v>45461</x:v>
      </x:c>
      <x:c r="I270" s="20" t="n">
        <x:v>45462</x:v>
      </x:c>
      <x:c r="J270" t="n">
        <x:v>4966</x:v>
      </x:c>
      <x:c r="K270" t="n">
        <x:v>1207.93</x:v>
      </x:c>
      <x:c r="L270" t="str">
        <x:v>海運</x:v>
      </x:c>
      <x:c r="M270" t="n">
        <x:v>0</x:v>
      </x:c>
      <x:c r="N270" t="str">
        <x:v>是</x:v>
      </x:c>
      <x:c r="O270" t="n">
        <x:v>0</x:v>
      </x:c>
      <x:c r="P270"/>
    </x:row>
    <x:row r="271" ht="20" customHeight="1">
      <x:c r="A271" t="str">
        <x:v>SH000270</x:v>
      </x:c>
      <x:c r="B271" t="str">
        <x:v>SO00183-01</x:v>
      </x:c>
      <x:c r="C271" t="str">
        <x:v>WO00269</x:v>
      </x:c>
      <x:c r="D271" t="str">
        <x:v>LOT00269</x:v>
      </x:c>
      <x:c r="E271" t="str">
        <x:v>AUT-013</x:v>
      </x:c>
      <x:c r="F271" t="str">
        <x:v>AUTO-LG-B</x:v>
      </x:c>
      <x:c r="G271" s="20" t="n">
        <x:v>45465</x:v>
      </x:c>
      <x:c r="H271" s="20" t="n">
        <x:v>45463</x:v>
      </x:c>
      <x:c r="I271" s="20" t="n">
        <x:v>45467</x:v>
      </x:c>
      <x:c r="J271" t="n">
        <x:v>4979</x:v>
      </x:c>
      <x:c r="K271" t="n">
        <x:v>1207.93</x:v>
      </x:c>
      <x:c r="L271" t="str">
        <x:v>陸運</x:v>
      </x:c>
      <x:c r="M271" t="n">
        <x:v>2</x:v>
      </x:c>
      <x:c r="N271" t="str">
        <x:v>否</x:v>
      </x:c>
      <x:c r="O271" t="n">
        <x:v>0</x:v>
      </x:c>
      <x:c r="P271"/>
    </x:row>
    <x:row r="272" ht="20" customHeight="1">
      <x:c r="A272" t="str">
        <x:v>SH000271</x:v>
      </x:c>
      <x:c r="B272" t="str">
        <x:v>SO00184-01</x:v>
      </x:c>
      <x:c r="C272" t="str">
        <x:v>WO00271</x:v>
      </x:c>
      <x:c r="D272" t="str">
        <x:v>LOT00271</x:v>
      </x:c>
      <x:c r="E272" t="str">
        <x:v>SEM-004</x:v>
      </x:c>
      <x:c r="F272" t="str">
        <x:v>PM-ALB-A</x:v>
      </x:c>
      <x:c r="G272" s="20" t="n">
        <x:v>45486</x:v>
      </x:c>
      <x:c r="H272" s="20" t="n">
        <x:v>45480</x:v>
      </x:c>
      <x:c r="I272" s="20" t="n">
        <x:v>45481</x:v>
      </x:c>
      <x:c r="J272" t="n">
        <x:v>594</x:v>
      </x:c>
      <x:c r="K272" t="n">
        <x:v>11453.46</x:v>
      </x:c>
      <x:c r="L272" t="str">
        <x:v>海運</x:v>
      </x:c>
      <x:c r="M272" t="n">
        <x:v>0</x:v>
      </x:c>
      <x:c r="N272" t="str">
        <x:v>是</x:v>
      </x:c>
      <x:c r="O272" t="n">
        <x:v>0</x:v>
      </x:c>
      <x:c r="P272"/>
    </x:row>
    <x:row r="273" ht="20" customHeight="1">
      <x:c r="A273" t="str">
        <x:v>SH000272</x:v>
      </x:c>
      <x:c r="B273" t="str">
        <x:v>SO00184-01</x:v>
      </x:c>
      <x:c r="C273" t="str">
        <x:v>WO00272</x:v>
      </x:c>
      <x:c r="D273" t="str">
        <x:v>LOT00272</x:v>
      </x:c>
      <x:c r="E273" t="str">
        <x:v>SEM-004</x:v>
      </x:c>
      <x:c r="F273" t="str">
        <x:v>PM-ALB-A</x:v>
      </x:c>
      <x:c r="G273" s="20" t="n">
        <x:v>45486</x:v>
      </x:c>
      <x:c r="H273" s="20" t="n">
        <x:v>45483</x:v>
      </x:c>
      <x:c r="I273" s="20" t="n">
        <x:v>45488</x:v>
      </x:c>
      <x:c r="J273" t="n">
        <x:v>592</x:v>
      </x:c>
      <x:c r="K273" t="n">
        <x:v>11453.46</x:v>
      </x:c>
      <x:c r="L273" t="str">
        <x:v>空運</x:v>
      </x:c>
      <x:c r="M273" t="n">
        <x:v>2</x:v>
      </x:c>
      <x:c r="N273" t="str">
        <x:v>否</x:v>
      </x:c>
      <x:c r="O273" t="n">
        <x:v>0</x:v>
      </x:c>
      <x:c r="P273"/>
    </x:row>
    <x:row r="274" ht="20" customHeight="1">
      <x:c r="A274" t="str">
        <x:v>SH000273</x:v>
      </x:c>
      <x:c r="B274" t="str">
        <x:v>SO00185-01</x:v>
      </x:c>
      <x:c r="C274" t="str">
        <x:v>WO00273</x:v>
      </x:c>
      <x:c r="D274" t="str">
        <x:v>LOT00273</x:v>
      </x:c>
      <x:c r="E274" t="str">
        <x:v>IAT-008</x:v>
      </x:c>
      <x:c r="F274" t="str">
        <x:v>AUTO-MH-A</x:v>
      </x:c>
      <x:c r="G274" s="20" t="n">
        <x:v>45476</x:v>
      </x:c>
      <x:c r="H274" s="20" t="n">
        <x:v>45475</x:v>
      </x:c>
      <x:c r="I274" s="20" t="n">
        <x:v>45480</x:v>
      </x:c>
      <x:c r="J274" t="n">
        <x:v>6853</x:v>
      </x:c>
      <x:c r="K274" t="n">
        <x:v>2374</x:v>
      </x:c>
      <x:c r="L274" t="str">
        <x:v>陸運</x:v>
      </x:c>
      <x:c r="M274" t="n">
        <x:v>4</x:v>
      </x:c>
      <x:c r="N274" t="str">
        <x:v>否</x:v>
      </x:c>
      <x:c r="O274" t="n">
        <x:v>0</x:v>
      </x:c>
      <x:c r="P274"/>
    </x:row>
    <x:row r="275" ht="20" customHeight="1">
      <x:c r="A275" t="str">
        <x:v>SH000274</x:v>
      </x:c>
      <x:c r="B275" t="str">
        <x:v>SO00186-01</x:v>
      </x:c>
      <x:c r="C275" t="str">
        <x:v>WO00274</x:v>
      </x:c>
      <x:c r="D275" t="str">
        <x:v>LOT00274</x:v>
      </x:c>
      <x:c r="E275" t="str">
        <x:v>SEM-007</x:v>
      </x:c>
      <x:c r="F275" t="str">
        <x:v>PM-ALB-B</x:v>
      </x:c>
      <x:c r="G275" s="20" t="n">
        <x:v>45492</x:v>
      </x:c>
      <x:c r="H275" s="20" t="n">
        <x:v>45493</x:v>
      </x:c>
      <x:c r="I275" s="20" t="n">
        <x:v>45494</x:v>
      </x:c>
      <x:c r="J275" t="n">
        <x:v>779</x:v>
      </x:c>
      <x:c r="K275" t="n">
        <x:v>14417.43</x:v>
      </x:c>
      <x:c r="L275" t="str">
        <x:v>空運</x:v>
      </x:c>
      <x:c r="M275" t="n">
        <x:v>2</x:v>
      </x:c>
      <x:c r="N275" t="str">
        <x:v>否</x:v>
      </x:c>
      <x:c r="O275" t="n">
        <x:v>0</x:v>
      </x:c>
      <x:c r="P275"/>
    </x:row>
    <x:row r="276" ht="20" customHeight="1">
      <x:c r="A276" t="str">
        <x:v>SH000275</x:v>
      </x:c>
      <x:c r="B276" t="str">
        <x:v>SO00187-01</x:v>
      </x:c>
      <x:c r="C276" t="str">
        <x:v>WO00275</x:v>
      </x:c>
      <x:c r="D276" t="str">
        <x:v>LOT00275</x:v>
      </x:c>
      <x:c r="E276" t="str">
        <x:v>AUT-001</x:v>
      </x:c>
      <x:c r="F276" t="str">
        <x:v>AUTO-BS-A</x:v>
      </x:c>
      <x:c r="G276" s="20" t="n">
        <x:v>45475</x:v>
      </x:c>
      <x:c r="H276" s="20" t="n">
        <x:v>45473</x:v>
      </x:c>
      <x:c r="I276" s="20" t="n">
        <x:v>45475</x:v>
      </x:c>
      <x:c r="J276" t="n">
        <x:v>2928</x:v>
      </x:c>
      <x:c r="K276" t="n">
        <x:v>761.49</x:v>
      </x:c>
      <x:c r="L276" t="str">
        <x:v>陸運</x:v>
      </x:c>
      <x:c r="M276" t="n">
        <x:v>0</x:v>
      </x:c>
      <x:c r="N276" t="str">
        <x:v>是</x:v>
      </x:c>
      <x:c r="O276" t="n">
        <x:v>0</x:v>
      </x:c>
      <x:c r="P276"/>
    </x:row>
    <x:row r="277" ht="20" customHeight="1">
      <x:c r="A277" t="str">
        <x:v>SH000276</x:v>
      </x:c>
      <x:c r="B277" t="str">
        <x:v>SO00188-01</x:v>
      </x:c>
      <x:c r="C277" t="str">
        <x:v>WO00276</x:v>
      </x:c>
      <x:c r="D277" t="str">
        <x:v>LOT00276</x:v>
      </x:c>
      <x:c r="E277" t="str">
        <x:v>AUT-014</x:v>
      </x:c>
      <x:c r="F277" t="str">
        <x:v>MECH-STG-B</x:v>
      </x:c>
      <x:c r="G277" s="20" t="n">
        <x:v>45506</x:v>
      </x:c>
      <x:c r="H277" s="20" t="n">
        <x:v>45503</x:v>
      </x:c>
      <x:c r="I277" s="20" t="n">
        <x:v>45504</x:v>
      </x:c>
      <x:c r="J277" t="n">
        <x:v>19</x:v>
      </x:c>
      <x:c r="K277" t="n">
        <x:v>181335.37</x:v>
      </x:c>
      <x:c r="L277" t="str">
        <x:v>陸運</x:v>
      </x:c>
      <x:c r="M277" t="n">
        <x:v>0</x:v>
      </x:c>
      <x:c r="N277" t="str">
        <x:v>是</x:v>
      </x:c>
      <x:c r="O277" t="n">
        <x:v>0</x:v>
      </x:c>
      <x:c r="P277"/>
    </x:row>
    <x:row r="278" ht="20" customHeight="1">
      <x:c r="A278" t="str">
        <x:v>SH000277</x:v>
      </x:c>
      <x:c r="B278" t="str">
        <x:v>SO00189-01</x:v>
      </x:c>
      <x:c r="C278" t="str">
        <x:v>WO00277</x:v>
      </x:c>
      <x:c r="D278" t="str">
        <x:v>LOT00277</x:v>
      </x:c>
      <x:c r="E278" t="str">
        <x:v>IAT-007</x:v>
      </x:c>
      <x:c r="F278" t="str">
        <x:v>MECH-STG-A</x:v>
      </x:c>
      <x:c r="G278" s="20" t="n">
        <x:v>45521</x:v>
      </x:c>
      <x:c r="H278" s="20" t="n">
        <x:v>45526</x:v>
      </x:c>
      <x:c r="I278" s="20" t="n">
        <x:v>45530</x:v>
      </x:c>
      <x:c r="J278" t="n">
        <x:v>10</x:v>
      </x:c>
      <x:c r="K278" t="n">
        <x:v>130049.2</x:v>
      </x:c>
      <x:c r="L278" t="str">
        <x:v>海運</x:v>
      </x:c>
      <x:c r="M278" t="n">
        <x:v>9</x:v>
      </x:c>
      <x:c r="N278" t="str">
        <x:v>否</x:v>
      </x:c>
      <x:c r="O278" t="n">
        <x:v>0</x:v>
      </x:c>
      <x:c r="P278"/>
    </x:row>
    <x:row r="279" ht="20" customHeight="1">
      <x:c r="A279" t="str">
        <x:v>SH000278</x:v>
      </x:c>
      <x:c r="B279" t="str">
        <x:v>SO00190-01</x:v>
      </x:c>
      <x:c r="C279" t="str">
        <x:v>WO00279</x:v>
      </x:c>
      <x:c r="D279" t="str">
        <x:v>LOT00279</x:v>
      </x:c>
      <x:c r="E279" t="str">
        <x:v>AFT-006</x:v>
      </x:c>
      <x:c r="F279" t="str">
        <x:v>AUTO-BRK-A</x:v>
      </x:c>
      <x:c r="G279" s="20" t="n">
        <x:v>45491</x:v>
      </x:c>
      <x:c r="H279" s="20" t="n">
        <x:v>45491</x:v>
      </x:c>
      <x:c r="I279" s="20" t="n">
        <x:v>45493</x:v>
      </x:c>
      <x:c r="J279" t="n">
        <x:v>4933</x:v>
      </x:c>
      <x:c r="K279" t="n">
        <x:v>1824.82</x:v>
      </x:c>
      <x:c r="L279" t="str">
        <x:v>海運</x:v>
      </x:c>
      <x:c r="M279" t="n">
        <x:v>2</x:v>
      </x:c>
      <x:c r="N279" t="str">
        <x:v>否</x:v>
      </x:c>
      <x:c r="O279" t="n">
        <x:v>0</x:v>
      </x:c>
      <x:c r="P279"/>
    </x:row>
    <x:row r="280" ht="20" customHeight="1">
      <x:c r="A280" t="str">
        <x:v>SH000279</x:v>
      </x:c>
      <x:c r="B280" t="str">
        <x:v>SO00190-01</x:v>
      </x:c>
      <x:c r="C280" t="str">
        <x:v>WO00278</x:v>
      </x:c>
      <x:c r="D280" t="str">
        <x:v>LOT00278</x:v>
      </x:c>
      <x:c r="E280" t="str">
        <x:v>AFT-006</x:v>
      </x:c>
      <x:c r="F280" t="str">
        <x:v>AUTO-BRK-A</x:v>
      </x:c>
      <x:c r="G280" s="20" t="n">
        <x:v>45491</x:v>
      </x:c>
      <x:c r="H280" s="20" t="n">
        <x:v>45496</x:v>
      </x:c>
      <x:c r="I280" s="20" t="n">
        <x:v>45498</x:v>
      </x:c>
      <x:c r="J280" t="n">
        <x:v>4931</x:v>
      </x:c>
      <x:c r="K280" t="n">
        <x:v>1824.82</x:v>
      </x:c>
      <x:c r="L280" t="str">
        <x:v>海運</x:v>
      </x:c>
      <x:c r="M280" t="n">
        <x:v>7</x:v>
      </x:c>
      <x:c r="N280" t="str">
        <x:v>否</x:v>
      </x:c>
      <x:c r="O280" t="n">
        <x:v>31</x:v>
      </x:c>
      <x:c r="P280" t="str">
        <x:v>尺寸異常</x:v>
      </x:c>
    </x:row>
    <x:row r="281" ht="20" customHeight="1">
      <x:c r="A281" t="str">
        <x:v>SH000280</x:v>
      </x:c>
      <x:c r="B281" t="str">
        <x:v>SO00191-01</x:v>
      </x:c>
      <x:c r="C281" t="str">
        <x:v>WO00280</x:v>
      </x:c>
      <x:c r="D281" t="str">
        <x:v>LOT00280</x:v>
      </x:c>
      <x:c r="E281" t="str">
        <x:v>SEM-008</x:v>
      </x:c>
      <x:c r="F281" t="str">
        <x:v>PM-BRG-B</x:v>
      </x:c>
      <x:c r="G281" s="20" t="n">
        <x:v>45486</x:v>
      </x:c>
      <x:c r="H281" s="20" t="n">
        <x:v>45484</x:v>
      </x:c>
      <x:c r="I281" s="20" t="n">
        <x:v>45487</x:v>
      </x:c>
      <x:c r="J281" t="n">
        <x:v>295</x:v>
      </x:c>
      <x:c r="K281" t="n">
        <x:v>8164.32</x:v>
      </x:c>
      <x:c r="L281" t="str">
        <x:v>空運</x:v>
      </x:c>
      <x:c r="M281" t="n">
        <x:v>1</x:v>
      </x:c>
      <x:c r="N281" t="str">
        <x:v>否</x:v>
      </x:c>
      <x:c r="O281" t="n">
        <x:v>0</x:v>
      </x:c>
      <x:c r="P281"/>
    </x:row>
    <x:row r="282" ht="20" customHeight="1">
      <x:c r="A282" t="str">
        <x:v>SH000281</x:v>
      </x:c>
      <x:c r="B282" t="str">
        <x:v>SO00192-01</x:v>
      </x:c>
      <x:c r="C282" t="str">
        <x:v>WO00281</x:v>
      </x:c>
      <x:c r="D282" t="str">
        <x:v>LOT00281</x:v>
      </x:c>
      <x:c r="E282" t="str">
        <x:v>EMS-003</x:v>
      </x:c>
      <x:c r="F282" t="str">
        <x:v>AUTO-FL-B</x:v>
      </x:c>
      <x:c r="G282" s="20" t="n">
        <x:v>45503</x:v>
      </x:c>
      <x:c r="H282" s="20" t="n">
        <x:v>45499</x:v>
      </x:c>
      <x:c r="I282" s="20" t="n">
        <x:v>45502</x:v>
      </x:c>
      <x:c r="J282" t="n">
        <x:v>4939</x:v>
      </x:c>
      <x:c r="K282" t="n">
        <x:v>1563.69</x:v>
      </x:c>
      <x:c r="L282" t="str">
        <x:v>海運</x:v>
      </x:c>
      <x:c r="M282" t="n">
        <x:v>0</x:v>
      </x:c>
      <x:c r="N282" t="str">
        <x:v>是</x:v>
      </x:c>
      <x:c r="O282" t="n">
        <x:v>0</x:v>
      </x:c>
      <x:c r="P282"/>
    </x:row>
    <x:row r="283" ht="20" customHeight="1">
      <x:c r="A283" t="str">
        <x:v>SH000282</x:v>
      </x:c>
      <x:c r="B283" t="str">
        <x:v>SO00193-01</x:v>
      </x:c>
      <x:c r="C283" t="str">
        <x:v>WO00282</x:v>
      </x:c>
      <x:c r="D283" t="str">
        <x:v>LOT00282</x:v>
      </x:c>
      <x:c r="E283" t="str">
        <x:v>AUT-007</x:v>
      </x:c>
      <x:c r="F283" t="str">
        <x:v>PM-BRG-B</x:v>
      </x:c>
      <x:c r="G283" s="20" t="n">
        <x:v>45509</x:v>
      </x:c>
      <x:c r="H283" s="20" t="n">
        <x:v>45506</x:v>
      </x:c>
      <x:c r="I283" s="20" t="n">
        <x:v>45509</x:v>
      </x:c>
      <x:c r="J283" t="n">
        <x:v>797</x:v>
      </x:c>
      <x:c r="K283" t="n">
        <x:v>7763.48</x:v>
      </x:c>
      <x:c r="L283" t="str">
        <x:v>海運</x:v>
      </x:c>
      <x:c r="M283" t="n">
        <x:v>0</x:v>
      </x:c>
      <x:c r="N283" t="str">
        <x:v>是</x:v>
      </x:c>
      <x:c r="O283" t="n">
        <x:v>0</x:v>
      </x:c>
      <x:c r="P283"/>
    </x:row>
    <x:row r="284" ht="20" customHeight="1">
      <x:c r="A284" t="str">
        <x:v>SH000283</x:v>
      </x:c>
      <x:c r="B284" t="str">
        <x:v>SO00194-01</x:v>
      </x:c>
      <x:c r="C284" t="str">
        <x:v>WO00283</x:v>
      </x:c>
      <x:c r="D284" t="str">
        <x:v>LOT00283</x:v>
      </x:c>
      <x:c r="E284" t="str">
        <x:v>AFT-002</x:v>
      </x:c>
      <x:c r="F284" t="str">
        <x:v>AUTO-LG-A</x:v>
      </x:c>
      <x:c r="G284" s="20" t="n">
        <x:v>45496</x:v>
      </x:c>
      <x:c r="H284" s="20" t="n">
        <x:v>45494</x:v>
      </x:c>
      <x:c r="I284" s="20" t="n">
        <x:v>45495</x:v>
      </x:c>
      <x:c r="J284" t="n">
        <x:v>2997</x:v>
      </x:c>
      <x:c r="K284" t="n">
        <x:v>1084.98</x:v>
      </x:c>
      <x:c r="L284" t="str">
        <x:v>陸運</x:v>
      </x:c>
      <x:c r="M284" t="n">
        <x:v>0</x:v>
      </x:c>
      <x:c r="N284" t="str">
        <x:v>是</x:v>
      </x:c>
      <x:c r="O284" t="n">
        <x:v>25</x:v>
      </x:c>
      <x:c r="P284" t="str">
        <x:v>尺寸異常</x:v>
      </x:c>
    </x:row>
    <x:row r="285" ht="20" customHeight="1">
      <x:c r="A285" t="str">
        <x:v>SH000284</x:v>
      </x:c>
      <x:c r="B285" t="str">
        <x:v>SO00195-01</x:v>
      </x:c>
      <x:c r="C285" t="str">
        <x:v>WO00285</x:v>
      </x:c>
      <x:c r="D285" t="str">
        <x:v>LOT00285</x:v>
      </x:c>
      <x:c r="E285" t="str">
        <x:v>AUT-013</x:v>
      </x:c>
      <x:c r="F285" t="str">
        <x:v>AUTO-BRK-A</x:v>
      </x:c>
      <x:c r="G285" s="20" t="n">
        <x:v>45509</x:v>
      </x:c>
      <x:c r="H285" s="20" t="n">
        <x:v>45506</x:v>
      </x:c>
      <x:c r="I285" s="20" t="n">
        <x:v>45510</x:v>
      </x:c>
      <x:c r="J285" t="n">
        <x:v>6288</x:v>
      </x:c>
      <x:c r="K285" t="n">
        <x:v>1780.88</x:v>
      </x:c>
      <x:c r="L285" t="str">
        <x:v>陸運</x:v>
      </x:c>
      <x:c r="M285" t="n">
        <x:v>1</x:v>
      </x:c>
      <x:c r="N285" t="str">
        <x:v>否</x:v>
      </x:c>
      <x:c r="O285" t="n">
        <x:v>0</x:v>
      </x:c>
      <x:c r="P285"/>
    </x:row>
    <x:row r="286" ht="20" customHeight="1">
      <x:c r="A286" t="str">
        <x:v>SH000285</x:v>
      </x:c>
      <x:c r="B286" t="str">
        <x:v>SO00195-01</x:v>
      </x:c>
      <x:c r="C286" t="str">
        <x:v>WO00284</x:v>
      </x:c>
      <x:c r="D286" t="str">
        <x:v>LOT00284</x:v>
      </x:c>
      <x:c r="E286" t="str">
        <x:v>AUT-013</x:v>
      </x:c>
      <x:c r="F286" t="str">
        <x:v>AUTO-BRK-A</x:v>
      </x:c>
      <x:c r="G286" s="20" t="n">
        <x:v>45509</x:v>
      </x:c>
      <x:c r="H286" s="20" t="n">
        <x:v>45509</x:v>
      </x:c>
      <x:c r="I286" s="20" t="n">
        <x:v>45510</x:v>
      </x:c>
      <x:c r="J286" t="n">
        <x:v>6432</x:v>
      </x:c>
      <x:c r="K286" t="n">
        <x:v>1780.88</x:v>
      </x:c>
      <x:c r="L286" t="str">
        <x:v>海運</x:v>
      </x:c>
      <x:c r="M286" t="n">
        <x:v>1</x:v>
      </x:c>
      <x:c r="N286" t="str">
        <x:v>否</x:v>
      </x:c>
      <x:c r="O286" t="n">
        <x:v>0</x:v>
      </x:c>
      <x:c r="P286"/>
    </x:row>
    <x:row r="287" ht="20" customHeight="1">
      <x:c r="A287" t="str">
        <x:v>SH000286</x:v>
      </x:c>
      <x:c r="B287" t="str">
        <x:v>SO00196-01</x:v>
      </x:c>
      <x:c r="C287" t="str">
        <x:v>WO00286</x:v>
      </x:c>
      <x:c r="D287" t="str">
        <x:v>LOT00286</x:v>
      </x:c>
      <x:c r="E287" t="str">
        <x:v>IAT-008</x:v>
      </x:c>
      <x:c r="F287" t="str">
        <x:v>MECH-STG-A</x:v>
      </x:c>
      <x:c r="G287" s="20" t="n">
        <x:v>45539</x:v>
      </x:c>
      <x:c r="H287" s="20" t="n">
        <x:v>45536</x:v>
      </x:c>
      <x:c r="I287" s="20" t="n">
        <x:v>45539</x:v>
      </x:c>
      <x:c r="J287" t="n">
        <x:v>10</x:v>
      </x:c>
      <x:c r="K287" t="n">
        <x:v>137501.22</x:v>
      </x:c>
      <x:c r="L287" t="str">
        <x:v>空運</x:v>
      </x:c>
      <x:c r="M287" t="n">
        <x:v>0</x:v>
      </x:c>
      <x:c r="N287" t="str">
        <x:v>是</x:v>
      </x:c>
      <x:c r="O287" t="n">
        <x:v>0</x:v>
      </x:c>
      <x:c r="P287"/>
    </x:row>
    <x:row r="288" ht="20" customHeight="1">
      <x:c r="A288" t="str">
        <x:v>SH000287</x:v>
      </x:c>
      <x:c r="B288" t="str">
        <x:v>SO00197-01</x:v>
      </x:c>
      <x:c r="C288" t="str">
        <x:v>WO00288</x:v>
      </x:c>
      <x:c r="D288" t="str">
        <x:v>LOT00288</x:v>
      </x:c>
      <x:c r="E288" t="str">
        <x:v>EMS-007</x:v>
      </x:c>
      <x:c r="F288" t="str">
        <x:v>MECH-STG-B</x:v>
      </x:c>
      <x:c r="G288" s="20" t="n">
        <x:v>45547</x:v>
      </x:c>
      <x:c r="H288" s="20" t="n">
        <x:v>45545</x:v>
      </x:c>
      <x:c r="I288" s="20" t="n">
        <x:v>45548</x:v>
      </x:c>
      <x:c r="J288" t="n">
        <x:v>17</x:v>
      </x:c>
      <x:c r="K288" t="n">
        <x:v>202654.15</x:v>
      </x:c>
      <x:c r="L288" t="str">
        <x:v>空運</x:v>
      </x:c>
      <x:c r="M288" t="n">
        <x:v>1</x:v>
      </x:c>
      <x:c r="N288" t="str">
        <x:v>否</x:v>
      </x:c>
      <x:c r="O288" t="n">
        <x:v>0</x:v>
      </x:c>
      <x:c r="P288"/>
    </x:row>
    <x:row r="289" ht="20" customHeight="1">
      <x:c r="A289" t="str">
        <x:v>SH000288</x:v>
      </x:c>
      <x:c r="B289" t="str">
        <x:v>SO00197-01</x:v>
      </x:c>
      <x:c r="C289" t="str">
        <x:v>WO00287</x:v>
      </x:c>
      <x:c r="D289" t="str">
        <x:v>LOT00287</x:v>
      </x:c>
      <x:c r="E289" t="str">
        <x:v>EMS-007</x:v>
      </x:c>
      <x:c r="F289" t="str">
        <x:v>MECH-STG-B</x:v>
      </x:c>
      <x:c r="G289" s="20" t="n">
        <x:v>45547</x:v>
      </x:c>
      <x:c r="H289" s="20" t="n">
        <x:v>45544</x:v>
      </x:c>
      <x:c r="I289" s="20" t="n">
        <x:v>45549</x:v>
      </x:c>
      <x:c r="J289" t="n">
        <x:v>17</x:v>
      </x:c>
      <x:c r="K289" t="n">
        <x:v>202654.15</x:v>
      </x:c>
      <x:c r="L289" t="str">
        <x:v>空運</x:v>
      </x:c>
      <x:c r="M289" t="n">
        <x:v>2</x:v>
      </x:c>
      <x:c r="N289" t="str">
        <x:v>否</x:v>
      </x:c>
      <x:c r="O289" t="n">
        <x:v>0</x:v>
      </x:c>
      <x:c r="P289"/>
    </x:row>
    <x:row r="290" ht="20" customHeight="1">
      <x:c r="A290" t="str">
        <x:v>SH000289</x:v>
      </x:c>
      <x:c r="B290" t="str">
        <x:v>SO00197-01</x:v>
      </x:c>
      <x:c r="C290" t="str">
        <x:v>WO00289</x:v>
      </x:c>
      <x:c r="D290" t="str">
        <x:v>LOT00289</x:v>
      </x:c>
      <x:c r="E290" t="str">
        <x:v>EMS-007</x:v>
      </x:c>
      <x:c r="F290" t="str">
        <x:v>MECH-STG-B</x:v>
      </x:c>
      <x:c r="G290" s="20" t="n">
        <x:v>45547</x:v>
      </x:c>
      <x:c r="H290" s="20" t="n">
        <x:v>45545</x:v>
      </x:c>
      <x:c r="I290" s="20" t="n">
        <x:v>45550</x:v>
      </x:c>
      <x:c r="J290" t="n">
        <x:v>16</x:v>
      </x:c>
      <x:c r="K290" t="n">
        <x:v>202654.15</x:v>
      </x:c>
      <x:c r="L290" t="str">
        <x:v>陸運</x:v>
      </x:c>
      <x:c r="M290" t="n">
        <x:v>3</x:v>
      </x:c>
      <x:c r="N290" t="str">
        <x:v>否</x:v>
      </x:c>
      <x:c r="O290" t="n">
        <x:v>0</x:v>
      </x:c>
      <x:c r="P290"/>
    </x:row>
    <x:row r="291" ht="20" customHeight="1">
      <x:c r="A291" t="str">
        <x:v>SH000290</x:v>
      </x:c>
      <x:c r="B291" t="str">
        <x:v>SO00198-01</x:v>
      </x:c>
      <x:c r="C291" t="str">
        <x:v>WO00290</x:v>
      </x:c>
      <x:c r="D291" t="str">
        <x:v>LOT00290</x:v>
      </x:c>
      <x:c r="E291" t="str">
        <x:v>IAT-010</x:v>
      </x:c>
      <x:c r="F291" t="str">
        <x:v>SEMI-WH-A</x:v>
      </x:c>
      <x:c r="G291" s="20" t="n">
        <x:v>45563</x:v>
      </x:c>
      <x:c r="H291" s="20" t="n">
        <x:v>45562</x:v>
      </x:c>
      <x:c r="I291" s="20" t="n">
        <x:v>45566</x:v>
      </x:c>
      <x:c r="J291" t="n">
        <x:v>78</x:v>
      </x:c>
      <x:c r="K291" t="n">
        <x:v>112575.69</x:v>
      </x:c>
      <x:c r="L291" t="str">
        <x:v>海運</x:v>
      </x:c>
      <x:c r="M291" t="n">
        <x:v>3</x:v>
      </x:c>
      <x:c r="N291" t="str">
        <x:v>否</x:v>
      </x:c>
      <x:c r="O291" t="n">
        <x:v>0</x:v>
      </x:c>
      <x:c r="P291"/>
    </x:row>
    <x:row r="292" ht="20" customHeight="1">
      <x:c r="A292" t="str">
        <x:v>SH000291</x:v>
      </x:c>
      <x:c r="B292" t="str">
        <x:v>SO00198-01</x:v>
      </x:c>
      <x:c r="C292" t="str">
        <x:v>WO00291</x:v>
      </x:c>
      <x:c r="D292" t="str">
        <x:v>LOT00291</x:v>
      </x:c>
      <x:c r="E292" t="str">
        <x:v>IAT-010</x:v>
      </x:c>
      <x:c r="F292" t="str">
        <x:v>SEMI-WH-A</x:v>
      </x:c>
      <x:c r="G292" s="20" t="n">
        <x:v>45563</x:v>
      </x:c>
      <x:c r="H292" s="20" t="n">
        <x:v>45571</x:v>
      </x:c>
      <x:c r="I292" s="20" t="n">
        <x:v>45573</x:v>
      </x:c>
      <x:c r="J292" t="n">
        <x:v>78</x:v>
      </x:c>
      <x:c r="K292" t="n">
        <x:v>112575.69</x:v>
      </x:c>
      <x:c r="L292" t="str">
        <x:v>空運</x:v>
      </x:c>
      <x:c r="M292" t="n">
        <x:v>10</x:v>
      </x:c>
      <x:c r="N292" t="str">
        <x:v>否</x:v>
      </x:c>
      <x:c r="O292" t="n">
        <x:v>0</x:v>
      </x:c>
      <x:c r="P292"/>
    </x:row>
    <x:row r="293" ht="20" customHeight="1">
      <x:c r="A293" t="str">
        <x:v>SH000292</x:v>
      </x:c>
      <x:c r="B293" t="str">
        <x:v>SO00199-01</x:v>
      </x:c>
      <x:c r="C293" t="str">
        <x:v>WO00292</x:v>
      </x:c>
      <x:c r="D293" t="str">
        <x:v>LOT00292</x:v>
      </x:c>
      <x:c r="E293" t="str">
        <x:v>AUT-010</x:v>
      </x:c>
      <x:c r="F293" t="str">
        <x:v>AUTO-LG-A</x:v>
      </x:c>
      <x:c r="G293" s="20" t="n">
        <x:v>45507</x:v>
      </x:c>
      <x:c r="H293" s="20" t="n">
        <x:v>45506</x:v>
      </x:c>
      <x:c r="I293" s="20" t="n">
        <x:v>45508</x:v>
      </x:c>
      <x:c r="J293" t="n">
        <x:v>6952</x:v>
      </x:c>
      <x:c r="K293" t="n">
        <x:v>1072.26</x:v>
      </x:c>
      <x:c r="L293" t="str">
        <x:v>海運</x:v>
      </x:c>
      <x:c r="M293" t="n">
        <x:v>1</x:v>
      </x:c>
      <x:c r="N293" t="str">
        <x:v>否</x:v>
      </x:c>
      <x:c r="O293" t="n">
        <x:v>0</x:v>
      </x:c>
      <x:c r="P293"/>
    </x:row>
    <x:row r="294" ht="20" customHeight="1">
      <x:c r="A294" t="str">
        <x:v>SH000293</x:v>
      </x:c>
      <x:c r="B294" t="str">
        <x:v>SO00200-01</x:v>
      </x:c>
      <x:c r="C294" t="str">
        <x:v>WO00293</x:v>
      </x:c>
      <x:c r="D294" t="str">
        <x:v>LOT00293</x:v>
      </x:c>
      <x:c r="E294" t="str">
        <x:v>IAT-004</x:v>
      </x:c>
      <x:c r="F294" t="str">
        <x:v>AUTO-BRK-B</x:v>
      </x:c>
      <x:c r="G294" s="20" t="n">
        <x:v>45522</x:v>
      </x:c>
      <x:c r="H294" s="20" t="n">
        <x:v>45525</x:v>
      </x:c>
      <x:c r="I294" s="20" t="n">
        <x:v>45526</x:v>
      </x:c>
      <x:c r="J294" t="n">
        <x:v>6946</x:v>
      </x:c>
      <x:c r="K294" t="n">
        <x:v>1952.95</x:v>
      </x:c>
      <x:c r="L294" t="str">
        <x:v>空運</x:v>
      </x:c>
      <x:c r="M294" t="n">
        <x:v>4</x:v>
      </x:c>
      <x:c r="N294" t="str">
        <x:v>否</x:v>
      </x:c>
      <x:c r="O294" t="n">
        <x:v>0</x:v>
      </x:c>
      <x:c r="P294"/>
    </x:row>
    <x:row r="295" ht="20" customHeight="1">
      <x:c r="A295" t="str">
        <x:v>SH000294</x:v>
      </x:c>
      <x:c r="B295" t="str">
        <x:v>SO00201-01</x:v>
      </x:c>
      <x:c r="C295" t="str">
        <x:v>WO00294</x:v>
      </x:c>
      <x:c r="D295" t="str">
        <x:v>LOT00294</x:v>
      </x:c>
      <x:c r="E295" t="str">
        <x:v>EMS-001</x:v>
      </x:c>
      <x:c r="F295" t="str">
        <x:v>AUTO-KN-A</x:v>
      </x:c>
      <x:c r="G295" s="20" t="n">
        <x:v>45527</x:v>
      </x:c>
      <x:c r="H295" s="20" t="n">
        <x:v>45524</x:v>
      </x:c>
      <x:c r="I295" s="20" t="n">
        <x:v>45528</x:v>
      </x:c>
      <x:c r="J295" t="n">
        <x:v>4945</x:v>
      </x:c>
      <x:c r="K295" t="n">
        <x:v>3182.15</x:v>
      </x:c>
      <x:c r="L295" t="str">
        <x:v>空運</x:v>
      </x:c>
      <x:c r="M295" t="n">
        <x:v>1</x:v>
      </x:c>
      <x:c r="N295" t="str">
        <x:v>否</x:v>
      </x:c>
      <x:c r="O295" t="n">
        <x:v>0</x:v>
      </x:c>
      <x:c r="P295"/>
    </x:row>
    <x:row r="296" ht="20" customHeight="1">
      <x:c r="A296" t="str">
        <x:v>SH000295</x:v>
      </x:c>
      <x:c r="B296" t="str">
        <x:v>SO00202-01</x:v>
      </x:c>
      <x:c r="C296" t="str">
        <x:v>WO00295</x:v>
      </x:c>
      <x:c r="D296" t="str">
        <x:v>LOT00295</x:v>
      </x:c>
      <x:c r="E296" t="str">
        <x:v>SEM-007</x:v>
      </x:c>
      <x:c r="F296" t="str">
        <x:v>PM-ALB-A</x:v>
      </x:c>
      <x:c r="G296" s="20" t="n">
        <x:v>45515</x:v>
      </x:c>
      <x:c r="H296" s="20" t="n">
        <x:v>45514</x:v>
      </x:c>
      <x:c r="I296" s="20" t="n">
        <x:v>45518</x:v>
      </x:c>
      <x:c r="J296" t="n">
        <x:v>591</x:v>
      </x:c>
      <x:c r="K296" t="n">
        <x:v>11384.57</x:v>
      </x:c>
      <x:c r="L296" t="str">
        <x:v>陸運</x:v>
      </x:c>
      <x:c r="M296" t="n">
        <x:v>3</x:v>
      </x:c>
      <x:c r="N296" t="str">
        <x:v>否</x:v>
      </x:c>
      <x:c r="O296" t="n">
        <x:v>0</x:v>
      </x:c>
      <x:c r="P296"/>
    </x:row>
    <x:row r="297" ht="20" customHeight="1">
      <x:c r="A297" t="str">
        <x:v>SH000296</x:v>
      </x:c>
      <x:c r="B297" t="str">
        <x:v>SO00202-01</x:v>
      </x:c>
      <x:c r="C297" t="str">
        <x:v>WO00296</x:v>
      </x:c>
      <x:c r="D297" t="str">
        <x:v>LOT00296</x:v>
      </x:c>
      <x:c r="E297" t="str">
        <x:v>SEM-007</x:v>
      </x:c>
      <x:c r="F297" t="str">
        <x:v>PM-ALB-A</x:v>
      </x:c>
      <x:c r="G297" s="20" t="n">
        <x:v>45515</x:v>
      </x:c>
      <x:c r="H297" s="20" t="n">
        <x:v>45515</x:v>
      </x:c>
      <x:c r="I297" s="20" t="n">
        <x:v>45516</x:v>
      </x:c>
      <x:c r="J297" t="n">
        <x:v>592</x:v>
      </x:c>
      <x:c r="K297" t="n">
        <x:v>11384.57</x:v>
      </x:c>
      <x:c r="L297" t="str">
        <x:v>海運</x:v>
      </x:c>
      <x:c r="M297" t="n">
        <x:v>1</x:v>
      </x:c>
      <x:c r="N297" t="str">
        <x:v>否</x:v>
      </x:c>
      <x:c r="O297" t="n">
        <x:v>4</x:v>
      </x:c>
      <x:c r="P297" t="str">
        <x:v>包裝破損</x:v>
      </x:c>
    </x:row>
    <x:row r="298" ht="20" customHeight="1">
      <x:c r="A298" t="str">
        <x:v>SH000297</x:v>
      </x:c>
      <x:c r="B298" t="str">
        <x:v>SO00203-01</x:v>
      </x:c>
      <x:c r="C298" t="str">
        <x:v>WO00297</x:v>
      </x:c>
      <x:c r="D298" t="str">
        <x:v>LOT00297</x:v>
      </x:c>
      <x:c r="E298" t="str">
        <x:v>IAT-001</x:v>
      </x:c>
      <x:c r="F298" t="str">
        <x:v>AUTO-FL-B</x:v>
      </x:c>
      <x:c r="G298" s="20" t="n">
        <x:v>45508</x:v>
      </x:c>
      <x:c r="H298" s="20" t="n">
        <x:v>45505</x:v>
      </x:c>
      <x:c r="I298" s="20" t="n">
        <x:v>45510</x:v>
      </x:c>
      <x:c r="J298" t="n">
        <x:v>6836</x:v>
      </x:c>
      <x:c r="K298" t="n">
        <x:v>1434.55</x:v>
      </x:c>
      <x:c r="L298" t="str">
        <x:v>陸運</x:v>
      </x:c>
      <x:c r="M298" t="n">
        <x:v>2</x:v>
      </x:c>
      <x:c r="N298" t="str">
        <x:v>否</x:v>
      </x:c>
      <x:c r="O298" t="n">
        <x:v>0</x:v>
      </x:c>
      <x:c r="P298"/>
    </x:row>
    <x:row r="299" ht="20" customHeight="1">
      <x:c r="A299" t="str">
        <x:v>SH000298</x:v>
      </x:c>
      <x:c r="B299" t="str">
        <x:v>SO00204-01</x:v>
      </x:c>
      <x:c r="C299" t="str">
        <x:v>WO00298</x:v>
      </x:c>
      <x:c r="D299" t="str">
        <x:v>LOT00298</x:v>
      </x:c>
      <x:c r="E299" t="str">
        <x:v>IAT-004</x:v>
      </x:c>
      <x:c r="F299" t="str">
        <x:v>PM-BRG-A</x:v>
      </x:c>
      <x:c r="G299" s="20" t="n">
        <x:v>45506</x:v>
      </x:c>
      <x:c r="H299" s="20" t="n">
        <x:v>45502</x:v>
      </x:c>
      <x:c r="I299" s="20" t="n">
        <x:v>45504</x:v>
      </x:c>
      <x:c r="J299" t="n">
        <x:v>780</x:v>
      </x:c>
      <x:c r="K299" t="n">
        <x:v>7181.22</x:v>
      </x:c>
      <x:c r="L299" t="str">
        <x:v>海運</x:v>
      </x:c>
      <x:c r="M299" t="n">
        <x:v>0</x:v>
      </x:c>
      <x:c r="N299" t="str">
        <x:v>是</x:v>
      </x:c>
      <x:c r="O299" t="n">
        <x:v>0</x:v>
      </x:c>
      <x:c r="P299"/>
    </x:row>
    <x:row r="300" ht="20" customHeight="1">
      <x:c r="A300" t="str">
        <x:v>SH000299</x:v>
      </x:c>
      <x:c r="B300" t="str">
        <x:v>SO00204-01</x:v>
      </x:c>
      <x:c r="C300" t="str">
        <x:v>WO00299</x:v>
      </x:c>
      <x:c r="D300" t="str">
        <x:v>LOT00299</x:v>
      </x:c>
      <x:c r="E300" t="str">
        <x:v>IAT-004</x:v>
      </x:c>
      <x:c r="F300" t="str">
        <x:v>PM-BRG-A</x:v>
      </x:c>
      <x:c r="G300" s="20" t="n">
        <x:v>45506</x:v>
      </x:c>
      <x:c r="H300" s="20" t="n">
        <x:v>45504</x:v>
      </x:c>
      <x:c r="I300" s="20" t="n">
        <x:v>45505</x:v>
      </x:c>
      <x:c r="J300" t="n">
        <x:v>786</x:v>
      </x:c>
      <x:c r="K300" t="n">
        <x:v>7181.22</x:v>
      </x:c>
      <x:c r="L300" t="str">
        <x:v>陸運</x:v>
      </x:c>
      <x:c r="M300" t="n">
        <x:v>0</x:v>
      </x:c>
      <x:c r="N300" t="str">
        <x:v>是</x:v>
      </x:c>
      <x:c r="O300" t="n">
        <x:v>0</x:v>
      </x:c>
      <x:c r="P300"/>
    </x:row>
    <x:row r="301" ht="20" customHeight="1">
      <x:c r="A301" t="str">
        <x:v>SH000300</x:v>
      </x:c>
      <x:c r="B301" t="str">
        <x:v>SO00205-01</x:v>
      </x:c>
      <x:c r="C301" t="str">
        <x:v>WO00301</x:v>
      </x:c>
      <x:c r="D301" t="str">
        <x:v>LOT00301</x:v>
      </x:c>
      <x:c r="E301" t="str">
        <x:v>EMS-004</x:v>
      </x:c>
      <x:c r="F301" t="str">
        <x:v>SEMI-WH-A</x:v>
      </x:c>
      <x:c r="G301" s="20" t="n">
        <x:v>45556</x:v>
      </x:c>
      <x:c r="H301" s="20" t="n">
        <x:v>45552</x:v>
      </x:c>
      <x:c r="I301" s="20" t="n">
        <x:v>45555</x:v>
      </x:c>
      <x:c r="J301" t="n">
        <x:v>58</x:v>
      </x:c>
      <x:c r="K301" t="n">
        <x:v>112926.6</x:v>
      </x:c>
      <x:c r="L301" t="str">
        <x:v>海運</x:v>
      </x:c>
      <x:c r="M301" t="n">
        <x:v>0</x:v>
      </x:c>
      <x:c r="N301" t="str">
        <x:v>是</x:v>
      </x:c>
      <x:c r="O301" t="n">
        <x:v>0</x:v>
      </x:c>
      <x:c r="P301"/>
    </x:row>
    <x:row r="302" ht="20" customHeight="1">
      <x:c r="A302" t="str">
        <x:v>SH000301</x:v>
      </x:c>
      <x:c r="B302" t="str">
        <x:v>SO00205-01</x:v>
      </x:c>
      <x:c r="C302" t="str">
        <x:v>WO00300</x:v>
      </x:c>
      <x:c r="D302" t="str">
        <x:v>LOT00300</x:v>
      </x:c>
      <x:c r="E302" t="str">
        <x:v>EMS-004</x:v>
      </x:c>
      <x:c r="F302" t="str">
        <x:v>SEMI-WH-A</x:v>
      </x:c>
      <x:c r="G302" s="20" t="n">
        <x:v>45556</x:v>
      </x:c>
      <x:c r="H302" s="20" t="n">
        <x:v>45558</x:v>
      </x:c>
      <x:c r="I302" s="20" t="n">
        <x:v>45561</x:v>
      </x:c>
      <x:c r="J302" t="n">
        <x:v>59</x:v>
      </x:c>
      <x:c r="K302" t="n">
        <x:v>112926.6</x:v>
      </x:c>
      <x:c r="L302" t="str">
        <x:v>陸運</x:v>
      </x:c>
      <x:c r="M302" t="n">
        <x:v>5</x:v>
      </x:c>
      <x:c r="N302" t="str">
        <x:v>否</x:v>
      </x:c>
      <x:c r="O302" t="n">
        <x:v>0</x:v>
      </x:c>
      <x:c r="P302"/>
    </x:row>
    <x:row r="303" ht="20" customHeight="1">
      <x:c r="A303" t="str">
        <x:v>SH000302</x:v>
      </x:c>
      <x:c r="B303" t="str">
        <x:v>SO00206-01</x:v>
      </x:c>
      <x:c r="C303" t="str">
        <x:v>WO00302</x:v>
      </x:c>
      <x:c r="D303" t="str">
        <x:v>LOT00302</x:v>
      </x:c>
      <x:c r="E303" t="str">
        <x:v>AUT-008</x:v>
      </x:c>
      <x:c r="F303" t="str">
        <x:v>AUTO-FL-B</x:v>
      </x:c>
      <x:c r="G303" s="20" t="n">
        <x:v>45520</x:v>
      </x:c>
      <x:c r="H303" s="20" t="n">
        <x:v>45518</x:v>
      </x:c>
      <x:c r="I303" s="20" t="n">
        <x:v>45523</x:v>
      </x:c>
      <x:c r="J303" t="n">
        <x:v>6934</x:v>
      </x:c>
      <x:c r="K303" t="n">
        <x:v>1512.74</x:v>
      </x:c>
      <x:c r="L303" t="str">
        <x:v>空運</x:v>
      </x:c>
      <x:c r="M303" t="n">
        <x:v>3</x:v>
      </x:c>
      <x:c r="N303" t="str">
        <x:v>否</x:v>
      </x:c>
      <x:c r="O303" t="n">
        <x:v>0</x:v>
      </x:c>
      <x:c r="P303"/>
    </x:row>
    <x:row r="304" ht="20" customHeight="1">
      <x:c r="A304" t="str">
        <x:v>SH000303</x:v>
      </x:c>
      <x:c r="B304" t="str">
        <x:v>SO00207-01</x:v>
      </x:c>
      <x:c r="C304" t="str">
        <x:v>WO00303</x:v>
      </x:c>
      <x:c r="D304" t="str">
        <x:v>LOT00303</x:v>
      </x:c>
      <x:c r="E304" t="str">
        <x:v>SEM-010</x:v>
      </x:c>
      <x:c r="F304" t="str">
        <x:v>PM-ALB-B</x:v>
      </x:c>
      <x:c r="G304" s="20" t="n">
        <x:v>45545</x:v>
      </x:c>
      <x:c r="H304" s="20" t="n">
        <x:v>45542</x:v>
      </x:c>
      <x:c r="I304" s="20" t="n">
        <x:v>45544</x:v>
      </x:c>
      <x:c r="J304" t="n">
        <x:v>788</x:v>
      </x:c>
      <x:c r="K304" t="n">
        <x:v>16221.19</x:v>
      </x:c>
      <x:c r="L304" t="str">
        <x:v>空運</x:v>
      </x:c>
      <x:c r="M304" t="n">
        <x:v>0</x:v>
      </x:c>
      <x:c r="N304" t="str">
        <x:v>是</x:v>
      </x:c>
      <x:c r="O304" t="n">
        <x:v>0</x:v>
      </x:c>
      <x:c r="P304"/>
    </x:row>
    <x:row r="305" ht="20" customHeight="1">
      <x:c r="A305" t="str">
        <x:v>SH000304</x:v>
      </x:c>
      <x:c r="B305" t="str">
        <x:v>SO00207-01</x:v>
      </x:c>
      <x:c r="C305" t="str">
        <x:v>WO00304</x:v>
      </x:c>
      <x:c r="D305" t="str">
        <x:v>LOT00304</x:v>
      </x:c>
      <x:c r="E305" t="str">
        <x:v>SEM-010</x:v>
      </x:c>
      <x:c r="F305" t="str">
        <x:v>PM-ALB-B</x:v>
      </x:c>
      <x:c r="G305" s="20" t="n">
        <x:v>45545</x:v>
      </x:c>
      <x:c r="H305" s="20" t="n">
        <x:v>45541</x:v>
      </x:c>
      <x:c r="I305" s="20" t="n">
        <x:v>45542</x:v>
      </x:c>
      <x:c r="J305" t="n">
        <x:v>784</x:v>
      </x:c>
      <x:c r="K305" t="n">
        <x:v>16221.19</x:v>
      </x:c>
      <x:c r="L305" t="str">
        <x:v>海運</x:v>
      </x:c>
      <x:c r="M305" t="n">
        <x:v>0</x:v>
      </x:c>
      <x:c r="N305" t="str">
        <x:v>是</x:v>
      </x:c>
      <x:c r="O305" t="n">
        <x:v>0</x:v>
      </x:c>
      <x:c r="P305"/>
    </x:row>
    <x:row r="306" ht="20" customHeight="1">
      <x:c r="A306" t="str">
        <x:v>SH000305</x:v>
      </x:c>
      <x:c r="B306" t="str">
        <x:v>SO00208-01</x:v>
      </x:c>
      <x:c r="C306" t="str">
        <x:v>WO00305</x:v>
      </x:c>
      <x:c r="D306" t="str">
        <x:v>LOT00305</x:v>
      </x:c>
      <x:c r="E306" t="str">
        <x:v>AUT-012</x:v>
      </x:c>
      <x:c r="F306" t="str">
        <x:v>MECH-STG-B</x:v>
      </x:c>
      <x:c r="G306" s="20" t="n">
        <x:v>45548</x:v>
      </x:c>
      <x:c r="H306" s="20" t="n">
        <x:v>45553</x:v>
      </x:c>
      <x:c r="I306" s="20" t="n">
        <x:v>45555</x:v>
      </x:c>
      <x:c r="J306" t="n">
        <x:v>10</x:v>
      </x:c>
      <x:c r="K306" t="n">
        <x:v>195136.21</x:v>
      </x:c>
      <x:c r="L306" t="str">
        <x:v>空運</x:v>
      </x:c>
      <x:c r="M306" t="n">
        <x:v>7</x:v>
      </x:c>
      <x:c r="N306" t="str">
        <x:v>否</x:v>
      </x:c>
      <x:c r="O306" t="n">
        <x:v>0</x:v>
      </x:c>
      <x:c r="P306"/>
    </x:row>
    <x:row r="307" ht="20" customHeight="1">
      <x:c r="A307" t="str">
        <x:v>SH000306</x:v>
      </x:c>
      <x:c r="B307" t="str">
        <x:v>SO00209-01</x:v>
      </x:c>
      <x:c r="C307" t="str">
        <x:v>WO00306</x:v>
      </x:c>
      <x:c r="D307" t="str">
        <x:v>LOT00306</x:v>
      </x:c>
      <x:c r="E307" t="str">
        <x:v>IAT-006</x:v>
      </x:c>
      <x:c r="F307" t="str">
        <x:v>AUTO-BS-A</x:v>
      </x:c>
      <x:c r="G307" s="20" t="n">
        <x:v>45513</x:v>
      </x:c>
      <x:c r="H307" s="20" t="n">
        <x:v>45515</x:v>
      </x:c>
      <x:c r="I307" s="20" t="n">
        <x:v>45520</x:v>
      </x:c>
      <x:c r="J307" t="n">
        <x:v>6841</x:v>
      </x:c>
      <x:c r="K307" t="n">
        <x:v>744.24</x:v>
      </x:c>
      <x:c r="L307" t="str">
        <x:v>陸運</x:v>
      </x:c>
      <x:c r="M307" t="n">
        <x:v>7</x:v>
      </x:c>
      <x:c r="N307" t="str">
        <x:v>否</x:v>
      </x:c>
      <x:c r="O307" t="n">
        <x:v>0</x:v>
      </x:c>
      <x:c r="P307"/>
    </x:row>
    <x:row r="308" ht="20" customHeight="1">
      <x:c r="A308" t="str">
        <x:v>SH000307</x:v>
      </x:c>
      <x:c r="B308" t="str">
        <x:v>SO00210-01</x:v>
      </x:c>
      <x:c r="C308" t="str">
        <x:v>WO00308</x:v>
      </x:c>
      <x:c r="D308" t="str">
        <x:v>LOT00308</x:v>
      </x:c>
      <x:c r="E308" t="str">
        <x:v>SEM-001</x:v>
      </x:c>
      <x:c r="F308" t="str">
        <x:v>PM-ALB-B</x:v>
      </x:c>
      <x:c r="G308" s="20" t="n">
        <x:v>45525</x:v>
      </x:c>
      <x:c r="H308" s="20" t="n">
        <x:v>45525</x:v>
      </x:c>
      <x:c r="I308" s="20" t="n">
        <x:v>45526</x:v>
      </x:c>
      <x:c r="J308" t="n">
        <x:v>591</x:v>
      </x:c>
      <x:c r="K308" t="n">
        <x:v>16386.7</x:v>
      </x:c>
      <x:c r="L308" t="str">
        <x:v>陸運</x:v>
      </x:c>
      <x:c r="M308" t="n">
        <x:v>1</x:v>
      </x:c>
      <x:c r="N308" t="str">
        <x:v>否</x:v>
      </x:c>
      <x:c r="O308" t="n">
        <x:v>0</x:v>
      </x:c>
      <x:c r="P308"/>
    </x:row>
    <x:row r="309" ht="20" customHeight="1">
      <x:c r="A309" t="str">
        <x:v>SH000308</x:v>
      </x:c>
      <x:c r="B309" t="str">
        <x:v>SO00210-01</x:v>
      </x:c>
      <x:c r="C309" t="str">
        <x:v>WO00307</x:v>
      </x:c>
      <x:c r="D309" t="str">
        <x:v>LOT00307</x:v>
      </x:c>
      <x:c r="E309" t="str">
        <x:v>SEM-001</x:v>
      </x:c>
      <x:c r="F309" t="str">
        <x:v>PM-ALB-B</x:v>
      </x:c>
      <x:c r="G309" s="20" t="n">
        <x:v>45525</x:v>
      </x:c>
      <x:c r="H309" s="20" t="n">
        <x:v>45529</x:v>
      </x:c>
      <x:c r="I309" s="20" t="n">
        <x:v>45532</x:v>
      </x:c>
      <x:c r="J309" t="n">
        <x:v>587</x:v>
      </x:c>
      <x:c r="K309" t="n">
        <x:v>16386.7</x:v>
      </x:c>
      <x:c r="L309" t="str">
        <x:v>空運</x:v>
      </x:c>
      <x:c r="M309" t="n">
        <x:v>7</x:v>
      </x:c>
      <x:c r="N309" t="str">
        <x:v>否</x:v>
      </x:c>
      <x:c r="O309" t="n">
        <x:v>0</x:v>
      </x:c>
      <x:c r="P309"/>
    </x:row>
    <x:row r="310" ht="20" customHeight="1">
      <x:c r="A310" t="str">
        <x:v>SH000309</x:v>
      </x:c>
      <x:c r="B310" t="str">
        <x:v>SO00211-01</x:v>
      </x:c>
      <x:c r="C310" t="str">
        <x:v>WO00309</x:v>
      </x:c>
      <x:c r="D310" t="str">
        <x:v>LOT00309</x:v>
      </x:c>
      <x:c r="E310" t="str">
        <x:v>AUT-014</x:v>
      </x:c>
      <x:c r="F310" t="str">
        <x:v>PM-BRG-A</x:v>
      </x:c>
      <x:c r="G310" s="20" t="n">
        <x:v>45531</x:v>
      </x:c>
      <x:c r="H310" s="20" t="n">
        <x:v>45531</x:v>
      </x:c>
      <x:c r="I310" s="20" t="n">
        <x:v>45534</x:v>
      </x:c>
      <x:c r="J310" t="n">
        <x:v>486</x:v>
      </x:c>
      <x:c r="K310" t="n">
        <x:v>6110.6</x:v>
      </x:c>
      <x:c r="L310" t="str">
        <x:v>陸運</x:v>
      </x:c>
      <x:c r="M310" t="n">
        <x:v>3</x:v>
      </x:c>
      <x:c r="N310" t="str">
        <x:v>否</x:v>
      </x:c>
      <x:c r="O310" t="n">
        <x:v>0</x:v>
      </x:c>
      <x:c r="P310"/>
    </x:row>
    <x:row r="311" ht="20" customHeight="1">
      <x:c r="A311" t="str">
        <x:v>SH000310</x:v>
      </x:c>
      <x:c r="B311" t="str">
        <x:v>SO00212-01</x:v>
      </x:c>
      <x:c r="C311" t="str">
        <x:v>WO00310</x:v>
      </x:c>
      <x:c r="D311" t="str">
        <x:v>LOT00310</x:v>
      </x:c>
      <x:c r="E311" t="str">
        <x:v>SEM-007</x:v>
      </x:c>
      <x:c r="F311" t="str">
        <x:v>MECH-CON-A</x:v>
      </x:c>
      <x:c r="G311" s="20" t="n">
        <x:v>45553</x:v>
      </x:c>
      <x:c r="H311" s="20" t="n">
        <x:v>45550</x:v>
      </x:c>
      <x:c r="I311" s="20" t="n">
        <x:v>45551</x:v>
      </x:c>
      <x:c r="J311" t="n">
        <x:v>20</x:v>
      </x:c>
      <x:c r="K311" t="n">
        <x:v>116931.62</x:v>
      </x:c>
      <x:c r="L311" t="str">
        <x:v>陸運</x:v>
      </x:c>
      <x:c r="M311" t="n">
        <x:v>0</x:v>
      </x:c>
      <x:c r="N311" t="str">
        <x:v>是</x:v>
      </x:c>
      <x:c r="O311" t="n">
        <x:v>0</x:v>
      </x:c>
      <x:c r="P311"/>
    </x:row>
    <x:row r="312" ht="20" customHeight="1">
      <x:c r="A312" t="str">
        <x:v>SH000311</x:v>
      </x:c>
      <x:c r="B312" t="str">
        <x:v>SO00212-01</x:v>
      </x:c>
      <x:c r="C312" t="str">
        <x:v>WO00311</x:v>
      </x:c>
      <x:c r="D312" t="str">
        <x:v>LOT00311</x:v>
      </x:c>
      <x:c r="E312" t="str">
        <x:v>SEM-007</x:v>
      </x:c>
      <x:c r="F312" t="str">
        <x:v>MECH-CON-A</x:v>
      </x:c>
      <x:c r="G312" s="20" t="n">
        <x:v>45553</x:v>
      </x:c>
      <x:c r="H312" s="20" t="n">
        <x:v>45553</x:v>
      </x:c>
      <x:c r="I312" s="20" t="n">
        <x:v>45558</x:v>
      </x:c>
      <x:c r="J312" t="n">
        <x:v>20</x:v>
      </x:c>
      <x:c r="K312" t="n">
        <x:v>116931.62</x:v>
      </x:c>
      <x:c r="L312" t="str">
        <x:v>海運</x:v>
      </x:c>
      <x:c r="M312" t="n">
        <x:v>5</x:v>
      </x:c>
      <x:c r="N312" t="str">
        <x:v>否</x:v>
      </x:c>
      <x:c r="O312" t="n">
        <x:v>0</x:v>
      </x:c>
      <x:c r="P312"/>
    </x:row>
    <x:row r="313" ht="20" customHeight="1">
      <x:c r="A313" t="str">
        <x:v>SH000312</x:v>
      </x:c>
      <x:c r="B313" t="str">
        <x:v>SO00213-01</x:v>
      </x:c>
      <x:c r="C313" t="str">
        <x:v>WO00312</x:v>
      </x:c>
      <x:c r="D313" t="str">
        <x:v>LOT00312</x:v>
      </x:c>
      <x:c r="E313" t="str">
        <x:v>IAT-010</x:v>
      </x:c>
      <x:c r="F313" t="str">
        <x:v>AUTO-KN-A</x:v>
      </x:c>
      <x:c r="G313" s="20" t="n">
        <x:v>45559</x:v>
      </x:c>
      <x:c r="H313" s="20" t="n">
        <x:v>45553</x:v>
      </x:c>
      <x:c r="I313" s="20" t="n">
        <x:v>45555</x:v>
      </x:c>
      <x:c r="J313" t="n">
        <x:v>4962</x:v>
      </x:c>
      <x:c r="K313" t="n">
        <x:v>3056.9</x:v>
      </x:c>
      <x:c r="L313" t="str">
        <x:v>陸運</x:v>
      </x:c>
      <x:c r="M313" t="n">
        <x:v>0</x:v>
      </x:c>
      <x:c r="N313" t="str">
        <x:v>是</x:v>
      </x:c>
      <x:c r="O313" t="n">
        <x:v>0</x:v>
      </x:c>
      <x:c r="P313"/>
    </x:row>
    <x:row r="314" ht="20" customHeight="1">
      <x:c r="A314" t="str">
        <x:v>SH000313</x:v>
      </x:c>
      <x:c r="B314" t="str">
        <x:v>SO00213-01</x:v>
      </x:c>
      <x:c r="C314" t="str">
        <x:v>WO00313</x:v>
      </x:c>
      <x:c r="D314" t="str">
        <x:v>LOT00313</x:v>
      </x:c>
      <x:c r="E314" t="str">
        <x:v>IAT-010</x:v>
      </x:c>
      <x:c r="F314" t="str">
        <x:v>AUTO-KN-A</x:v>
      </x:c>
      <x:c r="G314" s="20" t="n">
        <x:v>45559</x:v>
      </x:c>
      <x:c r="H314" s="20" t="n">
        <x:v>45559</x:v>
      </x:c>
      <x:c r="I314" s="20" t="n">
        <x:v>45564</x:v>
      </x:c>
      <x:c r="J314" t="n">
        <x:v>4968</x:v>
      </x:c>
      <x:c r="K314" t="n">
        <x:v>3056.9</x:v>
      </x:c>
      <x:c r="L314" t="str">
        <x:v>海運</x:v>
      </x:c>
      <x:c r="M314" t="n">
        <x:v>5</x:v>
      </x:c>
      <x:c r="N314" t="str">
        <x:v>否</x:v>
      </x:c>
      <x:c r="O314" t="n">
        <x:v>0</x:v>
      </x:c>
      <x:c r="P314"/>
    </x:row>
    <x:row r="315" ht="20" customHeight="1">
      <x:c r="A315" t="str">
        <x:v>SH000314</x:v>
      </x:c>
      <x:c r="B315" t="str">
        <x:v>SO00214-01</x:v>
      </x:c>
      <x:c r="C315" t="str">
        <x:v>WO00314</x:v>
      </x:c>
      <x:c r="D315" t="str">
        <x:v>LOT00314</x:v>
      </x:c>
      <x:c r="E315" t="str">
        <x:v>IAT-009</x:v>
      </x:c>
      <x:c r="F315" t="str">
        <x:v>AUTO-BRK-B</x:v>
      </x:c>
      <x:c r="G315" s="20" t="n">
        <x:v>45544</x:v>
      </x:c>
      <x:c r="H315" s="20" t="n">
        <x:v>45544</x:v>
      </x:c>
      <x:c r="I315" s="20" t="n">
        <x:v>45546</x:v>
      </x:c>
      <x:c r="J315" t="n">
        <x:v>4943</x:v>
      </x:c>
      <x:c r="K315" t="n">
        <x:v>2084.72</x:v>
      </x:c>
      <x:c r="L315" t="str">
        <x:v>空運</x:v>
      </x:c>
      <x:c r="M315" t="n">
        <x:v>2</x:v>
      </x:c>
      <x:c r="N315" t="str">
        <x:v>否</x:v>
      </x:c>
      <x:c r="O315" t="n">
        <x:v>34</x:v>
      </x:c>
      <x:c r="P315" t="str">
        <x:v>外觀瑕疵</x:v>
      </x:c>
    </x:row>
    <x:row r="316" ht="20" customHeight="1">
      <x:c r="A316" t="str">
        <x:v>SH000315</x:v>
      </x:c>
      <x:c r="B316" t="str">
        <x:v>SO00215-01</x:v>
      </x:c>
      <x:c r="C316" t="str">
        <x:v>WO00315</x:v>
      </x:c>
      <x:c r="D316" t="str">
        <x:v>LOT00315</x:v>
      </x:c>
      <x:c r="E316" t="str">
        <x:v>AUT-004</x:v>
      </x:c>
      <x:c r="F316" t="str">
        <x:v>PM-ALB-A</x:v>
      </x:c>
      <x:c r="G316" s="20" t="n">
        <x:v>45565</x:v>
      </x:c>
      <x:c r="H316" s="20" t="n">
        <x:v>45572</x:v>
      </x:c>
      <x:c r="I316" s="20" t="n">
        <x:v>45573</x:v>
      </x:c>
      <x:c r="J316" t="n">
        <x:v>293</x:v>
      </x:c>
      <x:c r="K316" t="n">
        <x:v>10893.7</x:v>
      </x:c>
      <x:c r="L316" t="str">
        <x:v>海運</x:v>
      </x:c>
      <x:c r="M316" t="n">
        <x:v>8</x:v>
      </x:c>
      <x:c r="N316" t="str">
        <x:v>否</x:v>
      </x:c>
      <x:c r="O316" t="n">
        <x:v>0</x:v>
      </x:c>
      <x:c r="P316"/>
    </x:row>
    <x:row r="317" ht="20" customHeight="1">
      <x:c r="A317" t="str">
        <x:v>SH000316</x:v>
      </x:c>
      <x:c r="B317" t="str">
        <x:v>SO00216-01</x:v>
      </x:c>
      <x:c r="C317" t="str">
        <x:v>WO00316</x:v>
      </x:c>
      <x:c r="D317" t="str">
        <x:v>LOT00316</x:v>
      </x:c>
      <x:c r="E317" t="str">
        <x:v>AUT-006</x:v>
      </x:c>
      <x:c r="F317" t="str">
        <x:v>PM-BRG-A</x:v>
      </x:c>
      <x:c r="G317" s="20" t="n">
        <x:v>45545</x:v>
      </x:c>
      <x:c r="H317" s="20" t="n">
        <x:v>45546</x:v>
      </x:c>
      <x:c r="I317" s="20" t="n">
        <x:v>45548</x:v>
      </x:c>
      <x:c r="J317" t="n">
        <x:v>294</x:v>
      </x:c>
      <x:c r="K317" t="n">
        <x:v>6359.84</x:v>
      </x:c>
      <x:c r="L317" t="str">
        <x:v>陸運</x:v>
      </x:c>
      <x:c r="M317" t="n">
        <x:v>3</x:v>
      </x:c>
      <x:c r="N317" t="str">
        <x:v>否</x:v>
      </x:c>
      <x:c r="O317" t="n">
        <x:v>0</x:v>
      </x:c>
      <x:c r="P317"/>
    </x:row>
    <x:row r="318" ht="20" customHeight="1">
      <x:c r="A318" t="str">
        <x:v>SH000317</x:v>
      </x:c>
      <x:c r="B318" t="str">
        <x:v>SO00217-01</x:v>
      </x:c>
      <x:c r="C318" t="str">
        <x:v>WO00317</x:v>
      </x:c>
      <x:c r="D318" t="str">
        <x:v>LOT00317</x:v>
      </x:c>
      <x:c r="E318" t="str">
        <x:v>AUT-014</x:v>
      </x:c>
      <x:c r="F318" t="str">
        <x:v>AUTO-BRK-B</x:v>
      </x:c>
      <x:c r="G318" s="20" t="n">
        <x:v>45565</x:v>
      </x:c>
      <x:c r="H318" s="20" t="n">
        <x:v>45559</x:v>
      </x:c>
      <x:c r="I318" s="20" t="n">
        <x:v>45562</x:v>
      </x:c>
      <x:c r="J318" t="n">
        <x:v>2947</x:v>
      </x:c>
      <x:c r="K318" t="n">
        <x:v>2173.35</x:v>
      </x:c>
      <x:c r="L318" t="str">
        <x:v>空運</x:v>
      </x:c>
      <x:c r="M318" t="n">
        <x:v>0</x:v>
      </x:c>
      <x:c r="N318" t="str">
        <x:v>是</x:v>
      </x:c>
      <x:c r="O318" t="n">
        <x:v>0</x:v>
      </x:c>
      <x:c r="P318"/>
    </x:row>
    <x:row r="319" ht="20" customHeight="1">
      <x:c r="A319" t="str">
        <x:v>SH000318</x:v>
      </x:c>
      <x:c r="B319" t="str">
        <x:v>SO00218-01</x:v>
      </x:c>
      <x:c r="C319" t="str">
        <x:v>WO00318</x:v>
      </x:c>
      <x:c r="D319" t="str">
        <x:v>LOT00318</x:v>
      </x:c>
      <x:c r="E319" t="str">
        <x:v>SEM-009</x:v>
      </x:c>
      <x:c r="F319" t="str">
        <x:v>MECH-CON-A</x:v>
      </x:c>
      <x:c r="G319" s="20" t="n">
        <x:v>45551</x:v>
      </x:c>
      <x:c r="H319" s="20" t="n">
        <x:v>45548</x:v>
      </x:c>
      <x:c r="I319" s="20" t="n">
        <x:v>45552</x:v>
      </x:c>
      <x:c r="J319" t="n">
        <x:v>20</x:v>
      </x:c>
      <x:c r="K319" t="n">
        <x:v>109045.26</x:v>
      </x:c>
      <x:c r="L319" t="str">
        <x:v>陸運</x:v>
      </x:c>
      <x:c r="M319" t="n">
        <x:v>1</x:v>
      </x:c>
      <x:c r="N319" t="str">
        <x:v>否</x:v>
      </x:c>
      <x:c r="O319" t="n">
        <x:v>0</x:v>
      </x:c>
      <x:c r="P319"/>
    </x:row>
    <x:row r="320" ht="20" customHeight="1">
      <x:c r="A320" t="str">
        <x:v>SH000319</x:v>
      </x:c>
      <x:c r="B320" t="str">
        <x:v>SO00219-01</x:v>
      </x:c>
      <x:c r="C320" t="str">
        <x:v>WO00319</x:v>
      </x:c>
      <x:c r="D320" t="str">
        <x:v>LOT00319</x:v>
      </x:c>
      <x:c r="E320" t="str">
        <x:v>EMS-008</x:v>
      </x:c>
      <x:c r="F320" t="str">
        <x:v>AUTO-BRK-B</x:v>
      </x:c>
      <x:c r="G320" s="20" t="n">
        <x:v>45541</x:v>
      </x:c>
      <x:c r="H320" s="20" t="n">
        <x:v>45539</x:v>
      </x:c>
      <x:c r="I320" s="20" t="n">
        <x:v>45544</x:v>
      </x:c>
      <x:c r="J320" t="n">
        <x:v>6909</x:v>
      </x:c>
      <x:c r="K320" t="n">
        <x:v>2124.58</x:v>
      </x:c>
      <x:c r="L320" t="str">
        <x:v>陸運</x:v>
      </x:c>
      <x:c r="M320" t="n">
        <x:v>3</x:v>
      </x:c>
      <x:c r="N320" t="str">
        <x:v>否</x:v>
      </x:c>
      <x:c r="O320" t="n">
        <x:v>0</x:v>
      </x:c>
      <x:c r="P320"/>
    </x:row>
    <x:row r="321" ht="20" customHeight="1">
      <x:c r="A321" t="str">
        <x:v>SH000320</x:v>
      </x:c>
      <x:c r="B321" t="str">
        <x:v>SO00220-01</x:v>
      </x:c>
      <x:c r="C321" t="str">
        <x:v>WO00320</x:v>
      </x:c>
      <x:c r="D321" t="str">
        <x:v>LOT00320</x:v>
      </x:c>
      <x:c r="E321" t="str">
        <x:v>IAT-002</x:v>
      </x:c>
      <x:c r="F321" t="str">
        <x:v>SEMI-WH-A</x:v>
      </x:c>
      <x:c r="G321" s="20" t="n">
        <x:v>45570</x:v>
      </x:c>
      <x:c r="H321" s="20" t="n">
        <x:v>45570</x:v>
      </x:c>
      <x:c r="I321" s="20" t="n">
        <x:v>45574</x:v>
      </x:c>
      <x:c r="J321" t="n">
        <x:v>60</x:v>
      </x:c>
      <x:c r="K321" t="n">
        <x:v>114419.95</x:v>
      </x:c>
      <x:c r="L321" t="str">
        <x:v>空運</x:v>
      </x:c>
      <x:c r="M321" t="n">
        <x:v>4</x:v>
      </x:c>
      <x:c r="N321" t="str">
        <x:v>否</x:v>
      </x:c>
      <x:c r="O321" t="n">
        <x:v>0</x:v>
      </x:c>
      <x:c r="P321"/>
    </x:row>
    <x:row r="322" ht="20" customHeight="1">
      <x:c r="A322" t="str">
        <x:v>SH000321</x:v>
      </x:c>
      <x:c r="B322" t="str">
        <x:v>SO00221-01</x:v>
      </x:c>
      <x:c r="C322" t="str">
        <x:v>WO00323</x:v>
      </x:c>
      <x:c r="D322" t="str">
        <x:v>LOT00323</x:v>
      </x:c>
      <x:c r="E322" t="str">
        <x:v>SEM-004</x:v>
      </x:c>
      <x:c r="F322" t="str">
        <x:v>MECH-CON-B</x:v>
      </x:c>
      <x:c r="G322" s="20" t="n">
        <x:v>45560</x:v>
      </x:c>
      <x:c r="H322" s="20" t="n">
        <x:v>45558</x:v>
      </x:c>
      <x:c r="I322" s="20" t="n">
        <x:v>45563</x:v>
      </x:c>
      <x:c r="J322" t="n">
        <x:v>16</x:v>
      </x:c>
      <x:c r="K322" t="n">
        <x:v>163497.75</x:v>
      </x:c>
      <x:c r="L322" t="str">
        <x:v>海運</x:v>
      </x:c>
      <x:c r="M322" t="n">
        <x:v>3</x:v>
      </x:c>
      <x:c r="N322" t="str">
        <x:v>否</x:v>
      </x:c>
      <x:c r="O322" t="n">
        <x:v>0</x:v>
      </x:c>
      <x:c r="P322"/>
    </x:row>
    <x:row r="323" ht="20" customHeight="1">
      <x:c r="A323" t="str">
        <x:v>SH000322</x:v>
      </x:c>
      <x:c r="B323" t="str">
        <x:v>SO00221-01</x:v>
      </x:c>
      <x:c r="C323" t="str">
        <x:v>WO00321</x:v>
      </x:c>
      <x:c r="D323" t="str">
        <x:v>LOT00321</x:v>
      </x:c>
      <x:c r="E323" t="str">
        <x:v>SEM-004</x:v>
      </x:c>
      <x:c r="F323" t="str">
        <x:v>MECH-CON-B</x:v>
      </x:c>
      <x:c r="G323" s="20" t="n">
        <x:v>45560</x:v>
      </x:c>
      <x:c r="H323" s="20" t="n">
        <x:v>45557</x:v>
      </x:c>
      <x:c r="I323" s="20" t="n">
        <x:v>45558</x:v>
      </x:c>
      <x:c r="J323" t="n">
        <x:v>16</x:v>
      </x:c>
      <x:c r="K323" t="n">
        <x:v>163497.75</x:v>
      </x:c>
      <x:c r="L323" t="str">
        <x:v>海運</x:v>
      </x:c>
      <x:c r="M323" t="n">
        <x:v>0</x:v>
      </x:c>
      <x:c r="N323" t="str">
        <x:v>是</x:v>
      </x:c>
      <x:c r="O323" t="n">
        <x:v>0</x:v>
      </x:c>
      <x:c r="P323"/>
    </x:row>
    <x:row r="324" ht="20" customHeight="1">
      <x:c r="A324" t="str">
        <x:v>SH000323</x:v>
      </x:c>
      <x:c r="B324" t="str">
        <x:v>SO00221-01</x:v>
      </x:c>
      <x:c r="C324" t="str">
        <x:v>WO00322</x:v>
      </x:c>
      <x:c r="D324" t="str">
        <x:v>LOT00322</x:v>
      </x:c>
      <x:c r="E324" t="str">
        <x:v>SEM-004</x:v>
      </x:c>
      <x:c r="F324" t="str">
        <x:v>MECH-CON-B</x:v>
      </x:c>
      <x:c r="G324" s="20" t="n">
        <x:v>45560</x:v>
      </x:c>
      <x:c r="H324" s="20" t="n">
        <x:v>45560</x:v>
      </x:c>
      <x:c r="I324" s="20" t="n">
        <x:v>45561</x:v>
      </x:c>
      <x:c r="J324" t="n">
        <x:v>17</x:v>
      </x:c>
      <x:c r="K324" t="n">
        <x:v>163497.75</x:v>
      </x:c>
      <x:c r="L324" t="str">
        <x:v>陸運</x:v>
      </x:c>
      <x:c r="M324" t="n">
        <x:v>1</x:v>
      </x:c>
      <x:c r="N324" t="str">
        <x:v>否</x:v>
      </x:c>
      <x:c r="O324" t="n">
        <x:v>0</x:v>
      </x:c>
      <x:c r="P324"/>
    </x:row>
    <x:row r="325" ht="20" customHeight="1">
      <x:c r="A325" t="str">
        <x:v>SH000324</x:v>
      </x:c>
      <x:c r="B325" t="str">
        <x:v>SO00222-01</x:v>
      </x:c>
      <x:c r="C325" t="str">
        <x:v>WO00324</x:v>
      </x:c>
      <x:c r="D325" t="str">
        <x:v>LOT00324</x:v>
      </x:c>
      <x:c r="E325" t="str">
        <x:v>AUT-006</x:v>
      </x:c>
      <x:c r="F325" t="str">
        <x:v>PM-ALB-A</x:v>
      </x:c>
      <x:c r="G325" s="20" t="n">
        <x:v>45551</x:v>
      </x:c>
      <x:c r="H325" s="20" t="n">
        <x:v>45551</x:v>
      </x:c>
      <x:c r="I325" s="20" t="n">
        <x:v>45553</x:v>
      </x:c>
      <x:c r="J325" t="n">
        <x:v>492</x:v>
      </x:c>
      <x:c r="K325" t="n">
        <x:v>11175.64</x:v>
      </x:c>
      <x:c r="L325" t="str">
        <x:v>陸運</x:v>
      </x:c>
      <x:c r="M325" t="n">
        <x:v>2</x:v>
      </x:c>
      <x:c r="N325" t="str">
        <x:v>否</x:v>
      </x:c>
      <x:c r="O325" t="n">
        <x:v>0</x:v>
      </x:c>
      <x:c r="P325"/>
    </x:row>
    <x:row r="326" ht="20" customHeight="1">
      <x:c r="A326" t="str">
        <x:v>SH000325</x:v>
      </x:c>
      <x:c r="B326" t="str">
        <x:v>SO00223-01</x:v>
      </x:c>
      <x:c r="C326" t="str">
        <x:v>WO00325</x:v>
      </x:c>
      <x:c r="D326" t="str">
        <x:v>LOT00325</x:v>
      </x:c>
      <x:c r="E326" t="str">
        <x:v>AUT-008</x:v>
      </x:c>
      <x:c r="F326" t="str">
        <x:v>PM-VAC-B</x:v>
      </x:c>
      <x:c r="G326" s="20" t="n">
        <x:v>45572</x:v>
      </x:c>
      <x:c r="H326" s="20" t="n">
        <x:v>45567</x:v>
      </x:c>
      <x:c r="I326" s="20" t="n">
        <x:v>45572</x:v>
      </x:c>
      <x:c r="J326" t="n">
        <x:v>294</x:v>
      </x:c>
      <x:c r="K326" t="n">
        <x:v>21242.07</x:v>
      </x:c>
      <x:c r="L326" t="str">
        <x:v>空運</x:v>
      </x:c>
      <x:c r="M326" t="n">
        <x:v>0</x:v>
      </x:c>
      <x:c r="N326" t="str">
        <x:v>是</x:v>
      </x:c>
      <x:c r="O326" t="n">
        <x:v>0</x:v>
      </x:c>
      <x:c r="P326"/>
    </x:row>
    <x:row r="327" ht="20" customHeight="1">
      <x:c r="A327" t="str">
        <x:v>SH000326</x:v>
      </x:c>
      <x:c r="B327" t="str">
        <x:v>SO00224-01</x:v>
      </x:c>
      <x:c r="C327" t="str">
        <x:v>WO00326</x:v>
      </x:c>
      <x:c r="D327" t="str">
        <x:v>LOT00326</x:v>
      </x:c>
      <x:c r="E327" t="str">
        <x:v>AUT-008</x:v>
      </x:c>
      <x:c r="F327" t="str">
        <x:v>PM-VAC-B</x:v>
      </x:c>
      <x:c r="G327" s="20" t="n">
        <x:v>45560</x:v>
      </x:c>
      <x:c r="H327" s="20" t="n">
        <x:v>45560</x:v>
      </x:c>
      <x:c r="I327" s="20" t="n">
        <x:v>45561</x:v>
      </x:c>
      <x:c r="J327" t="n">
        <x:v>783</x:v>
      </x:c>
      <x:c r="K327" t="n">
        <x:v>20155.76</x:v>
      </x:c>
      <x:c r="L327" t="str">
        <x:v>空運</x:v>
      </x:c>
      <x:c r="M327" t="n">
        <x:v>1</x:v>
      </x:c>
      <x:c r="N327" t="str">
        <x:v>否</x:v>
      </x:c>
      <x:c r="O327" t="n">
        <x:v>0</x:v>
      </x:c>
      <x:c r="P327"/>
    </x:row>
    <x:row r="328" ht="20" customHeight="1">
      <x:c r="A328" t="str">
        <x:v>SH000327</x:v>
      </x:c>
      <x:c r="B328" t="str">
        <x:v>SO00225-01</x:v>
      </x:c>
      <x:c r="C328" t="str">
        <x:v>WO00327</x:v>
      </x:c>
      <x:c r="D328" t="str">
        <x:v>LOT00327</x:v>
      </x:c>
      <x:c r="E328" t="str">
        <x:v>IAT-003</x:v>
      </x:c>
      <x:c r="F328" t="str">
        <x:v>PM-BRG-B</x:v>
      </x:c>
      <x:c r="G328" s="20" t="n">
        <x:v>45531</x:v>
      </x:c>
      <x:c r="H328" s="20" t="n">
        <x:v>45528</x:v>
      </x:c>
      <x:c r="I328" s="20" t="n">
        <x:v>45530</x:v>
      </x:c>
      <x:c r="J328" t="n">
        <x:v>292</x:v>
      </x:c>
      <x:c r="K328" t="n">
        <x:v>7954.77</x:v>
      </x:c>
      <x:c r="L328" t="str">
        <x:v>陸運</x:v>
      </x:c>
      <x:c r="M328" t="n">
        <x:v>0</x:v>
      </x:c>
      <x:c r="N328" t="str">
        <x:v>是</x:v>
      </x:c>
      <x:c r="O328" t="n">
        <x:v>0</x:v>
      </x:c>
      <x:c r="P328"/>
    </x:row>
    <x:row r="329" ht="20" customHeight="1">
      <x:c r="A329" t="str">
        <x:v>SH000328</x:v>
      </x:c>
      <x:c r="B329" t="str">
        <x:v>SO00226-01</x:v>
      </x:c>
      <x:c r="C329" t="str">
        <x:v>WO00328</x:v>
      </x:c>
      <x:c r="D329" t="str">
        <x:v>LOT00328</x:v>
      </x:c>
      <x:c r="E329" t="str">
        <x:v>EMS-004</x:v>
      </x:c>
      <x:c r="F329" t="str">
        <x:v>PM-VAC-B</x:v>
      </x:c>
      <x:c r="G329" s="20" t="n">
        <x:v>45570</x:v>
      </x:c>
      <x:c r="H329" s="20" t="n">
        <x:v>45565</x:v>
      </x:c>
      <x:c r="I329" s="20" t="n">
        <x:v>45570</x:v>
      </x:c>
      <x:c r="J329" t="n">
        <x:v>584</x:v>
      </x:c>
      <x:c r="K329" t="n">
        <x:v>21386.33</x:v>
      </x:c>
      <x:c r="L329" t="str">
        <x:v>空運</x:v>
      </x:c>
      <x:c r="M329" t="n">
        <x:v>0</x:v>
      </x:c>
      <x:c r="N329" t="str">
        <x:v>是</x:v>
      </x:c>
      <x:c r="O329" t="n">
        <x:v>0</x:v>
      </x:c>
      <x:c r="P329"/>
    </x:row>
    <x:row r="330" ht="20" customHeight="1">
      <x:c r="A330" t="str">
        <x:v>SH000329</x:v>
      </x:c>
      <x:c r="B330" t="str">
        <x:v>SO00226-01</x:v>
      </x:c>
      <x:c r="C330" t="str">
        <x:v>WO00329</x:v>
      </x:c>
      <x:c r="D330" t="str">
        <x:v>LOT00329</x:v>
      </x:c>
      <x:c r="E330" t="str">
        <x:v>EMS-004</x:v>
      </x:c>
      <x:c r="F330" t="str">
        <x:v>PM-VAC-B</x:v>
      </x:c>
      <x:c r="G330" s="20" t="n">
        <x:v>45570</x:v>
      </x:c>
      <x:c r="H330" s="20" t="n">
        <x:v>45565</x:v>
      </x:c>
      <x:c r="I330" s="20" t="n">
        <x:v>45570</x:v>
      </x:c>
      <x:c r="J330" t="n">
        <x:v>589</x:v>
      </x:c>
      <x:c r="K330" t="n">
        <x:v>21386.33</x:v>
      </x:c>
      <x:c r="L330" t="str">
        <x:v>陸運</x:v>
      </x:c>
      <x:c r="M330" t="n">
        <x:v>0</x:v>
      </x:c>
      <x:c r="N330" t="str">
        <x:v>是</x:v>
      </x:c>
      <x:c r="O330" t="n">
        <x:v>0</x:v>
      </x:c>
      <x:c r="P330"/>
    </x:row>
    <x:row r="331" ht="20" customHeight="1">
      <x:c r="A331" t="str">
        <x:v>SH000330</x:v>
      </x:c>
      <x:c r="B331" t="str">
        <x:v>SO00227-01</x:v>
      </x:c>
      <x:c r="C331" t="str">
        <x:v>WO00330</x:v>
      </x:c>
      <x:c r="D331" t="str">
        <x:v>LOT00330</x:v>
      </x:c>
      <x:c r="E331" t="str">
        <x:v>AFT-007</x:v>
      </x:c>
      <x:c r="F331" t="str">
        <x:v>PM-ALB-A</x:v>
      </x:c>
      <x:c r="G331" s="20" t="n">
        <x:v>45565</x:v>
      </x:c>
      <x:c r="H331" s="20" t="n">
        <x:v>45565</x:v>
      </x:c>
      <x:c r="I331" s="20" t="n">
        <x:v>45568</x:v>
      </x:c>
      <x:c r="J331" t="n">
        <x:v>785</x:v>
      </x:c>
      <x:c r="K331" t="n">
        <x:v>10396.19</x:v>
      </x:c>
      <x:c r="L331" t="str">
        <x:v>陸運</x:v>
      </x:c>
      <x:c r="M331" t="n">
        <x:v>3</x:v>
      </x:c>
      <x:c r="N331" t="str">
        <x:v>否</x:v>
      </x:c>
      <x:c r="O331" t="n">
        <x:v>0</x:v>
      </x:c>
      <x:c r="P331"/>
    </x:row>
    <x:row r="332" ht="20" customHeight="1">
      <x:c r="A332" t="str">
        <x:v>SH000331</x:v>
      </x:c>
      <x:c r="B332" t="str">
        <x:v>SO00228-01</x:v>
      </x:c>
      <x:c r="C332" t="str">
        <x:v>WO00331</x:v>
      </x:c>
      <x:c r="D332" t="str">
        <x:v>LOT00331</x:v>
      </x:c>
      <x:c r="E332" t="str">
        <x:v>IAT-008</x:v>
      </x:c>
      <x:c r="F332" t="str">
        <x:v>AUTO-LG-B</x:v>
      </x:c>
      <x:c r="G332" s="20" t="n">
        <x:v>45560</x:v>
      </x:c>
      <x:c r="H332" s="20" t="n">
        <x:v>45559</x:v>
      </x:c>
      <x:c r="I332" s="20" t="n">
        <x:v>45564</x:v>
      </x:c>
      <x:c r="J332" t="n">
        <x:v>6906</x:v>
      </x:c>
      <x:c r="K332" t="n">
        <x:v>1155.42</x:v>
      </x:c>
      <x:c r="L332" t="str">
        <x:v>陸運</x:v>
      </x:c>
      <x:c r="M332" t="n">
        <x:v>4</x:v>
      </x:c>
      <x:c r="N332" t="str">
        <x:v>否</x:v>
      </x:c>
      <x:c r="O332" t="n">
        <x:v>58</x:v>
      </x:c>
      <x:c r="P332" t="str">
        <x:v>外觀瑕疵</x:v>
      </x:c>
    </x:row>
    <x:row r="333" ht="20" customHeight="1">
      <x:c r="A333" t="str">
        <x:v>SH000332</x:v>
      </x:c>
      <x:c r="B333" t="str">
        <x:v>SO00229-01</x:v>
      </x:c>
      <x:c r="C333" t="str">
        <x:v>WO00332</x:v>
      </x:c>
      <x:c r="D333" t="str">
        <x:v>LOT00332</x:v>
      </x:c>
      <x:c r="E333" t="str">
        <x:v>EMS-006</x:v>
      </x:c>
      <x:c r="F333" t="str">
        <x:v>AUTO-MH-B</x:v>
      </x:c>
      <x:c r="G333" s="20" t="n">
        <x:v>45538</x:v>
      </x:c>
      <x:c r="H333" s="20" t="n">
        <x:v>45539</x:v>
      </x:c>
      <x:c r="I333" s="20" t="n">
        <x:v>45544</x:v>
      </x:c>
      <x:c r="J333" t="n">
        <x:v>4955</x:v>
      </x:c>
      <x:c r="K333" t="n">
        <x:v>2988.88</x:v>
      </x:c>
      <x:c r="L333" t="str">
        <x:v>空運</x:v>
      </x:c>
      <x:c r="M333" t="n">
        <x:v>6</x:v>
      </x:c>
      <x:c r="N333" t="str">
        <x:v>否</x:v>
      </x:c>
      <x:c r="O333" t="n">
        <x:v>0</x:v>
      </x:c>
      <x:c r="P333"/>
    </x:row>
    <x:row r="334" ht="20" customHeight="1">
      <x:c r="A334" t="str">
        <x:v>SH000333</x:v>
      </x:c>
      <x:c r="B334" t="str">
        <x:v>SO00230-01</x:v>
      </x:c>
      <x:c r="C334" t="str">
        <x:v>WO00333</x:v>
      </x:c>
      <x:c r="D334" t="str">
        <x:v>LOT00333</x:v>
      </x:c>
      <x:c r="E334" t="str">
        <x:v>IAT-005</x:v>
      </x:c>
      <x:c r="F334" t="str">
        <x:v>AUTO-KN-A</x:v>
      </x:c>
      <x:c r="G334" s="20" t="n">
        <x:v>45562</x:v>
      </x:c>
      <x:c r="H334" s="20" t="n">
        <x:v>45565</x:v>
      </x:c>
      <x:c r="I334" s="20" t="n">
        <x:v>45569</x:v>
      </x:c>
      <x:c r="J334" t="n">
        <x:v>2970</x:v>
      </x:c>
      <x:c r="K334" t="n">
        <x:v>2930.43</x:v>
      </x:c>
      <x:c r="L334" t="str">
        <x:v>空運</x:v>
      </x:c>
      <x:c r="M334" t="n">
        <x:v>7</x:v>
      </x:c>
      <x:c r="N334" t="str">
        <x:v>否</x:v>
      </x:c>
      <x:c r="O334" t="n">
        <x:v>0</x:v>
      </x:c>
      <x:c r="P334"/>
    </x:row>
    <x:row r="335" ht="20" customHeight="1">
      <x:c r="A335" t="str">
        <x:v>SH000334</x:v>
      </x:c>
      <x:c r="B335" t="str">
        <x:v>SO00231-01</x:v>
      </x:c>
      <x:c r="C335" t="str">
        <x:v>WO00334</x:v>
      </x:c>
      <x:c r="D335" t="str">
        <x:v>LOT00334</x:v>
      </x:c>
      <x:c r="E335" t="str">
        <x:v>AUT-009</x:v>
      </x:c>
      <x:c r="F335" t="str">
        <x:v>AUTO-KN-A</x:v>
      </x:c>
      <x:c r="G335" s="20" t="n">
        <x:v>45559</x:v>
      </x:c>
      <x:c r="H335" s="20" t="n">
        <x:v>45557</x:v>
      </x:c>
      <x:c r="I335" s="20" t="n">
        <x:v>45562</x:v>
      </x:c>
      <x:c r="J335" t="n">
        <x:v>4929</x:v>
      </x:c>
      <x:c r="K335" t="n">
        <x:v>3090.72</x:v>
      </x:c>
      <x:c r="L335" t="str">
        <x:v>空運</x:v>
      </x:c>
      <x:c r="M335" t="n">
        <x:v>3</x:v>
      </x:c>
      <x:c r="N335" t="str">
        <x:v>否</x:v>
      </x:c>
      <x:c r="O335" t="n">
        <x:v>0</x:v>
      </x:c>
      <x:c r="P335"/>
    </x:row>
    <x:row r="336" ht="20" customHeight="1">
      <x:c r="A336" t="str">
        <x:v>SH000335</x:v>
      </x:c>
      <x:c r="B336" t="str">
        <x:v>SO00231-01</x:v>
      </x:c>
      <x:c r="C336" t="str">
        <x:v>WO00335</x:v>
      </x:c>
      <x:c r="D336" t="str">
        <x:v>LOT00335</x:v>
      </x:c>
      <x:c r="E336" t="str">
        <x:v>AUT-009</x:v>
      </x:c>
      <x:c r="F336" t="str">
        <x:v>AUTO-KN-A</x:v>
      </x:c>
      <x:c r="G336" s="20" t="n">
        <x:v>45559</x:v>
      </x:c>
      <x:c r="H336" s="20" t="n">
        <x:v>45557</x:v>
      </x:c>
      <x:c r="I336" s="20" t="n">
        <x:v>45561</x:v>
      </x:c>
      <x:c r="J336" t="n">
        <x:v>4947</x:v>
      </x:c>
      <x:c r="K336" t="n">
        <x:v>3090.72</x:v>
      </x:c>
      <x:c r="L336" t="str">
        <x:v>空運</x:v>
      </x:c>
      <x:c r="M336" t="n">
        <x:v>2</x:v>
      </x:c>
      <x:c r="N336" t="str">
        <x:v>否</x:v>
      </x:c>
      <x:c r="O336" t="n">
        <x:v>0</x:v>
      </x:c>
      <x:c r="P336"/>
    </x:row>
    <x:row r="337" ht="20" customHeight="1">
      <x:c r="A337" t="str">
        <x:v>SH000336</x:v>
      </x:c>
      <x:c r="B337" t="str">
        <x:v>SO00232-01</x:v>
      </x:c>
      <x:c r="C337" t="str">
        <x:v>WO00336</x:v>
      </x:c>
      <x:c r="D337" t="str">
        <x:v>LOT00336</x:v>
      </x:c>
      <x:c r="E337" t="str">
        <x:v>AUT-001</x:v>
      </x:c>
      <x:c r="F337" t="str">
        <x:v>AUTO-MH-A</x:v>
      </x:c>
      <x:c r="G337" s="20" t="n">
        <x:v>45591</x:v>
      </x:c>
      <x:c r="H337" s="20" t="n">
        <x:v>45584</x:v>
      </x:c>
      <x:c r="I337" s="20" t="n">
        <x:v>45587</x:v>
      </x:c>
      <x:c r="J337" t="n">
        <x:v>2969</x:v>
      </x:c>
      <x:c r="K337" t="n">
        <x:v>2475.45</x:v>
      </x:c>
      <x:c r="L337" t="str">
        <x:v>陸運</x:v>
      </x:c>
      <x:c r="M337" t="n">
        <x:v>0</x:v>
      </x:c>
      <x:c r="N337" t="str">
        <x:v>是</x:v>
      </x:c>
      <x:c r="O337" t="n">
        <x:v>0</x:v>
      </x:c>
      <x:c r="P337"/>
    </x:row>
    <x:row r="338" ht="20" customHeight="1">
      <x:c r="A338" t="str">
        <x:v>SH000337</x:v>
      </x:c>
      <x:c r="B338" t="str">
        <x:v>SO00233-01</x:v>
      </x:c>
      <x:c r="C338" t="str">
        <x:v>WO00337</x:v>
      </x:c>
      <x:c r="D338" t="str">
        <x:v>LOT00337</x:v>
      </x:c>
      <x:c r="E338" t="str">
        <x:v>IAT-006</x:v>
      </x:c>
      <x:c r="F338" t="str">
        <x:v>MECH-STG-B</x:v>
      </x:c>
      <x:c r="G338" s="20" t="n">
        <x:v>45626</x:v>
      </x:c>
      <x:c r="H338" s="20" t="n">
        <x:v>45625</x:v>
      </x:c>
      <x:c r="I338" s="20" t="n">
        <x:v>45627</x:v>
      </x:c>
      <x:c r="J338" t="n">
        <x:v>20</x:v>
      </x:c>
      <x:c r="K338" t="n">
        <x:v>203029.72</x:v>
      </x:c>
      <x:c r="L338" t="str">
        <x:v>海運</x:v>
      </x:c>
      <x:c r="M338" t="n">
        <x:v>1</x:v>
      </x:c>
      <x:c r="N338" t="str">
        <x:v>否</x:v>
      </x:c>
      <x:c r="O338" t="n">
        <x:v>0</x:v>
      </x:c>
      <x:c r="P338"/>
    </x:row>
    <x:row r="339" ht="20" customHeight="1">
      <x:c r="A339" t="str">
        <x:v>SH000338</x:v>
      </x:c>
      <x:c r="B339" t="str">
        <x:v>SO00234-01</x:v>
      </x:c>
      <x:c r="C339" t="str">
        <x:v>WO00339</x:v>
      </x:c>
      <x:c r="D339" t="str">
        <x:v>LOT00339</x:v>
      </x:c>
      <x:c r="E339" t="str">
        <x:v>EMS-007</x:v>
      </x:c>
      <x:c r="F339" t="str">
        <x:v>PM-BRG-A</x:v>
      </x:c>
      <x:c r="G339" s="20" t="n">
        <x:v>45592</x:v>
      </x:c>
      <x:c r="H339" s="20" t="n">
        <x:v>45589</x:v>
      </x:c>
      <x:c r="I339" s="20" t="n">
        <x:v>45592</x:v>
      </x:c>
      <x:c r="J339" t="n">
        <x:v>779</x:v>
      </x:c>
      <x:c r="K339" t="n">
        <x:v>6197.47</x:v>
      </x:c>
      <x:c r="L339" t="str">
        <x:v>陸運</x:v>
      </x:c>
      <x:c r="M339" t="n">
        <x:v>0</x:v>
      </x:c>
      <x:c r="N339" t="str">
        <x:v>是</x:v>
      </x:c>
      <x:c r="O339" t="n">
        <x:v>0</x:v>
      </x:c>
      <x:c r="P339"/>
    </x:row>
    <x:row r="340" ht="20" customHeight="1">
      <x:c r="A340" t="str">
        <x:v>SH000339</x:v>
      </x:c>
      <x:c r="B340" t="str">
        <x:v>SO00234-01</x:v>
      </x:c>
      <x:c r="C340" t="str">
        <x:v>WO00338</x:v>
      </x:c>
      <x:c r="D340" t="str">
        <x:v>LOT00338</x:v>
      </x:c>
      <x:c r="E340" t="str">
        <x:v>EMS-007</x:v>
      </x:c>
      <x:c r="F340" t="str">
        <x:v>PM-BRG-A</x:v>
      </x:c>
      <x:c r="G340" s="20" t="n">
        <x:v>45592</x:v>
      </x:c>
      <x:c r="H340" s="20" t="n">
        <x:v>45593</x:v>
      </x:c>
      <x:c r="I340" s="20" t="n">
        <x:v>45597</x:v>
      </x:c>
      <x:c r="J340" t="n">
        <x:v>782</x:v>
      </x:c>
      <x:c r="K340" t="n">
        <x:v>6197.47</x:v>
      </x:c>
      <x:c r="L340" t="str">
        <x:v>海運</x:v>
      </x:c>
      <x:c r="M340" t="n">
        <x:v>5</x:v>
      </x:c>
      <x:c r="N340" t="str">
        <x:v>否</x:v>
      </x:c>
      <x:c r="O340" t="n">
        <x:v>0</x:v>
      </x:c>
      <x:c r="P340"/>
    </x:row>
    <x:row r="341" ht="20" customHeight="1">
      <x:c r="A341" t="str">
        <x:v>SH000340</x:v>
      </x:c>
      <x:c r="B341" t="str">
        <x:v>SO00235-01</x:v>
      </x:c>
      <x:c r="C341" t="str">
        <x:v>WO00341</x:v>
      </x:c>
      <x:c r="D341" t="str">
        <x:v>LOT00341</x:v>
      </x:c>
      <x:c r="E341" t="str">
        <x:v>AUT-002</x:v>
      </x:c>
      <x:c r="F341" t="str">
        <x:v>PM-ALB-A</x:v>
      </x:c>
      <x:c r="G341" s="20" t="n">
        <x:v>45565</x:v>
      </x:c>
      <x:c r="H341" s="20" t="n">
        <x:v>45564</x:v>
      </x:c>
      <x:c r="I341" s="20" t="n">
        <x:v>45567</x:v>
      </x:c>
      <x:c r="J341" t="n">
        <x:v>595</x:v>
      </x:c>
      <x:c r="K341" t="n">
        <x:v>10289.59</x:v>
      </x:c>
      <x:c r="L341" t="str">
        <x:v>海運</x:v>
      </x:c>
      <x:c r="M341" t="n">
        <x:v>2</x:v>
      </x:c>
      <x:c r="N341" t="str">
        <x:v>否</x:v>
      </x:c>
      <x:c r="O341" t="n">
        <x:v>0</x:v>
      </x:c>
      <x:c r="P341"/>
    </x:row>
    <x:row r="342" ht="20" customHeight="1">
      <x:c r="A342" t="str">
        <x:v>SH000341</x:v>
      </x:c>
      <x:c r="B342" t="str">
        <x:v>SO00235-01</x:v>
      </x:c>
      <x:c r="C342" t="str">
        <x:v>WO00340</x:v>
      </x:c>
      <x:c r="D342" t="str">
        <x:v>LOT00340</x:v>
      </x:c>
      <x:c r="E342" t="str">
        <x:v>AUT-002</x:v>
      </x:c>
      <x:c r="F342" t="str">
        <x:v>PM-ALB-A</x:v>
      </x:c>
      <x:c r="G342" s="20" t="n">
        <x:v>45565</x:v>
      </x:c>
      <x:c r="H342" s="20" t="n">
        <x:v>45564</x:v>
      </x:c>
      <x:c r="I342" s="20" t="n">
        <x:v>45565</x:v>
      </x:c>
      <x:c r="J342" t="n">
        <x:v>585</x:v>
      </x:c>
      <x:c r="K342" t="n">
        <x:v>10289.59</x:v>
      </x:c>
      <x:c r="L342" t="str">
        <x:v>陸運</x:v>
      </x:c>
      <x:c r="M342" t="n">
        <x:v>0</x:v>
      </x:c>
      <x:c r="N342" t="str">
        <x:v>是</x:v>
      </x:c>
      <x:c r="O342" t="n">
        <x:v>0</x:v>
      </x:c>
      <x:c r="P342"/>
    </x:row>
    <x:row r="343" ht="20" customHeight="1">
      <x:c r="A343" t="str">
        <x:v>SH000342</x:v>
      </x:c>
      <x:c r="B343" t="str">
        <x:v>SO00236-01</x:v>
      </x:c>
      <x:c r="C343" t="str">
        <x:v>WO00342</x:v>
      </x:c>
      <x:c r="D343" t="str">
        <x:v>LOT00342</x:v>
      </x:c>
      <x:c r="E343" t="str">
        <x:v>IAT-008</x:v>
      </x:c>
      <x:c r="F343" t="str">
        <x:v>SEMI-CHB-A</x:v>
      </x:c>
      <x:c r="G343" s="20" t="n">
        <x:v>45597</x:v>
      </x:c>
      <x:c r="H343" s="20" t="n">
        <x:v>45591</x:v>
      </x:c>
      <x:c r="I343" s="20" t="n">
        <x:v>45595</x:v>
      </x:c>
      <x:c r="J343" t="n">
        <x:v>79</x:v>
      </x:c>
      <x:c r="K343" t="n">
        <x:v>91123.31</x:v>
      </x:c>
      <x:c r="L343" t="str">
        <x:v>海運</x:v>
      </x:c>
      <x:c r="M343" t="n">
        <x:v>0</x:v>
      </x:c>
      <x:c r="N343" t="str">
        <x:v>是</x:v>
      </x:c>
      <x:c r="O343" t="n">
        <x:v>0</x:v>
      </x:c>
      <x:c r="P343"/>
    </x:row>
    <x:row r="344" ht="20" customHeight="1">
      <x:c r="A344" t="str">
        <x:v>SH000343</x:v>
      </x:c>
      <x:c r="B344" t="str">
        <x:v>SO00237-01</x:v>
      </x:c>
      <x:c r="C344" t="str">
        <x:v>WO00343</x:v>
      </x:c>
      <x:c r="D344" t="str">
        <x:v>LOT00343</x:v>
      </x:c>
      <x:c r="E344" t="str">
        <x:v>EMS-005</x:v>
      </x:c>
      <x:c r="F344" t="str">
        <x:v>SEMI-CHB-A</x:v>
      </x:c>
      <x:c r="G344" s="20" t="n">
        <x:v>45597</x:v>
      </x:c>
      <x:c r="H344" s="20" t="n">
        <x:v>45603</x:v>
      </x:c>
      <x:c r="I344" s="20" t="n">
        <x:v>45605</x:v>
      </x:c>
      <x:c r="J344" t="n">
        <x:v>79</x:v>
      </x:c>
      <x:c r="K344" t="n">
        <x:v>90424.85</x:v>
      </x:c>
      <x:c r="L344" t="str">
        <x:v>海運</x:v>
      </x:c>
      <x:c r="M344" t="n">
        <x:v>8</x:v>
      </x:c>
      <x:c r="N344" t="str">
        <x:v>否</x:v>
      </x:c>
      <x:c r="O344" t="n">
        <x:v>0</x:v>
      </x:c>
      <x:c r="P344"/>
    </x:row>
    <x:row r="345" ht="20" customHeight="1">
      <x:c r="A345" t="str">
        <x:v>SH000344</x:v>
      </x:c>
      <x:c r="B345" t="str">
        <x:v>SO00238-01</x:v>
      </x:c>
      <x:c r="C345" t="str">
        <x:v>WO00344</x:v>
      </x:c>
      <x:c r="D345" t="str">
        <x:v>LOT00344</x:v>
      </x:c>
      <x:c r="E345" t="str">
        <x:v>IAT-005</x:v>
      </x:c>
      <x:c r="F345" t="str">
        <x:v>SEMI-WH-A</x:v>
      </x:c>
      <x:c r="G345" s="20" t="n">
        <x:v>45614</x:v>
      </x:c>
      <x:c r="H345" s="20" t="n">
        <x:v>45614</x:v>
      </x:c>
      <x:c r="I345" s="20" t="n">
        <x:v>45619</x:v>
      </x:c>
      <x:c r="J345" t="n">
        <x:v>80</x:v>
      </x:c>
      <x:c r="K345" t="n">
        <x:v>119615.02</x:v>
      </x:c>
      <x:c r="L345" t="str">
        <x:v>陸運</x:v>
      </x:c>
      <x:c r="M345" t="n">
        <x:v>5</x:v>
      </x:c>
      <x:c r="N345" t="str">
        <x:v>否</x:v>
      </x:c>
      <x:c r="O345" t="n">
        <x:v>0</x:v>
      </x:c>
      <x:c r="P345"/>
    </x:row>
    <x:row r="346" ht="20" customHeight="1">
      <x:c r="A346" t="str">
        <x:v>SH000345</x:v>
      </x:c>
      <x:c r="B346" t="str">
        <x:v>SO00238-01</x:v>
      </x:c>
      <x:c r="C346" t="str">
        <x:v>WO00345</x:v>
      </x:c>
      <x:c r="D346" t="str">
        <x:v>LOT00345</x:v>
      </x:c>
      <x:c r="E346" t="str">
        <x:v>IAT-005</x:v>
      </x:c>
      <x:c r="F346" t="str">
        <x:v>SEMI-WH-A</x:v>
      </x:c>
      <x:c r="G346" s="20" t="n">
        <x:v>45614</x:v>
      </x:c>
      <x:c r="H346" s="20" t="n">
        <x:v>45613</x:v>
      </x:c>
      <x:c r="I346" s="20" t="n">
        <x:v>45617</x:v>
      </x:c>
      <x:c r="J346" t="n">
        <x:v>78</x:v>
      </x:c>
      <x:c r="K346" t="n">
        <x:v>119615.02</x:v>
      </x:c>
      <x:c r="L346" t="str">
        <x:v>空運</x:v>
      </x:c>
      <x:c r="M346" t="n">
        <x:v>3</x:v>
      </x:c>
      <x:c r="N346" t="str">
        <x:v>否</x:v>
      </x:c>
      <x:c r="O346" t="n">
        <x:v>0</x:v>
      </x:c>
      <x:c r="P346"/>
    </x:row>
    <x:row r="347" ht="20" customHeight="1">
      <x:c r="A347" t="str">
        <x:v>SH000346</x:v>
      </x:c>
      <x:c r="B347" t="str">
        <x:v>SO00239-01</x:v>
      </x:c>
      <x:c r="C347" t="str">
        <x:v>WO00346</x:v>
      </x:c>
      <x:c r="D347" t="str">
        <x:v>LOT00346</x:v>
      </x:c>
      <x:c r="E347" t="str">
        <x:v>AUT-006</x:v>
      </x:c>
      <x:c r="F347" t="str">
        <x:v>AUTO-LG-B</x:v>
      </x:c>
      <x:c r="G347" s="20" t="n">
        <x:v>45587</x:v>
      </x:c>
      <x:c r="H347" s="20" t="n">
        <x:v>45590</x:v>
      </x:c>
      <x:c r="I347" s="20" t="n">
        <x:v>45594</x:v>
      </x:c>
      <x:c r="J347" t="n">
        <x:v>4966</x:v>
      </x:c>
      <x:c r="K347" t="n">
        <x:v>1182.32</x:v>
      </x:c>
      <x:c r="L347" t="str">
        <x:v>陸運</x:v>
      </x:c>
      <x:c r="M347" t="n">
        <x:v>7</x:v>
      </x:c>
      <x:c r="N347" t="str">
        <x:v>否</x:v>
      </x:c>
      <x:c r="O347" t="n">
        <x:v>0</x:v>
      </x:c>
      <x:c r="P347"/>
    </x:row>
    <x:row r="348" ht="20" customHeight="1">
      <x:c r="A348" t="str">
        <x:v>SH000347</x:v>
      </x:c>
      <x:c r="B348" t="str">
        <x:v>SO00240-01</x:v>
      </x:c>
      <x:c r="C348" t="str">
        <x:v>WO00348</x:v>
      </x:c>
      <x:c r="D348" t="str">
        <x:v>LOT00348</x:v>
      </x:c>
      <x:c r="E348" t="str">
        <x:v>SEM-007</x:v>
      </x:c>
      <x:c r="F348" t="str">
        <x:v>MECH-CON-B</x:v>
      </x:c>
      <x:c r="G348" s="20" t="n">
        <x:v>45606</x:v>
      </x:c>
      <x:c r="H348" s="20" t="n">
        <x:v>45602</x:v>
      </x:c>
      <x:c r="I348" s="20" t="n">
        <x:v>45605</x:v>
      </x:c>
      <x:c r="J348" t="n">
        <x:v>17</x:v>
      </x:c>
      <x:c r="K348" t="n">
        <x:v>158122.93</x:v>
      </x:c>
      <x:c r="L348" t="str">
        <x:v>陸運</x:v>
      </x:c>
      <x:c r="M348" t="n">
        <x:v>0</x:v>
      </x:c>
      <x:c r="N348" t="str">
        <x:v>是</x:v>
      </x:c>
      <x:c r="O348" t="n">
        <x:v>0</x:v>
      </x:c>
      <x:c r="P348"/>
    </x:row>
    <x:row r="349" ht="20" customHeight="1">
      <x:c r="A349" t="str">
        <x:v>SH000348</x:v>
      </x:c>
      <x:c r="B349" t="str">
        <x:v>SO00240-01</x:v>
      </x:c>
      <x:c r="C349" t="str">
        <x:v>WO00349</x:v>
      </x:c>
      <x:c r="D349" t="str">
        <x:v>LOT00349</x:v>
      </x:c>
      <x:c r="E349" t="str">
        <x:v>SEM-007</x:v>
      </x:c>
      <x:c r="F349" t="str">
        <x:v>MECH-CON-B</x:v>
      </x:c>
      <x:c r="G349" s="20" t="n">
        <x:v>45606</x:v>
      </x:c>
      <x:c r="H349" s="20" t="n">
        <x:v>45605</x:v>
      </x:c>
      <x:c r="I349" s="20" t="n">
        <x:v>45606</x:v>
      </x:c>
      <x:c r="J349" t="n">
        <x:v>16</x:v>
      </x:c>
      <x:c r="K349" t="n">
        <x:v>158122.93</x:v>
      </x:c>
      <x:c r="L349" t="str">
        <x:v>海運</x:v>
      </x:c>
      <x:c r="M349" t="n">
        <x:v>0</x:v>
      </x:c>
      <x:c r="N349" t="str">
        <x:v>是</x:v>
      </x:c>
      <x:c r="O349" t="n">
        <x:v>0</x:v>
      </x:c>
      <x:c r="P349"/>
    </x:row>
    <x:row r="350" ht="20" customHeight="1">
      <x:c r="A350" t="str">
        <x:v>SH000349</x:v>
      </x:c>
      <x:c r="B350" t="str">
        <x:v>SO00240-01</x:v>
      </x:c>
      <x:c r="C350" t="str">
        <x:v>WO00347</x:v>
      </x:c>
      <x:c r="D350" t="str">
        <x:v>LOT00347</x:v>
      </x:c>
      <x:c r="E350" t="str">
        <x:v>SEM-007</x:v>
      </x:c>
      <x:c r="F350" t="str">
        <x:v>MECH-CON-B</x:v>
      </x:c>
      <x:c r="G350" s="20" t="n">
        <x:v>45606</x:v>
      </x:c>
      <x:c r="H350" s="20" t="n">
        <x:v>45611</x:v>
      </x:c>
      <x:c r="I350" s="20" t="n">
        <x:v>45613</x:v>
      </x:c>
      <x:c r="J350" t="n">
        <x:v>17</x:v>
      </x:c>
      <x:c r="K350" t="n">
        <x:v>158122.93</x:v>
      </x:c>
      <x:c r="L350" t="str">
        <x:v>空運</x:v>
      </x:c>
      <x:c r="M350" t="n">
        <x:v>7</x:v>
      </x:c>
      <x:c r="N350" t="str">
        <x:v>否</x:v>
      </x:c>
      <x:c r="O350" t="n">
        <x:v>0</x:v>
      </x:c>
      <x:c r="P350"/>
    </x:row>
    <x:row r="351" ht="20" customHeight="1">
      <x:c r="A351" t="str">
        <x:v>SH000350</x:v>
      </x:c>
      <x:c r="B351" t="str">
        <x:v>SO00241-01</x:v>
      </x:c>
      <x:c r="C351" t="str">
        <x:v>WO00350</x:v>
      </x:c>
      <x:c r="D351" t="str">
        <x:v>LOT00350</x:v>
      </x:c>
      <x:c r="E351" t="str">
        <x:v>EMS-001</x:v>
      </x:c>
      <x:c r="F351" t="str">
        <x:v>AUTO-LG-A</x:v>
      </x:c>
      <x:c r="G351" s="20" t="n">
        <x:v>45560</x:v>
      </x:c>
      <x:c r="H351" s="20" t="n">
        <x:v>45559</x:v>
      </x:c>
      <x:c r="I351" s="20" t="n">
        <x:v>45562</x:v>
      </x:c>
      <x:c r="J351" t="n">
        <x:v>6892</x:v>
      </x:c>
      <x:c r="K351" t="n">
        <x:v>1063.15</x:v>
      </x:c>
      <x:c r="L351" t="str">
        <x:v>空運</x:v>
      </x:c>
      <x:c r="M351" t="n">
        <x:v>2</x:v>
      </x:c>
      <x:c r="N351" t="str">
        <x:v>否</x:v>
      </x:c>
      <x:c r="O351" t="n">
        <x:v>0</x:v>
      </x:c>
      <x:c r="P351"/>
    </x:row>
    <x:row r="352" ht="20" customHeight="1">
      <x:c r="A352" t="str">
        <x:v>SH000351</x:v>
      </x:c>
      <x:c r="B352" t="str">
        <x:v>SO00242-01</x:v>
      </x:c>
      <x:c r="C352" t="str">
        <x:v>WO00351</x:v>
      </x:c>
      <x:c r="D352" t="str">
        <x:v>LOT00351</x:v>
      </x:c>
      <x:c r="E352" t="str">
        <x:v>AUT-008</x:v>
      </x:c>
      <x:c r="F352" t="str">
        <x:v>PM-BRG-A</x:v>
      </x:c>
      <x:c r="G352" s="20" t="n">
        <x:v>45580</x:v>
      </x:c>
      <x:c r="H352" s="20" t="n">
        <x:v>45582</x:v>
      </x:c>
      <x:c r="I352" s="20" t="n">
        <x:v>45585</x:v>
      </x:c>
      <x:c r="J352" t="n">
        <x:v>292</x:v>
      </x:c>
      <x:c r="K352" t="n">
        <x:v>7081.19</x:v>
      </x:c>
      <x:c r="L352" t="str">
        <x:v>海運</x:v>
      </x:c>
      <x:c r="M352" t="n">
        <x:v>5</x:v>
      </x:c>
      <x:c r="N352" t="str">
        <x:v>否</x:v>
      </x:c>
      <x:c r="O352" t="n">
        <x:v>0</x:v>
      </x:c>
      <x:c r="P352"/>
    </x:row>
    <x:row r="353" ht="20" customHeight="1">
      <x:c r="A353" t="str">
        <x:v>SH000352</x:v>
      </x:c>
      <x:c r="B353" t="str">
        <x:v>SO00243-01</x:v>
      </x:c>
      <x:c r="C353" t="str">
        <x:v>WO00352</x:v>
      </x:c>
      <x:c r="D353" t="str">
        <x:v>LOT00352</x:v>
      </x:c>
      <x:c r="E353" t="str">
        <x:v>IAT-002</x:v>
      </x:c>
      <x:c r="F353" t="str">
        <x:v>AUTO-FL-B</x:v>
      </x:c>
      <x:c r="G353" s="20" t="n">
        <x:v>45560</x:v>
      </x:c>
      <x:c r="H353" s="20" t="n">
        <x:v>45560</x:v>
      </x:c>
      <x:c r="I353" s="20" t="n">
        <x:v>45563</x:v>
      </x:c>
      <x:c r="J353" t="n">
        <x:v>2937</x:v>
      </x:c>
      <x:c r="K353" t="n">
        <x:v>1561.6</x:v>
      </x:c>
      <x:c r="L353" t="str">
        <x:v>空運</x:v>
      </x:c>
      <x:c r="M353" t="n">
        <x:v>3</x:v>
      </x:c>
      <x:c r="N353" t="str">
        <x:v>否</x:v>
      </x:c>
      <x:c r="O353" t="n">
        <x:v>0</x:v>
      </x:c>
      <x:c r="P353"/>
    </x:row>
    <x:row r="354" ht="20" customHeight="1">
      <x:c r="A354" t="str">
        <x:v>SH000353</x:v>
      </x:c>
      <x:c r="B354" t="str">
        <x:v>SO00244-01</x:v>
      </x:c>
      <x:c r="C354" t="str">
        <x:v>WO00353</x:v>
      </x:c>
      <x:c r="D354" t="str">
        <x:v>LOT00353</x:v>
      </x:c>
      <x:c r="E354" t="str">
        <x:v>SEM-008</x:v>
      </x:c>
      <x:c r="F354" t="str">
        <x:v>PM-ALB-A</x:v>
      </x:c>
      <x:c r="G354" s="20" t="n">
        <x:v>45586</x:v>
      </x:c>
      <x:c r="H354" s="20" t="n">
        <x:v>45586</x:v>
      </x:c>
      <x:c r="I354" s="20" t="n">
        <x:v>45591</x:v>
      </x:c>
      <x:c r="J354" t="n">
        <x:v>789</x:v>
      </x:c>
      <x:c r="K354" t="n">
        <x:v>11163.28</x:v>
      </x:c>
      <x:c r="L354" t="str">
        <x:v>海運</x:v>
      </x:c>
      <x:c r="M354" t="n">
        <x:v>5</x:v>
      </x:c>
      <x:c r="N354" t="str">
        <x:v>否</x:v>
      </x:c>
      <x:c r="O354" t="n">
        <x:v>0</x:v>
      </x:c>
      <x:c r="P354"/>
    </x:row>
    <x:row r="355" ht="20" customHeight="1">
      <x:c r="A355" t="str">
        <x:v>SH000354</x:v>
      </x:c>
      <x:c r="B355" t="str">
        <x:v>SO00245-01</x:v>
      </x:c>
      <x:c r="C355" t="str">
        <x:v>WO00354</x:v>
      </x:c>
      <x:c r="D355" t="str">
        <x:v>LOT00354</x:v>
      </x:c>
      <x:c r="E355" t="str">
        <x:v>AUT-003</x:v>
      </x:c>
      <x:c r="F355" t="str">
        <x:v>PM-VAC-B</x:v>
      </x:c>
      <x:c r="G355" s="20" t="n">
        <x:v>45589</x:v>
      </x:c>
      <x:c r="H355" s="20" t="n">
        <x:v>45586</x:v>
      </x:c>
      <x:c r="I355" s="20" t="n">
        <x:v>45591</x:v>
      </x:c>
      <x:c r="J355" t="n">
        <x:v>493</x:v>
      </x:c>
      <x:c r="K355" t="n">
        <x:v>22915.3</x:v>
      </x:c>
      <x:c r="L355" t="str">
        <x:v>陸運</x:v>
      </x:c>
      <x:c r="M355" t="n">
        <x:v>2</x:v>
      </x:c>
      <x:c r="N355" t="str">
        <x:v>否</x:v>
      </x:c>
      <x:c r="O355" t="n">
        <x:v>0</x:v>
      </x:c>
      <x:c r="P355"/>
    </x:row>
    <x:row r="356" ht="20" customHeight="1">
      <x:c r="A356" t="str">
        <x:v>SH000355</x:v>
      </x:c>
      <x:c r="B356" t="str">
        <x:v>SO00246-01</x:v>
      </x:c>
      <x:c r="C356" t="str">
        <x:v>WO00356</x:v>
      </x:c>
      <x:c r="D356" t="str">
        <x:v>LOT00356</x:v>
      </x:c>
      <x:c r="E356" t="str">
        <x:v>IAT-008</x:v>
      </x:c>
      <x:c r="F356" t="str">
        <x:v>MECH-STG-B</x:v>
      </x:c>
      <x:c r="G356" s="20" t="n">
        <x:v>45622</x:v>
      </x:c>
      <x:c r="H356" s="20" t="n">
        <x:v>45618</x:v>
      </x:c>
      <x:c r="I356" s="20" t="n">
        <x:v>45619</x:v>
      </x:c>
      <x:c r="J356" t="n">
        <x:v>20</x:v>
      </x:c>
      <x:c r="K356" t="n">
        <x:v>196890.88</x:v>
      </x:c>
      <x:c r="L356" t="str">
        <x:v>空運</x:v>
      </x:c>
      <x:c r="M356" t="n">
        <x:v>0</x:v>
      </x:c>
      <x:c r="N356" t="str">
        <x:v>是</x:v>
      </x:c>
      <x:c r="O356" t="n">
        <x:v>0</x:v>
      </x:c>
      <x:c r="P356"/>
    </x:row>
    <x:row r="357" ht="20" customHeight="1">
      <x:c r="A357" t="str">
        <x:v>SH000356</x:v>
      </x:c>
      <x:c r="B357" t="str">
        <x:v>SO00246-01</x:v>
      </x:c>
      <x:c r="C357" t="str">
        <x:v>WO00355</x:v>
      </x:c>
      <x:c r="D357" t="str">
        <x:v>LOT00355</x:v>
      </x:c>
      <x:c r="E357" t="str">
        <x:v>IAT-008</x:v>
      </x:c>
      <x:c r="F357" t="str">
        <x:v>MECH-STG-B</x:v>
      </x:c>
      <x:c r="G357" s="20" t="n">
        <x:v>45622</x:v>
      </x:c>
      <x:c r="H357" s="20" t="n">
        <x:v>45623</x:v>
      </x:c>
      <x:c r="I357" s="20" t="n">
        <x:v>45628</x:v>
      </x:c>
      <x:c r="J357" t="n">
        <x:v>20</x:v>
      </x:c>
      <x:c r="K357" t="n">
        <x:v>196890.88</x:v>
      </x:c>
      <x:c r="L357" t="str">
        <x:v>陸運</x:v>
      </x:c>
      <x:c r="M357" t="n">
        <x:v>6</x:v>
      </x:c>
      <x:c r="N357" t="str">
        <x:v>否</x:v>
      </x:c>
      <x:c r="O357" t="n">
        <x:v>0</x:v>
      </x:c>
      <x:c r="P357"/>
    </x:row>
    <x:row r="358" ht="20" customHeight="1">
      <x:c r="A358" t="str">
        <x:v>SH000357</x:v>
      </x:c>
      <x:c r="B358" t="str">
        <x:v>SO00247-01</x:v>
      </x:c>
      <x:c r="C358" t="str">
        <x:v>WO00357</x:v>
      </x:c>
      <x:c r="D358" t="str">
        <x:v>LOT00357</x:v>
      </x:c>
      <x:c r="E358" t="str">
        <x:v>AUT-012</x:v>
      </x:c>
      <x:c r="F358" t="str">
        <x:v>PM-ALB-B</x:v>
      </x:c>
      <x:c r="G358" s="20" t="n">
        <x:v>45603</x:v>
      </x:c>
      <x:c r="H358" s="20" t="n">
        <x:v>45604</x:v>
      </x:c>
      <x:c r="I358" s="20" t="n">
        <x:v>45609</x:v>
      </x:c>
      <x:c r="J358" t="n">
        <x:v>295</x:v>
      </x:c>
      <x:c r="K358" t="n">
        <x:v>15459.51</x:v>
      </x:c>
      <x:c r="L358" t="str">
        <x:v>空運</x:v>
      </x:c>
      <x:c r="M358" t="n">
        <x:v>6</x:v>
      </x:c>
      <x:c r="N358" t="str">
        <x:v>否</x:v>
      </x:c>
      <x:c r="O358" t="n">
        <x:v>0</x:v>
      </x:c>
      <x:c r="P358"/>
    </x:row>
    <x:row r="359" ht="20" customHeight="1">
      <x:c r="A359" t="str">
        <x:v>SH000358</x:v>
      </x:c>
      <x:c r="B359" t="str">
        <x:v>SO00248-01</x:v>
      </x:c>
      <x:c r="C359" t="str">
        <x:v>WO00358</x:v>
      </x:c>
      <x:c r="D359" t="str">
        <x:v>LOT00358</x:v>
      </x:c>
      <x:c r="E359" t="str">
        <x:v>SEM-009</x:v>
      </x:c>
      <x:c r="F359" t="str">
        <x:v>SEMI-WH-B</x:v>
      </x:c>
      <x:c r="G359" s="20" t="n">
        <x:v>45634</x:v>
      </x:c>
      <x:c r="H359" s="20" t="n">
        <x:v>45630</x:v>
      </x:c>
      <x:c r="I359" s="20" t="n">
        <x:v>45635</x:v>
      </x:c>
      <x:c r="J359" t="n">
        <x:v>39</x:v>
      </x:c>
      <x:c r="K359" t="n">
        <x:v>170374.65</x:v>
      </x:c>
      <x:c r="L359" t="str">
        <x:v>海運</x:v>
      </x:c>
      <x:c r="M359" t="n">
        <x:v>1</x:v>
      </x:c>
      <x:c r="N359" t="str">
        <x:v>否</x:v>
      </x:c>
      <x:c r="O359" t="n">
        <x:v>0</x:v>
      </x:c>
      <x:c r="P359"/>
    </x:row>
    <x:row r="360" ht="20" customHeight="1">
      <x:c r="A360" t="str">
        <x:v>SH000359</x:v>
      </x:c>
      <x:c r="B360" t="str">
        <x:v>SO00249-01</x:v>
      </x:c>
      <x:c r="C360" t="str">
        <x:v>WO00359</x:v>
      </x:c>
      <x:c r="D360" t="str">
        <x:v>LOT00359</x:v>
      </x:c>
      <x:c r="E360" t="str">
        <x:v>IAT-001</x:v>
      </x:c>
      <x:c r="F360" t="str">
        <x:v>AUTO-MH-B</x:v>
      </x:c>
      <x:c r="G360" s="20" t="n">
        <x:v>45589</x:v>
      </x:c>
      <x:c r="H360" s="20" t="n">
        <x:v>45587</x:v>
      </x:c>
      <x:c r="I360" s="20" t="n">
        <x:v>45592</x:v>
      </x:c>
      <x:c r="J360" t="n">
        <x:v>6928</x:v>
      </x:c>
      <x:c r="K360" t="n">
        <x:v>3110.19</x:v>
      </x:c>
      <x:c r="L360" t="str">
        <x:v>陸運</x:v>
      </x:c>
      <x:c r="M360" t="n">
        <x:v>3</x:v>
      </x:c>
      <x:c r="N360" t="str">
        <x:v>否</x:v>
      </x:c>
      <x:c r="O360" t="n">
        <x:v>0</x:v>
      </x:c>
      <x:c r="P360"/>
    </x:row>
    <x:row r="361" ht="20" customHeight="1">
      <x:c r="A361" t="str">
        <x:v>SH000360</x:v>
      </x:c>
      <x:c r="B361" t="str">
        <x:v>SO00250-01</x:v>
      </x:c>
      <x:c r="C361" t="str">
        <x:v>WO00360</x:v>
      </x:c>
      <x:c r="D361" t="str">
        <x:v>LOT00360</x:v>
      </x:c>
      <x:c r="E361" t="str">
        <x:v>SEM-002</x:v>
      </x:c>
      <x:c r="F361" t="str">
        <x:v>PM-ALB-B</x:v>
      </x:c>
      <x:c r="G361" s="20" t="n">
        <x:v>45594</x:v>
      </x:c>
      <x:c r="H361" s="20" t="n">
        <x:v>45591</x:v>
      </x:c>
      <x:c r="I361" s="20" t="n">
        <x:v>45593</x:v>
      </x:c>
      <x:c r="J361" t="n">
        <x:v>495</x:v>
      </x:c>
      <x:c r="K361" t="n">
        <x:v>16274.34</x:v>
      </x:c>
      <x:c r="L361" t="str">
        <x:v>空運</x:v>
      </x:c>
      <x:c r="M361" t="n">
        <x:v>0</x:v>
      </x:c>
      <x:c r="N361" t="str">
        <x:v>是</x:v>
      </x:c>
      <x:c r="O361" t="n">
        <x:v>0</x:v>
      </x:c>
      <x:c r="P361"/>
    </x:row>
    <x:row r="362" ht="20" customHeight="1">
      <x:c r="A362" t="str">
        <x:v>SH000361</x:v>
      </x:c>
      <x:c r="B362" t="str">
        <x:v>SO00251-01</x:v>
      </x:c>
      <x:c r="C362" t="str">
        <x:v>WO00361</x:v>
      </x:c>
      <x:c r="D362" t="str">
        <x:v>LOT00361</x:v>
      </x:c>
      <x:c r="E362" t="str">
        <x:v>AFT-006</x:v>
      </x:c>
      <x:c r="F362" t="str">
        <x:v>AUTO-BS-B</x:v>
      </x:c>
      <x:c r="G362" s="20" t="n">
        <x:v>45589</x:v>
      </x:c>
      <x:c r="H362" s="20" t="n">
        <x:v>45597</x:v>
      </x:c>
      <x:c r="I362" s="20" t="n">
        <x:v>45601</x:v>
      </x:c>
      <x:c r="J362" t="n">
        <x:v>6947</x:v>
      </x:c>
      <x:c r="K362" t="n">
        <x:v>816.93</x:v>
      </x:c>
      <x:c r="L362" t="str">
        <x:v>陸運</x:v>
      </x:c>
      <x:c r="M362" t="n">
        <x:v>12</x:v>
      </x:c>
      <x:c r="N362" t="str">
        <x:v>否</x:v>
      </x:c>
      <x:c r="O362" t="n">
        <x:v>0</x:v>
      </x:c>
      <x:c r="P362"/>
    </x:row>
    <x:row r="363" ht="20" customHeight="1">
      <x:c r="A363" t="str">
        <x:v>SH000362</x:v>
      </x:c>
      <x:c r="B363" t="str">
        <x:v>SO00252-01</x:v>
      </x:c>
      <x:c r="C363" t="str">
        <x:v>WO00362</x:v>
      </x:c>
      <x:c r="D363" t="str">
        <x:v>LOT00362</x:v>
      </x:c>
      <x:c r="E363" t="str">
        <x:v>SEM-006</x:v>
      </x:c>
      <x:c r="F363" t="str">
        <x:v>SEMI-CHB-A</x:v>
      </x:c>
      <x:c r="G363" s="20" t="n">
        <x:v>45620</x:v>
      </x:c>
      <x:c r="H363" s="20" t="n">
        <x:v>45615</x:v>
      </x:c>
      <x:c r="I363" s="20" t="n">
        <x:v>45617</x:v>
      </x:c>
      <x:c r="J363" t="n">
        <x:v>39</x:v>
      </x:c>
      <x:c r="K363" t="n">
        <x:v>91484.1</x:v>
      </x:c>
      <x:c r="L363" t="str">
        <x:v>陸運</x:v>
      </x:c>
      <x:c r="M363" t="n">
        <x:v>0</x:v>
      </x:c>
      <x:c r="N363" t="str">
        <x:v>是</x:v>
      </x:c>
      <x:c r="O363" t="n">
        <x:v>0</x:v>
      </x:c>
      <x:c r="P363"/>
    </x:row>
    <x:row r="364" ht="20" customHeight="1">
      <x:c r="A364" t="str">
        <x:v>SH000363</x:v>
      </x:c>
      <x:c r="B364" t="str">
        <x:v>SO00253-01</x:v>
      </x:c>
      <x:c r="C364" t="str">
        <x:v>WO00363</x:v>
      </x:c>
      <x:c r="D364" t="str">
        <x:v>LOT00363</x:v>
      </x:c>
      <x:c r="E364" t="str">
        <x:v>IAT-007</x:v>
      </x:c>
      <x:c r="F364" t="str">
        <x:v>SEMI-WH-A</x:v>
      </x:c>
      <x:c r="G364" s="20" t="n">
        <x:v>45646</x:v>
      </x:c>
      <x:c r="H364" s="20" t="n">
        <x:v>45645</x:v>
      </x:c>
      <x:c r="I364" s="20" t="n">
        <x:v>45650</x:v>
      </x:c>
      <x:c r="J364" t="n">
        <x:v>39</x:v>
      </x:c>
      <x:c r="K364" t="n">
        <x:v>115071.95</x:v>
      </x:c>
      <x:c r="L364" t="str">
        <x:v>陸運</x:v>
      </x:c>
      <x:c r="M364" t="n">
        <x:v>4</x:v>
      </x:c>
      <x:c r="N364" t="str">
        <x:v>否</x:v>
      </x:c>
      <x:c r="O364" t="n">
        <x:v>0</x:v>
      </x:c>
      <x:c r="P364"/>
    </x:row>
    <x:row r="365" ht="20" customHeight="1">
      <x:c r="A365" t="str">
        <x:v>SH000364</x:v>
      </x:c>
      <x:c r="B365" t="str">
        <x:v>SO00254-01</x:v>
      </x:c>
      <x:c r="C365" t="str">
        <x:v>WO00364</x:v>
      </x:c>
      <x:c r="D365" t="str">
        <x:v>LOT00364</x:v>
      </x:c>
      <x:c r="E365" t="str">
        <x:v>SEM-005</x:v>
      </x:c>
      <x:c r="F365" t="str">
        <x:v>MECH-STG-A</x:v>
      </x:c>
      <x:c r="G365" s="20" t="n">
        <x:v>45639</x:v>
      </x:c>
      <x:c r="H365" s="20" t="n">
        <x:v>45633</x:v>
      </x:c>
      <x:c r="I365" s="20" t="n">
        <x:v>45638</x:v>
      </x:c>
      <x:c r="J365" t="n">
        <x:v>20</x:v>
      </x:c>
      <x:c r="K365" t="n">
        <x:v>138258.13</x:v>
      </x:c>
      <x:c r="L365" t="str">
        <x:v>空運</x:v>
      </x:c>
      <x:c r="M365" t="n">
        <x:v>0</x:v>
      </x:c>
      <x:c r="N365" t="str">
        <x:v>是</x:v>
      </x:c>
      <x:c r="O365" t="n">
        <x:v>0</x:v>
      </x:c>
      <x:c r="P365"/>
    </x:row>
    <x:row r="366" ht="20" customHeight="1">
      <x:c r="A366" t="str">
        <x:v>SH000365</x:v>
      </x:c>
      <x:c r="B366" t="str">
        <x:v>SO00254-01</x:v>
      </x:c>
      <x:c r="C366" t="str">
        <x:v>WO00365</x:v>
      </x:c>
      <x:c r="D366" t="str">
        <x:v>LOT00365</x:v>
      </x:c>
      <x:c r="E366" t="str">
        <x:v>SEM-005</x:v>
      </x:c>
      <x:c r="F366" t="str">
        <x:v>MECH-STG-A</x:v>
      </x:c>
      <x:c r="G366" s="20" t="n">
        <x:v>45639</x:v>
      </x:c>
      <x:c r="H366" s="20" t="n">
        <x:v>45636</x:v>
      </x:c>
      <x:c r="I366" s="20" t="n">
        <x:v>45640</x:v>
      </x:c>
      <x:c r="J366" t="n">
        <x:v>20</x:v>
      </x:c>
      <x:c r="K366" t="n">
        <x:v>138258.13</x:v>
      </x:c>
      <x:c r="L366" t="str">
        <x:v>陸運</x:v>
      </x:c>
      <x:c r="M366" t="n">
        <x:v>1</x:v>
      </x:c>
      <x:c r="N366" t="str">
        <x:v>否</x:v>
      </x:c>
      <x:c r="O366" t="n">
        <x:v>0</x:v>
      </x:c>
      <x:c r="P366"/>
    </x:row>
    <x:row r="367" ht="20" customHeight="1">
      <x:c r="A367" t="str">
        <x:v>SH000366</x:v>
      </x:c>
      <x:c r="B367" t="str">
        <x:v>SO00255-01</x:v>
      </x:c>
      <x:c r="C367" t="str">
        <x:v>WO00366</x:v>
      </x:c>
      <x:c r="D367" t="str">
        <x:v>LOT00366</x:v>
      </x:c>
      <x:c r="E367" t="str">
        <x:v>EMS-004</x:v>
      </x:c>
      <x:c r="F367" t="str">
        <x:v>PM-BRG-B</x:v>
      </x:c>
      <x:c r="G367" s="20" t="n">
        <x:v>45607</x:v>
      </x:c>
      <x:c r="H367" s="20" t="n">
        <x:v>45604</x:v>
      </x:c>
      <x:c r="I367" s="20" t="n">
        <x:v>45605</x:v>
      </x:c>
      <x:c r="J367" t="n">
        <x:v>777</x:v>
      </x:c>
      <x:c r="K367" t="n">
        <x:v>7949.22</x:v>
      </x:c>
      <x:c r="L367" t="str">
        <x:v>陸運</x:v>
      </x:c>
      <x:c r="M367" t="n">
        <x:v>0</x:v>
      </x:c>
      <x:c r="N367" t="str">
        <x:v>是</x:v>
      </x:c>
      <x:c r="O367" t="n">
        <x:v>0</x:v>
      </x:c>
      <x:c r="P367"/>
    </x:row>
    <x:row r="368" ht="20" customHeight="1">
      <x:c r="A368" t="str">
        <x:v>SH000367</x:v>
      </x:c>
      <x:c r="B368" t="str">
        <x:v>SO00255-01</x:v>
      </x:c>
      <x:c r="C368" t="str">
        <x:v>WO00367</x:v>
      </x:c>
      <x:c r="D368" t="str">
        <x:v>LOT00367</x:v>
      </x:c>
      <x:c r="E368" t="str">
        <x:v>EMS-004</x:v>
      </x:c>
      <x:c r="F368" t="str">
        <x:v>PM-BRG-B</x:v>
      </x:c>
      <x:c r="G368" s="20" t="n">
        <x:v>45607</x:v>
      </x:c>
      <x:c r="H368" s="20" t="n">
        <x:v>45606</x:v>
      </x:c>
      <x:c r="I368" s="20" t="n">
        <x:v>45611</x:v>
      </x:c>
      <x:c r="J368" t="n">
        <x:v>774</x:v>
      </x:c>
      <x:c r="K368" t="n">
        <x:v>7949.22</x:v>
      </x:c>
      <x:c r="L368" t="str">
        <x:v>空運</x:v>
      </x:c>
      <x:c r="M368" t="n">
        <x:v>4</x:v>
      </x:c>
      <x:c r="N368" t="str">
        <x:v>否</x:v>
      </x:c>
      <x:c r="O368" t="n">
        <x:v>0</x:v>
      </x:c>
      <x:c r="P368"/>
    </x:row>
    <x:row r="369" ht="20" customHeight="1">
      <x:c r="A369" t="str">
        <x:v>SH000368</x:v>
      </x:c>
      <x:c r="B369" t="str">
        <x:v>SO00256-01</x:v>
      </x:c>
      <x:c r="C369" t="str">
        <x:v>WO00368</x:v>
      </x:c>
      <x:c r="D369" t="str">
        <x:v>LOT00368</x:v>
      </x:c>
      <x:c r="E369" t="str">
        <x:v>EMS-002</x:v>
      </x:c>
      <x:c r="F369" t="str">
        <x:v>AUTO-BRK-A</x:v>
      </x:c>
      <x:c r="G369" s="20" t="n">
        <x:v>45607</x:v>
      </x:c>
      <x:c r="H369" s="20" t="n">
        <x:v>45602</x:v>
      </x:c>
      <x:c r="I369" s="20" t="n">
        <x:v>45606</x:v>
      </x:c>
      <x:c r="J369" t="n">
        <x:v>6394</x:v>
      </x:c>
      <x:c r="K369" t="n">
        <x:v>1727.18</x:v>
      </x:c>
      <x:c r="L369" t="str">
        <x:v>海運</x:v>
      </x:c>
      <x:c r="M369" t="n">
        <x:v>0</x:v>
      </x:c>
      <x:c r="N369" t="str">
        <x:v>是</x:v>
      </x:c>
      <x:c r="O369" t="n">
        <x:v>0</x:v>
      </x:c>
      <x:c r="P369"/>
    </x:row>
    <x:row r="370" ht="20" customHeight="1">
      <x:c r="A370" t="str">
        <x:v>SH000369</x:v>
      </x:c>
      <x:c r="B370" t="str">
        <x:v>SO00256-01</x:v>
      </x:c>
      <x:c r="C370" t="str">
        <x:v>WO00369</x:v>
      </x:c>
      <x:c r="D370" t="str">
        <x:v>LOT00369</x:v>
      </x:c>
      <x:c r="E370" t="str">
        <x:v>EMS-002</x:v>
      </x:c>
      <x:c r="F370" t="str">
        <x:v>AUTO-BRK-A</x:v>
      </x:c>
      <x:c r="G370" s="20" t="n">
        <x:v>45607</x:v>
      </x:c>
      <x:c r="H370" s="20" t="n">
        <x:v>45604</x:v>
      </x:c>
      <x:c r="I370" s="20" t="n">
        <x:v>45608</x:v>
      </x:c>
      <x:c r="J370" t="n">
        <x:v>6406</x:v>
      </x:c>
      <x:c r="K370" t="n">
        <x:v>1727.18</x:v>
      </x:c>
      <x:c r="L370" t="str">
        <x:v>空運</x:v>
      </x:c>
      <x:c r="M370" t="n">
        <x:v>1</x:v>
      </x:c>
      <x:c r="N370" t="str">
        <x:v>否</x:v>
      </x:c>
      <x:c r="O370" t="n">
        <x:v>0</x:v>
      </x:c>
      <x:c r="P370"/>
    </x:row>
    <x:row r="371" ht="20" customHeight="1">
      <x:c r="A371" t="str">
        <x:v>SH000370</x:v>
      </x:c>
      <x:c r="B371" t="str">
        <x:v>SO00257-01</x:v>
      </x:c>
      <x:c r="C371" t="str">
        <x:v>WO00370</x:v>
      </x:c>
      <x:c r="D371" t="str">
        <x:v>LOT00370</x:v>
      </x:c>
      <x:c r="E371" t="str">
        <x:v>IAT-002</x:v>
      </x:c>
      <x:c r="F371" t="str">
        <x:v>AUTO-BS-A</x:v>
      </x:c>
      <x:c r="G371" s="20" t="n">
        <x:v>45601</x:v>
      </x:c>
      <x:c r="H371" s="20" t="n">
        <x:v>45595</x:v>
      </x:c>
      <x:c r="I371" s="20" t="n">
        <x:v>45596</x:v>
      </x:c>
      <x:c r="J371" t="n">
        <x:v>6984</x:v>
      </x:c>
      <x:c r="K371" t="n">
        <x:v>775.87</x:v>
      </x:c>
      <x:c r="L371" t="str">
        <x:v>陸運</x:v>
      </x:c>
      <x:c r="M371" t="n">
        <x:v>0</x:v>
      </x:c>
      <x:c r="N371" t="str">
        <x:v>是</x:v>
      </x:c>
      <x:c r="O371" t="n">
        <x:v>0</x:v>
      </x:c>
      <x:c r="P371"/>
    </x:row>
    <x:row r="372" ht="20" customHeight="1">
      <x:c r="A372" t="str">
        <x:v>SH000371</x:v>
      </x:c>
      <x:c r="B372" t="str">
        <x:v>SO00258-01</x:v>
      </x:c>
      <x:c r="C372" t="str">
        <x:v>WO00371</x:v>
      </x:c>
      <x:c r="D372" t="str">
        <x:v>LOT00371</x:v>
      </x:c>
      <x:c r="E372" t="str">
        <x:v>EMS-006</x:v>
      </x:c>
      <x:c r="F372" t="str">
        <x:v>PM-SUS-A</x:v>
      </x:c>
      <x:c r="G372" s="20" t="n">
        <x:v>45612</x:v>
      </x:c>
      <x:c r="H372" s="20" t="n">
        <x:v>45610</x:v>
      </x:c>
      <x:c r="I372" s="20" t="n">
        <x:v>45615</x:v>
      </x:c>
      <x:c r="J372" t="n">
        <x:v>493</x:v>
      </x:c>
      <x:c r="K372" t="n">
        <x:v>10820.25</x:v>
      </x:c>
      <x:c r="L372" t="str">
        <x:v>空運</x:v>
      </x:c>
      <x:c r="M372" t="n">
        <x:v>3</x:v>
      </x:c>
      <x:c r="N372" t="str">
        <x:v>否</x:v>
      </x:c>
      <x:c r="O372" t="n">
        <x:v>0</x:v>
      </x:c>
      <x:c r="P372"/>
    </x:row>
    <x:row r="373" ht="20" customHeight="1">
      <x:c r="A373" t="str">
        <x:v>SH000372</x:v>
      </x:c>
      <x:c r="B373" t="str">
        <x:v>SO00259-01</x:v>
      </x:c>
      <x:c r="C373" t="str">
        <x:v>WO00373</x:v>
      </x:c>
      <x:c r="D373" t="str">
        <x:v>LOT00373</x:v>
      </x:c>
      <x:c r="E373" t="str">
        <x:v>IAT-004</x:v>
      </x:c>
      <x:c r="F373" t="str">
        <x:v>AUTO-BRK-A</x:v>
      </x:c>
      <x:c r="G373" s="20" t="n">
        <x:v>45620</x:v>
      </x:c>
      <x:c r="H373" s="20" t="n">
        <x:v>45616</x:v>
      </x:c>
      <x:c r="I373" s="20" t="n">
        <x:v>45621</x:v>
      </x:c>
      <x:c r="J373" t="n">
        <x:v>4976</x:v>
      </x:c>
      <x:c r="K373" t="n">
        <x:v>1794.01</x:v>
      </x:c>
      <x:c r="L373" t="str">
        <x:v>空運</x:v>
      </x:c>
      <x:c r="M373" t="n">
        <x:v>1</x:v>
      </x:c>
      <x:c r="N373" t="str">
        <x:v>否</x:v>
      </x:c>
      <x:c r="O373" t="n">
        <x:v>0</x:v>
      </x:c>
      <x:c r="P373"/>
    </x:row>
    <x:row r="374" ht="20" customHeight="1">
      <x:c r="A374" t="str">
        <x:v>SH000373</x:v>
      </x:c>
      <x:c r="B374" t="str">
        <x:v>SO00259-01</x:v>
      </x:c>
      <x:c r="C374" t="str">
        <x:v>WO00372</x:v>
      </x:c>
      <x:c r="D374" t="str">
        <x:v>LOT00372</x:v>
      </x:c>
      <x:c r="E374" t="str">
        <x:v>IAT-004</x:v>
      </x:c>
      <x:c r="F374" t="str">
        <x:v>AUTO-BRK-A</x:v>
      </x:c>
      <x:c r="G374" s="20" t="n">
        <x:v>45620</x:v>
      </x:c>
      <x:c r="H374" s="20" t="n">
        <x:v>45618</x:v>
      </x:c>
      <x:c r="I374" s="20" t="n">
        <x:v>45622</x:v>
      </x:c>
      <x:c r="J374" t="n">
        <x:v>4933</x:v>
      </x:c>
      <x:c r="K374" t="n">
        <x:v>1794.01</x:v>
      </x:c>
      <x:c r="L374" t="str">
        <x:v>陸運</x:v>
      </x:c>
      <x:c r="M374" t="n">
        <x:v>2</x:v>
      </x:c>
      <x:c r="N374" t="str">
        <x:v>否</x:v>
      </x:c>
      <x:c r="O374" t="n">
        <x:v>0</x:v>
      </x:c>
      <x:c r="P374"/>
    </x:row>
    <x:row r="375" ht="20" customHeight="1">
      <x:c r="A375" t="str">
        <x:v>SH000374</x:v>
      </x:c>
      <x:c r="B375" t="str">
        <x:v>SO00260-01</x:v>
      </x:c>
      <x:c r="C375" t="str">
        <x:v>WO00375</x:v>
      </x:c>
      <x:c r="D375" t="str">
        <x:v>LOT00375</x:v>
      </x:c>
      <x:c r="E375" t="str">
        <x:v>SEM-008</x:v>
      </x:c>
      <x:c r="F375" t="str">
        <x:v>PM-ALB-B</x:v>
      </x:c>
      <x:c r="G375" s="20" t="n">
        <x:v>45635</x:v>
      </x:c>
      <x:c r="H375" s="20" t="n">
        <x:v>45632</x:v>
      </x:c>
      <x:c r="I375" s="20" t="n">
        <x:v>45636</x:v>
      </x:c>
      <x:c r="J375" t="n">
        <x:v>783</x:v>
      </x:c>
      <x:c r="K375" t="n">
        <x:v>14274.55</x:v>
      </x:c>
      <x:c r="L375" t="str">
        <x:v>空運</x:v>
      </x:c>
      <x:c r="M375" t="n">
        <x:v>1</x:v>
      </x:c>
      <x:c r="N375" t="str">
        <x:v>否</x:v>
      </x:c>
      <x:c r="O375" t="n">
        <x:v>0</x:v>
      </x:c>
      <x:c r="P375"/>
    </x:row>
    <x:row r="376" ht="20" customHeight="1">
      <x:c r="A376" t="str">
        <x:v>SH000375</x:v>
      </x:c>
      <x:c r="B376" t="str">
        <x:v>SO00260-01</x:v>
      </x:c>
      <x:c r="C376" t="str">
        <x:v>WO00374</x:v>
      </x:c>
      <x:c r="D376" t="str">
        <x:v>LOT00374</x:v>
      </x:c>
      <x:c r="E376" t="str">
        <x:v>SEM-008</x:v>
      </x:c>
      <x:c r="F376" t="str">
        <x:v>PM-ALB-B</x:v>
      </x:c>
      <x:c r="G376" s="20" t="n">
        <x:v>45635</x:v>
      </x:c>
      <x:c r="H376" s="20" t="n">
        <x:v>45634</x:v>
      </x:c>
      <x:c r="I376" s="20" t="n">
        <x:v>45635</x:v>
      </x:c>
      <x:c r="J376" t="n">
        <x:v>795</x:v>
      </x:c>
      <x:c r="K376" t="n">
        <x:v>14274.55</x:v>
      </x:c>
      <x:c r="L376" t="str">
        <x:v>空運</x:v>
      </x:c>
      <x:c r="M376" t="n">
        <x:v>0</x:v>
      </x:c>
      <x:c r="N376" t="str">
        <x:v>是</x:v>
      </x:c>
      <x:c r="O376" t="n">
        <x:v>0</x:v>
      </x:c>
      <x:c r="P376"/>
    </x:row>
    <x:row r="377" ht="20" customHeight="1">
      <x:c r="A377" t="str">
        <x:v>SH000376</x:v>
      </x:c>
      <x:c r="B377" t="str">
        <x:v>SO00261-01</x:v>
      </x:c>
      <x:c r="C377" t="str">
        <x:v>WO00376</x:v>
      </x:c>
      <x:c r="D377" t="str">
        <x:v>LOT00376</x:v>
      </x:c>
      <x:c r="E377" t="str">
        <x:v>AFT-002</x:v>
      </x:c>
      <x:c r="F377" t="str">
        <x:v>PM-ALB-A</x:v>
      </x:c>
      <x:c r="G377" s="20" t="n">
        <x:v>45609</x:v>
      </x:c>
      <x:c r="H377" s="20" t="n">
        <x:v>45607</x:v>
      </x:c>
      <x:c r="I377" s="20" t="n">
        <x:v>45612</x:v>
      </x:c>
      <x:c r="J377" t="n">
        <x:v>294</x:v>
      </x:c>
      <x:c r="K377" t="n">
        <x:v>10793.61</x:v>
      </x:c>
      <x:c r="L377" t="str">
        <x:v>空運</x:v>
      </x:c>
      <x:c r="M377" t="n">
        <x:v>3</x:v>
      </x:c>
      <x:c r="N377" t="str">
        <x:v>否</x:v>
      </x:c>
      <x:c r="O377" t="n">
        <x:v>0</x:v>
      </x:c>
      <x:c r="P377"/>
    </x:row>
    <x:row r="378" ht="20" customHeight="1">
      <x:c r="A378" t="str">
        <x:v>SH000377</x:v>
      </x:c>
      <x:c r="B378" t="str">
        <x:v>SO00262-01</x:v>
      </x:c>
      <x:c r="C378" t="str">
        <x:v>WO00377</x:v>
      </x:c>
      <x:c r="D378" t="str">
        <x:v>LOT00377</x:v>
      </x:c>
      <x:c r="E378" t="str">
        <x:v>EMS-002</x:v>
      </x:c>
      <x:c r="F378" t="str">
        <x:v>AUTO-MH-A</x:v>
      </x:c>
      <x:c r="G378" s="20" t="n">
        <x:v>45618</x:v>
      </x:c>
      <x:c r="H378" s="20" t="n">
        <x:v>45618</x:v>
      </x:c>
      <x:c r="I378" s="20" t="n">
        <x:v>45620</x:v>
      </x:c>
      <x:c r="J378" t="n">
        <x:v>2966</x:v>
      </x:c>
      <x:c r="K378" t="n">
        <x:v>2262.63</x:v>
      </x:c>
      <x:c r="L378" t="str">
        <x:v>空運</x:v>
      </x:c>
      <x:c r="M378" t="n">
        <x:v>2</x:v>
      </x:c>
      <x:c r="N378" t="str">
        <x:v>否</x:v>
      </x:c>
      <x:c r="O378" t="n">
        <x:v>0</x:v>
      </x:c>
      <x:c r="P378"/>
    </x:row>
    <x:row r="379" ht="20" customHeight="1">
      <x:c r="A379" t="str">
        <x:v>SH000378</x:v>
      </x:c>
      <x:c r="B379" t="str">
        <x:v>SO00263-01</x:v>
      </x:c>
      <x:c r="C379" t="str">
        <x:v>WO00378</x:v>
      </x:c>
      <x:c r="D379" t="str">
        <x:v>LOT00378</x:v>
      </x:c>
      <x:c r="E379" t="str">
        <x:v>AFT-001</x:v>
      </x:c>
      <x:c r="F379" t="str">
        <x:v>PM-SUS-A</x:v>
      </x:c>
      <x:c r="G379" s="20" t="n">
        <x:v>45620</x:v>
      </x:c>
      <x:c r="H379" s="20" t="n">
        <x:v>45614</x:v>
      </x:c>
      <x:c r="I379" s="20" t="n">
        <x:v>45617</x:v>
      </x:c>
      <x:c r="J379" t="n">
        <x:v>784</x:v>
      </x:c>
      <x:c r="K379" t="n">
        <x:v>11191.99</x:v>
      </x:c>
      <x:c r="L379" t="str">
        <x:v>海運</x:v>
      </x:c>
      <x:c r="M379" t="n">
        <x:v>0</x:v>
      </x:c>
      <x:c r="N379" t="str">
        <x:v>是</x:v>
      </x:c>
      <x:c r="O379" t="n">
        <x:v>0</x:v>
      </x:c>
      <x:c r="P379"/>
    </x:row>
    <x:row r="380" ht="20" customHeight="1">
      <x:c r="A380" t="str">
        <x:v>SH000379</x:v>
      </x:c>
      <x:c r="B380" t="str">
        <x:v>SO00264-01</x:v>
      </x:c>
      <x:c r="C380" t="str">
        <x:v>WO00379</x:v>
      </x:c>
      <x:c r="D380" t="str">
        <x:v>LOT00379</x:v>
      </x:c>
      <x:c r="E380" t="str">
        <x:v>EMS-006</x:v>
      </x:c>
      <x:c r="F380" t="str">
        <x:v>PM-VAC-A</x:v>
      </x:c>
      <x:c r="G380" s="20" t="n">
        <x:v>45619</x:v>
      </x:c>
      <x:c r="H380" s="20" t="n">
        <x:v>45618</x:v>
      </x:c>
      <x:c r="I380" s="20" t="n">
        <x:v>45622</x:v>
      </x:c>
      <x:c r="J380" t="n">
        <x:v>790</x:v>
      </x:c>
      <x:c r="K380" t="n">
        <x:v>16664.23</x:v>
      </x:c>
      <x:c r="L380" t="str">
        <x:v>空運</x:v>
      </x:c>
      <x:c r="M380" t="n">
        <x:v>3</x:v>
      </x:c>
      <x:c r="N380" t="str">
        <x:v>否</x:v>
      </x:c>
      <x:c r="O380" t="n">
        <x:v>0</x:v>
      </x:c>
      <x:c r="P380"/>
    </x:row>
    <x:row r="381" ht="20" customHeight="1">
      <x:c r="A381" t="str">
        <x:v>SH000380</x:v>
      </x:c>
      <x:c r="B381" t="str">
        <x:v>SO00265-01</x:v>
      </x:c>
      <x:c r="C381" t="str">
        <x:v>WO00380</x:v>
      </x:c>
      <x:c r="D381" t="str">
        <x:v>LOT00380</x:v>
      </x:c>
      <x:c r="E381" t="str">
        <x:v>IAT-008</x:v>
      </x:c>
      <x:c r="F381" t="str">
        <x:v>PM-VAC-B</x:v>
      </x:c>
      <x:c r="G381" s="20" t="n">
        <x:v>45613</x:v>
      </x:c>
      <x:c r="H381" s="20" t="n">
        <x:v>45611</x:v>
      </x:c>
      <x:c r="I381" s="20" t="n">
        <x:v>45616</x:v>
      </x:c>
      <x:c r="J381" t="n">
        <x:v>791</x:v>
      </x:c>
      <x:c r="K381" t="n">
        <x:v>21780.56</x:v>
      </x:c>
      <x:c r="L381" t="str">
        <x:v>陸運</x:v>
      </x:c>
      <x:c r="M381" t="n">
        <x:v>3</x:v>
      </x:c>
      <x:c r="N381" t="str">
        <x:v>否</x:v>
      </x:c>
      <x:c r="O381" t="n">
        <x:v>0</x:v>
      </x:c>
      <x:c r="P381"/>
    </x:row>
    <x:row r="382" ht="20" customHeight="1">
      <x:c r="A382" t="str">
        <x:v>SH000381</x:v>
      </x:c>
      <x:c r="B382" t="str">
        <x:v>SO00266-01</x:v>
      </x:c>
      <x:c r="C382" t="str">
        <x:v>WO00381</x:v>
      </x:c>
      <x:c r="D382" t="str">
        <x:v>LOT00381</x:v>
      </x:c>
      <x:c r="E382" t="str">
        <x:v>AUT-002</x:v>
      </x:c>
      <x:c r="F382" t="str">
        <x:v>PM-VAC-B</x:v>
      </x:c>
      <x:c r="G382" s="20" t="n">
        <x:v>45639</x:v>
      </x:c>
      <x:c r="H382" s="20" t="n">
        <x:v>45639</x:v>
      </x:c>
      <x:c r="I382" s="20" t="n">
        <x:v>45642</x:v>
      </x:c>
      <x:c r="J382" t="n">
        <x:v>296</x:v>
      </x:c>
      <x:c r="K382" t="n">
        <x:v>22501.47</x:v>
      </x:c>
      <x:c r="L382" t="str">
        <x:v>空運</x:v>
      </x:c>
      <x:c r="M382" t="n">
        <x:v>3</x:v>
      </x:c>
      <x:c r="N382" t="str">
        <x:v>否</x:v>
      </x:c>
      <x:c r="O382" t="n">
        <x:v>0</x:v>
      </x:c>
      <x:c r="P382"/>
    </x:row>
    <x:row r="383" ht="20" customHeight="1">
      <x:c r="A383" t="str">
        <x:v>SH000382</x:v>
      </x:c>
      <x:c r="B383" t="str">
        <x:v>SO00267-01</x:v>
      </x:c>
      <x:c r="C383" t="str">
        <x:v>WO00382</x:v>
      </x:c>
      <x:c r="D383" t="str">
        <x:v>LOT00382</x:v>
      </x:c>
      <x:c r="E383" t="str">
        <x:v>SEM-006</x:v>
      </x:c>
      <x:c r="F383" t="str">
        <x:v>MECH-CON-A</x:v>
      </x:c>
      <x:c r="G383" s="20" t="n">
        <x:v>45620</x:v>
      </x:c>
      <x:c r="H383" s="20" t="n">
        <x:v>45616</x:v>
      </x:c>
      <x:c r="I383" s="20" t="n">
        <x:v>45621</x:v>
      </x:c>
      <x:c r="J383" t="n">
        <x:v>10</x:v>
      </x:c>
      <x:c r="K383" t="n">
        <x:v>114558.79</x:v>
      </x:c>
      <x:c r="L383" t="str">
        <x:v>空運</x:v>
      </x:c>
      <x:c r="M383" t="n">
        <x:v>1</x:v>
      </x:c>
      <x:c r="N383" t="str">
        <x:v>否</x:v>
      </x:c>
      <x:c r="O383" t="n">
        <x:v>0</x:v>
      </x:c>
      <x:c r="P383"/>
    </x:row>
    <x:row r="384" ht="20" customHeight="1">
      <x:c r="A384" t="str">
        <x:v>SH000383</x:v>
      </x:c>
      <x:c r="B384" t="str">
        <x:v>SO00268-01</x:v>
      </x:c>
      <x:c r="C384" t="str">
        <x:v>WO00383</x:v>
      </x:c>
      <x:c r="D384" t="str">
        <x:v>LOT00383</x:v>
      </x:c>
      <x:c r="E384" t="str">
        <x:v>IAT-009</x:v>
      </x:c>
      <x:c r="F384" t="str">
        <x:v>AUTO-FL-A</x:v>
      </x:c>
      <x:c r="G384" s="20" t="n">
        <x:v>45613</x:v>
      </x:c>
      <x:c r="H384" s="20" t="n">
        <x:v>45614</x:v>
      </x:c>
      <x:c r="I384" s="20" t="n">
        <x:v>45617</x:v>
      </x:c>
      <x:c r="J384" t="n">
        <x:v>6829</x:v>
      </x:c>
      <x:c r="K384" t="n">
        <x:v>1306.95</x:v>
      </x:c>
      <x:c r="L384" t="str">
        <x:v>海運</x:v>
      </x:c>
      <x:c r="M384" t="n">
        <x:v>4</x:v>
      </x:c>
      <x:c r="N384" t="str">
        <x:v>否</x:v>
      </x:c>
      <x:c r="O384" t="n">
        <x:v>0</x:v>
      </x:c>
      <x:c r="P384"/>
    </x:row>
    <x:row r="385" ht="20" customHeight="1">
      <x:c r="A385" t="str">
        <x:v>SH000384</x:v>
      </x:c>
      <x:c r="B385" t="str">
        <x:v>SO00269-01</x:v>
      </x:c>
      <x:c r="C385" t="str">
        <x:v>WO00385</x:v>
      </x:c>
      <x:c r="D385" t="str">
        <x:v>LOT00385</x:v>
      </x:c>
      <x:c r="E385" t="str">
        <x:v>SEM-005</x:v>
      </x:c>
      <x:c r="F385" t="str">
        <x:v>PM-VAC-A</x:v>
      </x:c>
      <x:c r="G385" s="20" t="n">
        <x:v>45618</x:v>
      </x:c>
      <x:c r="H385" s="20" t="n">
        <x:v>45616</x:v>
      </x:c>
      <x:c r="I385" s="20" t="n">
        <x:v>45621</x:v>
      </x:c>
      <x:c r="J385" t="n">
        <x:v>782</x:v>
      </x:c>
      <x:c r="K385" t="n">
        <x:v>15289.19</x:v>
      </x:c>
      <x:c r="L385" t="str">
        <x:v>海運</x:v>
      </x:c>
      <x:c r="M385" t="n">
        <x:v>3</x:v>
      </x:c>
      <x:c r="N385" t="str">
        <x:v>否</x:v>
      </x:c>
      <x:c r="O385" t="n">
        <x:v>0</x:v>
      </x:c>
      <x:c r="P385"/>
    </x:row>
    <x:row r="386" ht="20" customHeight="1">
      <x:c r="A386" t="str">
        <x:v>SH000385</x:v>
      </x:c>
      <x:c r="B386" t="str">
        <x:v>SO00269-01</x:v>
      </x:c>
      <x:c r="C386" t="str">
        <x:v>WO00384</x:v>
      </x:c>
      <x:c r="D386" t="str">
        <x:v>LOT00384</x:v>
      </x:c>
      <x:c r="E386" t="str">
        <x:v>SEM-005</x:v>
      </x:c>
      <x:c r="F386" t="str">
        <x:v>PM-VAC-A</x:v>
      </x:c>
      <x:c r="G386" s="20" t="n">
        <x:v>45618</x:v>
      </x:c>
      <x:c r="H386" s="20" t="n">
        <x:v>45617</x:v>
      </x:c>
      <x:c r="I386" s="20" t="n">
        <x:v>45618</x:v>
      </x:c>
      <x:c r="J386" t="n">
        <x:v>783</x:v>
      </x:c>
      <x:c r="K386" t="n">
        <x:v>15289.19</x:v>
      </x:c>
      <x:c r="L386" t="str">
        <x:v>海運</x:v>
      </x:c>
      <x:c r="M386" t="n">
        <x:v>0</x:v>
      </x:c>
      <x:c r="N386" t="str">
        <x:v>是</x:v>
      </x:c>
      <x:c r="O386" t="n">
        <x:v>0</x:v>
      </x:c>
      <x:c r="P386"/>
    </x:row>
    <x:row r="387" ht="20" customHeight="1">
      <x:c r="A387" t="str">
        <x:v>SH000386</x:v>
      </x:c>
      <x:c r="B387" t="str">
        <x:v>SO00270-01</x:v>
      </x:c>
      <x:c r="C387" t="str">
        <x:v>WO00386</x:v>
      </x:c>
      <x:c r="D387" t="str">
        <x:v>LOT00386</x:v>
      </x:c>
      <x:c r="E387" t="str">
        <x:v>AFT-008</x:v>
      </x:c>
      <x:c r="F387" t="str">
        <x:v>AUTO-MH-A</x:v>
      </x:c>
      <x:c r="G387" s="20" t="n">
        <x:v>45612</x:v>
      </x:c>
      <x:c r="H387" s="20" t="n">
        <x:v>45608</x:v>
      </x:c>
      <x:c r="I387" s="20" t="n">
        <x:v>45612</x:v>
      </x:c>
      <x:c r="J387" t="n">
        <x:v>4975</x:v>
      </x:c>
      <x:c r="K387" t="n">
        <x:v>2505.89</x:v>
      </x:c>
      <x:c r="L387" t="str">
        <x:v>海運</x:v>
      </x:c>
      <x:c r="M387" t="n">
        <x:v>0</x:v>
      </x:c>
      <x:c r="N387" t="str">
        <x:v>是</x:v>
      </x:c>
      <x:c r="O387" t="n">
        <x:v>0</x:v>
      </x:c>
      <x:c r="P387"/>
    </x:row>
    <x:row r="388" ht="20" customHeight="1">
      <x:c r="A388" t="str">
        <x:v>SH000387</x:v>
      </x:c>
      <x:c r="B388" t="str">
        <x:v>SO00270-01</x:v>
      </x:c>
      <x:c r="C388" t="str">
        <x:v>WO00387</x:v>
      </x:c>
      <x:c r="D388" t="str">
        <x:v>LOT00387</x:v>
      </x:c>
      <x:c r="E388" t="str">
        <x:v>AFT-008</x:v>
      </x:c>
      <x:c r="F388" t="str">
        <x:v>AUTO-MH-A</x:v>
      </x:c>
      <x:c r="G388" s="20" t="n">
        <x:v>45612</x:v>
      </x:c>
      <x:c r="H388" s="20" t="n">
        <x:v>45612</x:v>
      </x:c>
      <x:c r="I388" s="20" t="n">
        <x:v>45616</x:v>
      </x:c>
      <x:c r="J388" t="n">
        <x:v>5000</x:v>
      </x:c>
      <x:c r="K388" t="n">
        <x:v>2505.89</x:v>
      </x:c>
      <x:c r="L388" t="str">
        <x:v>陸運</x:v>
      </x:c>
      <x:c r="M388" t="n">
        <x:v>4</x:v>
      </x:c>
      <x:c r="N388" t="str">
        <x:v>否</x:v>
      </x:c>
      <x:c r="O388" t="n">
        <x:v>0</x:v>
      </x:c>
      <x:c r="P388"/>
    </x:row>
    <x:row r="389" ht="20" customHeight="1">
      <x:c r="A389" t="str">
        <x:v>SH000388</x:v>
      </x:c>
      <x:c r="B389" t="str">
        <x:v>SO00271-01</x:v>
      </x:c>
      <x:c r="C389" t="str">
        <x:v>WO00388</x:v>
      </x:c>
      <x:c r="D389" t="str">
        <x:v>LOT00388</x:v>
      </x:c>
      <x:c r="E389" t="str">
        <x:v>AUT-009</x:v>
      </x:c>
      <x:c r="F389" t="str">
        <x:v>PM-VAC-B</x:v>
      </x:c>
      <x:c r="G389" s="20" t="n">
        <x:v>45612</x:v>
      </x:c>
      <x:c r="H389" s="20" t="n">
        <x:v>45606</x:v>
      </x:c>
      <x:c r="I389" s="20" t="n">
        <x:v>45607</x:v>
      </x:c>
      <x:c r="J389" t="n">
        <x:v>294</x:v>
      </x:c>
      <x:c r="K389" t="n">
        <x:v>21934.13</x:v>
      </x:c>
      <x:c r="L389" t="str">
        <x:v>海運</x:v>
      </x:c>
      <x:c r="M389" t="n">
        <x:v>0</x:v>
      </x:c>
      <x:c r="N389" t="str">
        <x:v>是</x:v>
      </x:c>
      <x:c r="O389" t="n">
        <x:v>0</x:v>
      </x:c>
      <x:c r="P389"/>
    </x:row>
    <x:row r="390" ht="20" customHeight="1">
      <x:c r="A390" t="str">
        <x:v>SH000389</x:v>
      </x:c>
      <x:c r="B390" t="str">
        <x:v>SO00272-01</x:v>
      </x:c>
      <x:c r="C390" t="str">
        <x:v>WO00389</x:v>
      </x:c>
      <x:c r="D390" t="str">
        <x:v>LOT00389</x:v>
      </x:c>
      <x:c r="E390" t="str">
        <x:v>SEM-004</x:v>
      </x:c>
      <x:c r="F390" t="str">
        <x:v>PM-BRG-A</x:v>
      </x:c>
      <x:c r="G390" s="20" t="n">
        <x:v>45623</x:v>
      </x:c>
      <x:c r="H390" s="20" t="n">
        <x:v>45620</x:v>
      </x:c>
      <x:c r="I390" s="20" t="n">
        <x:v>45624</x:v>
      </x:c>
      <x:c r="J390" t="n">
        <x:v>784</x:v>
      </x:c>
      <x:c r="K390" t="n">
        <x:v>6832.45</x:v>
      </x:c>
      <x:c r="L390" t="str">
        <x:v>海運</x:v>
      </x:c>
      <x:c r="M390" t="n">
        <x:v>1</x:v>
      </x:c>
      <x:c r="N390" t="str">
        <x:v>否</x:v>
      </x:c>
      <x:c r="O390" t="n">
        <x:v>0</x:v>
      </x:c>
      <x:c r="P390"/>
    </x:row>
    <x:row r="391" ht="20" customHeight="1">
      <x:c r="A391" t="str">
        <x:v>SH000390</x:v>
      </x:c>
      <x:c r="B391" t="str">
        <x:v>SO00272-01</x:v>
      </x:c>
      <x:c r="C391" t="str">
        <x:v>WO00390</x:v>
      </x:c>
      <x:c r="D391" t="str">
        <x:v>LOT00390</x:v>
      </x:c>
      <x:c r="E391" t="str">
        <x:v>SEM-004</x:v>
      </x:c>
      <x:c r="F391" t="str">
        <x:v>PM-BRG-A</x:v>
      </x:c>
      <x:c r="G391" s="20" t="n">
        <x:v>45623</x:v>
      </x:c>
      <x:c r="H391" s="20" t="n">
        <x:v>45626</x:v>
      </x:c>
      <x:c r="I391" s="20" t="n">
        <x:v>45630</x:v>
      </x:c>
      <x:c r="J391" t="n">
        <x:v>778</x:v>
      </x:c>
      <x:c r="K391" t="n">
        <x:v>6832.45</x:v>
      </x:c>
      <x:c r="L391" t="str">
        <x:v>海運</x:v>
      </x:c>
      <x:c r="M391" t="n">
        <x:v>7</x:v>
      </x:c>
      <x:c r="N391" t="str">
        <x:v>否</x:v>
      </x:c>
      <x:c r="O391" t="n">
        <x:v>0</x:v>
      </x:c>
      <x:c r="P391"/>
    </x:row>
    <x:row r="392" ht="20" customHeight="1">
      <x:c r="A392" t="str">
        <x:v>SH000391</x:v>
      </x:c>
      <x:c r="B392" t="str">
        <x:v>SO00273-01</x:v>
      </x:c>
      <x:c r="C392" t="str">
        <x:v>WO00391</x:v>
      </x:c>
      <x:c r="D392" t="str">
        <x:v>LOT00391</x:v>
      </x:c>
      <x:c r="E392" t="str">
        <x:v>AUT-014</x:v>
      </x:c>
      <x:c r="F392" t="str">
        <x:v>AUTO-BS-B</x:v>
      </x:c>
      <x:c r="G392" s="20" t="n">
        <x:v>45610</x:v>
      </x:c>
      <x:c r="H392" s="20" t="n">
        <x:v>45614</x:v>
      </x:c>
      <x:c r="I392" s="20" t="n">
        <x:v>45617</x:v>
      </x:c>
      <x:c r="J392" t="n">
        <x:v>2974</x:v>
      </x:c>
      <x:c r="K392" t="n">
        <x:v>934.64</x:v>
      </x:c>
      <x:c r="L392" t="str">
        <x:v>海運</x:v>
      </x:c>
      <x:c r="M392" t="n">
        <x:v>7</x:v>
      </x:c>
      <x:c r="N392" t="str">
        <x:v>否</x:v>
      </x:c>
      <x:c r="O392" t="n">
        <x:v>0</x:v>
      </x:c>
      <x:c r="P392"/>
    </x:row>
    <x:row r="393" ht="20" customHeight="1">
      <x:c r="A393" t="str">
        <x:v>SH000392</x:v>
      </x:c>
      <x:c r="B393" t="str">
        <x:v>SO00274-01</x:v>
      </x:c>
      <x:c r="C393" t="str">
        <x:v>WO00394</x:v>
      </x:c>
      <x:c r="D393" t="str">
        <x:v>LOT00394</x:v>
      </x:c>
      <x:c r="E393" t="str">
        <x:v>SEM-010</x:v>
      </x:c>
      <x:c r="F393" t="str">
        <x:v>MECH-STG-A</x:v>
      </x:c>
      <x:c r="G393" s="20" t="n">
        <x:v>45625</x:v>
      </x:c>
      <x:c r="H393" s="20" t="n">
        <x:v>45620</x:v>
      </x:c>
      <x:c r="I393" s="20" t="n">
        <x:v>45625</x:v>
      </x:c>
      <x:c r="J393" t="n">
        <x:v>16</x:v>
      </x:c>
      <x:c r="K393" t="n">
        <x:v>135751.78</x:v>
      </x:c>
      <x:c r="L393" t="str">
        <x:v>陸運</x:v>
      </x:c>
      <x:c r="M393" t="n">
        <x:v>0</x:v>
      </x:c>
      <x:c r="N393" t="str">
        <x:v>是</x:v>
      </x:c>
      <x:c r="O393" t="n">
        <x:v>0</x:v>
      </x:c>
      <x:c r="P393"/>
    </x:row>
    <x:row r="394" ht="20" customHeight="1">
      <x:c r="A394" t="str">
        <x:v>SH000393</x:v>
      </x:c>
      <x:c r="B394" t="str">
        <x:v>SO00274-01</x:v>
      </x:c>
      <x:c r="C394" t="str">
        <x:v>WO00392</x:v>
      </x:c>
      <x:c r="D394" t="str">
        <x:v>LOT00392</x:v>
      </x:c>
      <x:c r="E394" t="str">
        <x:v>SEM-010</x:v>
      </x:c>
      <x:c r="F394" t="str">
        <x:v>MECH-STG-A</x:v>
      </x:c>
      <x:c r="G394" s="20" t="n">
        <x:v>45625</x:v>
      </x:c>
      <x:c r="H394" s="20" t="n">
        <x:v>45624</x:v>
      </x:c>
      <x:c r="I394" s="20" t="n">
        <x:v>45628</x:v>
      </x:c>
      <x:c r="J394" t="n">
        <x:v>17</x:v>
      </x:c>
      <x:c r="K394" t="n">
        <x:v>135751.78</x:v>
      </x:c>
      <x:c r="L394" t="str">
        <x:v>海運</x:v>
      </x:c>
      <x:c r="M394" t="n">
        <x:v>3</x:v>
      </x:c>
      <x:c r="N394" t="str">
        <x:v>否</x:v>
      </x:c>
      <x:c r="O394" t="n">
        <x:v>0</x:v>
      </x:c>
      <x:c r="P394"/>
    </x:row>
    <x:row r="395" ht="20" customHeight="1">
      <x:c r="A395" t="str">
        <x:v>SH000394</x:v>
      </x:c>
      <x:c r="B395" t="str">
        <x:v>SO00274-01</x:v>
      </x:c>
      <x:c r="C395" t="str">
        <x:v>WO00393</x:v>
      </x:c>
      <x:c r="D395" t="str">
        <x:v>LOT00393</x:v>
      </x:c>
      <x:c r="E395" t="str">
        <x:v>SEM-010</x:v>
      </x:c>
      <x:c r="F395" t="str">
        <x:v>MECH-STG-A</x:v>
      </x:c>
      <x:c r="G395" s="20" t="n">
        <x:v>45625</x:v>
      </x:c>
      <x:c r="H395" s="20" t="n">
        <x:v>45628</x:v>
      </x:c>
      <x:c r="I395" s="20" t="n">
        <x:v>45629</x:v>
      </x:c>
      <x:c r="J395" t="n">
        <x:v>17</x:v>
      </x:c>
      <x:c r="K395" t="n">
        <x:v>135751.78</x:v>
      </x:c>
      <x:c r="L395" t="str">
        <x:v>空運</x:v>
      </x:c>
      <x:c r="M395" t="n">
        <x:v>4</x:v>
      </x:c>
      <x:c r="N395" t="str">
        <x:v>否</x:v>
      </x:c>
      <x:c r="O395" t="n">
        <x:v>0</x:v>
      </x:c>
      <x:c r="P395"/>
    </x:row>
    <x:row r="396" ht="20" customHeight="1">
      <x:c r="A396" t="str">
        <x:v>SH000395</x:v>
      </x:c>
      <x:c r="B396" t="str">
        <x:v>SO00275-01</x:v>
      </x:c>
      <x:c r="C396" t="str">
        <x:v>WO00395</x:v>
      </x:c>
      <x:c r="D396" t="str">
        <x:v>LOT00395</x:v>
      </x:c>
      <x:c r="E396" t="str">
        <x:v>IAT-003</x:v>
      </x:c>
      <x:c r="F396" t="str">
        <x:v>PM-SUS-B</x:v>
      </x:c>
      <x:c r="G396" s="20" t="n">
        <x:v>45608</x:v>
      </x:c>
      <x:c r="H396" s="20" t="n">
        <x:v>45605</x:v>
      </x:c>
      <x:c r="I396" s="20" t="n">
        <x:v>45607</x:v>
      </x:c>
      <x:c r="J396" t="n">
        <x:v>782</x:v>
      </x:c>
      <x:c r="K396" t="n">
        <x:v>15012.42</x:v>
      </x:c>
      <x:c r="L396" t="str">
        <x:v>陸運</x:v>
      </x:c>
      <x:c r="M396" t="n">
        <x:v>0</x:v>
      </x:c>
      <x:c r="N396" t="str">
        <x:v>是</x:v>
      </x:c>
      <x:c r="O396" t="n">
        <x:v>0</x:v>
      </x:c>
      <x:c r="P396"/>
    </x:row>
    <x:row r="397" ht="20" customHeight="1">
      <x:c r="A397" t="str">
        <x:v>SH000396</x:v>
      </x:c>
      <x:c r="B397" t="str">
        <x:v>SO00275-01</x:v>
      </x:c>
      <x:c r="C397" t="str">
        <x:v>WO00396</x:v>
      </x:c>
      <x:c r="D397" t="str">
        <x:v>LOT00396</x:v>
      </x:c>
      <x:c r="E397" t="str">
        <x:v>IAT-003</x:v>
      </x:c>
      <x:c r="F397" t="str">
        <x:v>PM-SUS-B</x:v>
      </x:c>
      <x:c r="G397" s="20" t="n">
        <x:v>45608</x:v>
      </x:c>
      <x:c r="H397" s="20" t="n">
        <x:v>45610</x:v>
      </x:c>
      <x:c r="I397" s="20" t="n">
        <x:v>45611</x:v>
      </x:c>
      <x:c r="J397" t="n">
        <x:v>776</x:v>
      </x:c>
      <x:c r="K397" t="n">
        <x:v>15012.42</x:v>
      </x:c>
      <x:c r="L397" t="str">
        <x:v>空運</x:v>
      </x:c>
      <x:c r="M397" t="n">
        <x:v>3</x:v>
      </x:c>
      <x:c r="N397" t="str">
        <x:v>否</x:v>
      </x:c>
      <x:c r="O397" t="n">
        <x:v>0</x:v>
      </x:c>
      <x:c r="P397"/>
    </x:row>
    <x:row r="398" ht="20" customHeight="1">
      <x:c r="A398" t="str">
        <x:v>SH000397</x:v>
      </x:c>
      <x:c r="B398" t="str">
        <x:v>SO00276-01</x:v>
      </x:c>
      <x:c r="C398" t="str">
        <x:v>WO00398</x:v>
      </x:c>
      <x:c r="D398" t="str">
        <x:v>LOT00398</x:v>
      </x:c>
      <x:c r="E398" t="str">
        <x:v>IAT-010</x:v>
      </x:c>
      <x:c r="F398" t="str">
        <x:v>SEMI-CHB-B</x:v>
      </x:c>
      <x:c r="G398" s="20" t="n">
        <x:v>45679</x:v>
      </x:c>
      <x:c r="H398" s="20" t="n">
        <x:v>45675</x:v>
      </x:c>
      <x:c r="I398" s="20" t="n">
        <x:v>45676</x:v>
      </x:c>
      <x:c r="J398" t="n">
        <x:v>79</x:v>
      </x:c>
      <x:c r="K398" t="n">
        <x:v>139762.79</x:v>
      </x:c>
      <x:c r="L398" t="str">
        <x:v>空運</x:v>
      </x:c>
      <x:c r="M398" t="n">
        <x:v>0</x:v>
      </x:c>
      <x:c r="N398" t="str">
        <x:v>是</x:v>
      </x:c>
      <x:c r="O398" t="n">
        <x:v>0</x:v>
      </x:c>
      <x:c r="P398"/>
    </x:row>
    <x:row r="399" ht="20" customHeight="1">
      <x:c r="A399" t="str">
        <x:v>SH000398</x:v>
      </x:c>
      <x:c r="B399" t="str">
        <x:v>SO00276-01</x:v>
      </x:c>
      <x:c r="C399" t="str">
        <x:v>WO00397</x:v>
      </x:c>
      <x:c r="D399" t="str">
        <x:v>LOT00397</x:v>
      </x:c>
      <x:c r="E399" t="str">
        <x:v>IAT-010</x:v>
      </x:c>
      <x:c r="F399" t="str">
        <x:v>SEMI-CHB-B</x:v>
      </x:c>
      <x:c r="G399" s="20" t="n">
        <x:v>45679</x:v>
      </x:c>
      <x:c r="H399" s="20" t="n">
        <x:v>45682</x:v>
      </x:c>
      <x:c r="I399" s="20" t="n">
        <x:v>45684</x:v>
      </x:c>
      <x:c r="J399" t="n">
        <x:v>79</x:v>
      </x:c>
      <x:c r="K399" t="n">
        <x:v>139762.79</x:v>
      </x:c>
      <x:c r="L399" t="str">
        <x:v>海運</x:v>
      </x:c>
      <x:c r="M399" t="n">
        <x:v>5</x:v>
      </x:c>
      <x:c r="N399" t="str">
        <x:v>否</x:v>
      </x:c>
      <x:c r="O399" t="n">
        <x:v>0</x:v>
      </x:c>
      <x:c r="P399"/>
    </x:row>
    <x:row r="400" ht="20" customHeight="1">
      <x:c r="A400" t="str">
        <x:v>SH000399</x:v>
      </x:c>
      <x:c r="B400" t="str">
        <x:v>SO00277-01</x:v>
      </x:c>
      <x:c r="C400" t="str">
        <x:v>WO00399</x:v>
      </x:c>
      <x:c r="D400" t="str">
        <x:v>LOT00399</x:v>
      </x:c>
      <x:c r="E400" t="str">
        <x:v>AUT-013</x:v>
      </x:c>
      <x:c r="F400" t="str">
        <x:v>AUTO-FL-B</x:v>
      </x:c>
      <x:c r="G400" s="20" t="n">
        <x:v>45621</x:v>
      </x:c>
      <x:c r="H400" s="20" t="n">
        <x:v>45621</x:v>
      </x:c>
      <x:c r="I400" s="20" t="n">
        <x:v>45626</x:v>
      </x:c>
      <x:c r="J400" t="n">
        <x:v>6871</x:v>
      </x:c>
      <x:c r="K400" t="n">
        <x:v>1574.63</x:v>
      </x:c>
      <x:c r="L400" t="str">
        <x:v>陸運</x:v>
      </x:c>
      <x:c r="M400" t="n">
        <x:v>5</x:v>
      </x:c>
      <x:c r="N400" t="str">
        <x:v>否</x:v>
      </x:c>
      <x:c r="O400" t="n">
        <x:v>0</x:v>
      </x:c>
      <x:c r="P400"/>
    </x:row>
    <x:row r="401" ht="20" customHeight="1">
      <x:c r="A401" t="str">
        <x:v>SH000400</x:v>
      </x:c>
      <x:c r="B401" t="str">
        <x:v>SO00278-01</x:v>
      </x:c>
      <x:c r="C401" t="str">
        <x:v>WO00400</x:v>
      </x:c>
      <x:c r="D401" t="str">
        <x:v>LOT00400</x:v>
      </x:c>
      <x:c r="E401" t="str">
        <x:v>IAT-002</x:v>
      </x:c>
      <x:c r="F401" t="str">
        <x:v>AUTO-BRK-B</x:v>
      </x:c>
      <x:c r="G401" s="20" t="n">
        <x:v>45621</x:v>
      </x:c>
      <x:c r="H401" s="20" t="n">
        <x:v>45618</x:v>
      </x:c>
      <x:c r="I401" s="20" t="n">
        <x:v>45620</x:v>
      </x:c>
      <x:c r="J401" t="n">
        <x:v>6910</x:v>
      </x:c>
      <x:c r="K401" t="n">
        <x:v>2140.74</x:v>
      </x:c>
      <x:c r="L401" t="str">
        <x:v>空運</x:v>
      </x:c>
      <x:c r="M401" t="n">
        <x:v>0</x:v>
      </x:c>
      <x:c r="N401" t="str">
        <x:v>是</x:v>
      </x:c>
      <x:c r="O401" t="n">
        <x:v>0</x:v>
      </x:c>
      <x:c r="P401"/>
    </x:row>
    <x:row r="402" ht="20" customHeight="1">
      <x:c r="A402" t="str">
        <x:v>SH000401</x:v>
      </x:c>
      <x:c r="B402" t="str">
        <x:v>SO00279-01</x:v>
      </x:c>
      <x:c r="C402" t="str">
        <x:v>WO00401</x:v>
      </x:c>
      <x:c r="D402" t="str">
        <x:v>LOT00401</x:v>
      </x:c>
      <x:c r="E402" t="str">
        <x:v>IAT-002</x:v>
      </x:c>
      <x:c r="F402" t="str">
        <x:v>AUTO-LG-A</x:v>
      </x:c>
      <x:c r="G402" s="20" t="n">
        <x:v>45640</x:v>
      </x:c>
      <x:c r="H402" s="20" t="n">
        <x:v>45639</x:v>
      </x:c>
      <x:c r="I402" s="20" t="n">
        <x:v>45640</x:v>
      </x:c>
      <x:c r="J402" t="n">
        <x:v>2984</x:v>
      </x:c>
      <x:c r="K402" t="n">
        <x:v>1073.01</x:v>
      </x:c>
      <x:c r="L402" t="str">
        <x:v>空運</x:v>
      </x:c>
      <x:c r="M402" t="n">
        <x:v>0</x:v>
      </x:c>
      <x:c r="N402" t="str">
        <x:v>是</x:v>
      </x:c>
      <x:c r="O402" t="n">
        <x:v>0</x:v>
      </x:c>
      <x:c r="P402"/>
    </x:row>
    <x:row r="403" ht="20" customHeight="1">
      <x:c r="A403" t="str">
        <x:v>SH000402</x:v>
      </x:c>
      <x:c r="B403" t="str">
        <x:v>SO00280-01</x:v>
      </x:c>
      <x:c r="C403" t="str">
        <x:v>WO00402</x:v>
      </x:c>
      <x:c r="D403" t="str">
        <x:v>LOT00402</x:v>
      </x:c>
      <x:c r="E403" t="str">
        <x:v>IAT-006</x:v>
      </x:c>
      <x:c r="F403" t="str">
        <x:v>AUTO-FL-A</x:v>
      </x:c>
      <x:c r="G403" s="20" t="n">
        <x:v>45647</x:v>
      </x:c>
      <x:c r="H403" s="20" t="n">
        <x:v>45641</x:v>
      </x:c>
      <x:c r="I403" s="20" t="n">
        <x:v>45646</x:v>
      </x:c>
      <x:c r="J403" t="n">
        <x:v>2941</x:v>
      </x:c>
      <x:c r="K403" t="n">
        <x:v>1202.16</x:v>
      </x:c>
      <x:c r="L403" t="str">
        <x:v>空運</x:v>
      </x:c>
      <x:c r="M403" t="n">
        <x:v>0</x:v>
      </x:c>
      <x:c r="N403" t="str">
        <x:v>是</x:v>
      </x:c>
      <x:c r="O403" t="n">
        <x:v>0</x:v>
      </x:c>
      <x:c r="P403"/>
    </x:row>
    <x:row r="404" ht="20" customHeight="1">
      <x:c r="A404" t="str">
        <x:v>SH000403</x:v>
      </x:c>
      <x:c r="B404" t="str">
        <x:v>SO00281-01</x:v>
      </x:c>
      <x:c r="C404" t="str">
        <x:v>WO00403</x:v>
      </x:c>
      <x:c r="D404" t="str">
        <x:v>LOT00403</x:v>
      </x:c>
      <x:c r="E404" t="str">
        <x:v>IAT-002</x:v>
      </x:c>
      <x:c r="F404" t="str">
        <x:v>AUTO-LG-B</x:v>
      </x:c>
      <x:c r="G404" s="20" t="n">
        <x:v>45640</x:v>
      </x:c>
      <x:c r="H404" s="20" t="n">
        <x:v>45638</x:v>
      </x:c>
      <x:c r="I404" s="20" t="n">
        <x:v>45642</x:v>
      </x:c>
      <x:c r="J404" t="n">
        <x:v>6925</x:v>
      </x:c>
      <x:c r="K404" t="n">
        <x:v>1277.71</x:v>
      </x:c>
      <x:c r="L404" t="str">
        <x:v>陸運</x:v>
      </x:c>
      <x:c r="M404" t="n">
        <x:v>2</x:v>
      </x:c>
      <x:c r="N404" t="str">
        <x:v>否</x:v>
      </x:c>
      <x:c r="O404" t="n">
        <x:v>0</x:v>
      </x:c>
      <x:c r="P404"/>
    </x:row>
    <x:row r="405" ht="20" customHeight="1">
      <x:c r="A405" t="str">
        <x:v>SH000404</x:v>
      </x:c>
      <x:c r="B405" t="str">
        <x:v>SO00282-01</x:v>
      </x:c>
      <x:c r="C405" t="str">
        <x:v>WO00404</x:v>
      </x:c>
      <x:c r="D405" t="str">
        <x:v>LOT00404</x:v>
      </x:c>
      <x:c r="E405" t="str">
        <x:v>IAT-009</x:v>
      </x:c>
      <x:c r="F405" t="str">
        <x:v>AUTO-LG-B</x:v>
      </x:c>
      <x:c r="G405" s="20" t="n">
        <x:v>45626</x:v>
      </x:c>
      <x:c r="H405" s="20" t="n">
        <x:v>45619</x:v>
      </x:c>
      <x:c r="I405" s="20" t="n">
        <x:v>45623</x:v>
      </x:c>
      <x:c r="J405" t="n">
        <x:v>2953</x:v>
      </x:c>
      <x:c r="K405" t="n">
        <x:v>1195.69</x:v>
      </x:c>
      <x:c r="L405" t="str">
        <x:v>陸運</x:v>
      </x:c>
      <x:c r="M405" t="n">
        <x:v>0</x:v>
      </x:c>
      <x:c r="N405" t="str">
        <x:v>是</x:v>
      </x:c>
      <x:c r="O405" t="n">
        <x:v>0</x:v>
      </x:c>
      <x:c r="P405"/>
    </x:row>
    <x:row r="406" ht="20" customHeight="1">
      <x:c r="A406" t="str">
        <x:v>SH000405</x:v>
      </x:c>
      <x:c r="B406" t="str">
        <x:v>SO00283-01</x:v>
      </x:c>
      <x:c r="C406" t="str">
        <x:v>WO00405</x:v>
      </x:c>
      <x:c r="D406" t="str">
        <x:v>LOT00405</x:v>
      </x:c>
      <x:c r="E406" t="str">
        <x:v>AUT-014</x:v>
      </x:c>
      <x:c r="F406" t="str">
        <x:v>PM-BRG-A</x:v>
      </x:c>
      <x:c r="G406" s="20" t="n">
        <x:v>45640</x:v>
      </x:c>
      <x:c r="H406" s="20" t="n">
        <x:v>45637</x:v>
      </x:c>
      <x:c r="I406" s="20" t="n">
        <x:v>45640</x:v>
      </x:c>
      <x:c r="J406" t="n">
        <x:v>494</x:v>
      </x:c>
      <x:c r="K406" t="n">
        <x:v>6884.64</x:v>
      </x:c>
      <x:c r="L406" t="str">
        <x:v>陸運</x:v>
      </x:c>
      <x:c r="M406" t="n">
        <x:v>0</x:v>
      </x:c>
      <x:c r="N406" t="str">
        <x:v>是</x:v>
      </x:c>
      <x:c r="O406" t="n">
        <x:v>0</x:v>
      </x:c>
      <x:c r="P406"/>
    </x:row>
    <x:row r="407" ht="20" customHeight="1">
      <x:c r="A407" t="str">
        <x:v>SH000406</x:v>
      </x:c>
      <x:c r="B407" t="str">
        <x:v>SO00284-01</x:v>
      </x:c>
      <x:c r="C407" t="str">
        <x:v>WO00406</x:v>
      </x:c>
      <x:c r="D407" t="str">
        <x:v>LOT00406</x:v>
      </x:c>
      <x:c r="E407" t="str">
        <x:v>SEM-007</x:v>
      </x:c>
      <x:c r="F407" t="str">
        <x:v>SEMI-WH-A</x:v>
      </x:c>
      <x:c r="G407" s="20" t="n">
        <x:v>45680</x:v>
      </x:c>
      <x:c r="H407" s="20" t="n">
        <x:v>45681</x:v>
      </x:c>
      <x:c r="I407" s="20" t="n">
        <x:v>45683</x:v>
      </x:c>
      <x:c r="J407" t="n">
        <x:v>78</x:v>
      </x:c>
      <x:c r="K407" t="n">
        <x:v>115926.13</x:v>
      </x:c>
      <x:c r="L407" t="str">
        <x:v>空運</x:v>
      </x:c>
      <x:c r="M407" t="n">
        <x:v>3</x:v>
      </x:c>
      <x:c r="N407" t="str">
        <x:v>否</x:v>
      </x:c>
      <x:c r="O407" t="n">
        <x:v>0</x:v>
      </x:c>
      <x:c r="P407"/>
    </x:row>
    <x:row r="408" ht="20" customHeight="1">
      <x:c r="A408" t="str">
        <x:v>SH000407</x:v>
      </x:c>
      <x:c r="B408" t="str">
        <x:v>SO00285-01</x:v>
      </x:c>
      <x:c r="C408" t="str">
        <x:v>WO00407</x:v>
      </x:c>
      <x:c r="D408" t="str">
        <x:v>LOT00407</x:v>
      </x:c>
      <x:c r="E408" t="str">
        <x:v>IAT-002</x:v>
      </x:c>
      <x:c r="F408" t="str">
        <x:v>PM-ALB-A</x:v>
      </x:c>
      <x:c r="G408" s="20" t="n">
        <x:v>45664</x:v>
      </x:c>
      <x:c r="H408" s="20" t="n">
        <x:v>45662</x:v>
      </x:c>
      <x:c r="I408" s="20" t="n">
        <x:v>45667</x:v>
      </x:c>
      <x:c r="J408" t="n">
        <x:v>295</x:v>
      </x:c>
      <x:c r="K408" t="n">
        <x:v>11336.93</x:v>
      </x:c>
      <x:c r="L408" t="str">
        <x:v>海運</x:v>
      </x:c>
      <x:c r="M408" t="n">
        <x:v>3</x:v>
      </x:c>
      <x:c r="N408" t="str">
        <x:v>否</x:v>
      </x:c>
      <x:c r="O408" t="n">
        <x:v>0</x:v>
      </x:c>
      <x:c r="P408"/>
    </x:row>
    <x:row r="409" ht="20" customHeight="1">
      <x:c r="A409" t="str">
        <x:v>SH000408</x:v>
      </x:c>
      <x:c r="B409" t="str">
        <x:v>SO00286-01</x:v>
      </x:c>
      <x:c r="C409" t="str">
        <x:v>WO00408</x:v>
      </x:c>
      <x:c r="D409" t="str">
        <x:v>LOT00408</x:v>
      </x:c>
      <x:c r="E409" t="str">
        <x:v>SEM-010</x:v>
      </x:c>
      <x:c r="F409" t="str">
        <x:v>SEMI-CHB-B</x:v>
      </x:c>
      <x:c r="G409" s="20" t="n">
        <x:v>45694</x:v>
      </x:c>
      <x:c r="H409" s="20" t="n">
        <x:v>45694</x:v>
      </x:c>
      <x:c r="I409" s="20" t="n">
        <x:v>45696</x:v>
      </x:c>
      <x:c r="J409" t="n">
        <x:v>59</x:v>
      </x:c>
      <x:c r="K409" t="n">
        <x:v>128095.02</x:v>
      </x:c>
      <x:c r="L409" t="str">
        <x:v>空運</x:v>
      </x:c>
      <x:c r="M409" t="n">
        <x:v>2</x:v>
      </x:c>
      <x:c r="N409" t="str">
        <x:v>否</x:v>
      </x:c>
      <x:c r="O409" t="n">
        <x:v>0</x:v>
      </x:c>
      <x:c r="P409"/>
    </x:row>
    <x:row r="410" ht="20" customHeight="1">
      <x:c r="A410" t="str">
        <x:v>SH000409</x:v>
      </x:c>
      <x:c r="B410" t="str">
        <x:v>SO00287-01</x:v>
      </x:c>
      <x:c r="C410" t="str">
        <x:v>WO00409</x:v>
      </x:c>
      <x:c r="D410" t="str">
        <x:v>LOT00409</x:v>
      </x:c>
      <x:c r="E410" t="str">
        <x:v>AFT-001</x:v>
      </x:c>
      <x:c r="F410" t="str">
        <x:v>AUTO-KN-A</x:v>
      </x:c>
      <x:c r="G410" s="20" t="n">
        <x:v>45651</x:v>
      </x:c>
      <x:c r="H410" s="20" t="n">
        <x:v>45647</x:v>
      </x:c>
      <x:c r="I410" s="20" t="n">
        <x:v>45651</x:v>
      </x:c>
      <x:c r="J410" t="n">
        <x:v>4901</x:v>
      </x:c>
      <x:c r="K410" t="n">
        <x:v>3310.36</x:v>
      </x:c>
      <x:c r="L410" t="str">
        <x:v>陸運</x:v>
      </x:c>
      <x:c r="M410" t="n">
        <x:v>0</x:v>
      </x:c>
      <x:c r="N410" t="str">
        <x:v>是</x:v>
      </x:c>
      <x:c r="O410" t="n">
        <x:v>0</x:v>
      </x:c>
      <x:c r="P410"/>
    </x:row>
    <x:row r="411" ht="20" customHeight="1">
      <x:c r="A411" t="str">
        <x:v>SH000410</x:v>
      </x:c>
      <x:c r="B411" t="str">
        <x:v>SO00287-01</x:v>
      </x:c>
      <x:c r="C411" t="str">
        <x:v>WO00410</x:v>
      </x:c>
      <x:c r="D411" t="str">
        <x:v>LOT00410</x:v>
      </x:c>
      <x:c r="E411" t="str">
        <x:v>AFT-001</x:v>
      </x:c>
      <x:c r="F411" t="str">
        <x:v>AUTO-KN-A</x:v>
      </x:c>
      <x:c r="G411" s="20" t="n">
        <x:v>45651</x:v>
      </x:c>
      <x:c r="H411" s="20" t="n">
        <x:v>45649</x:v>
      </x:c>
      <x:c r="I411" s="20" t="n">
        <x:v>45653</x:v>
      </x:c>
      <x:c r="J411" t="n">
        <x:v>4948</x:v>
      </x:c>
      <x:c r="K411" t="n">
        <x:v>3310.36</x:v>
      </x:c>
      <x:c r="L411" t="str">
        <x:v>陸運</x:v>
      </x:c>
      <x:c r="M411" t="n">
        <x:v>2</x:v>
      </x:c>
      <x:c r="N411" t="str">
        <x:v>否</x:v>
      </x:c>
      <x:c r="O411" t="n">
        <x:v>0</x:v>
      </x:c>
      <x:c r="P411"/>
    </x:row>
    <x:row r="412" ht="20" customHeight="1">
      <x:c r="A412" t="str">
        <x:v>SH000411</x:v>
      </x:c>
      <x:c r="B412" t="str">
        <x:v>SO00288-01</x:v>
      </x:c>
      <x:c r="C412" t="str">
        <x:v>WO00411</x:v>
      </x:c>
      <x:c r="D412" t="str">
        <x:v>LOT00411</x:v>
      </x:c>
      <x:c r="E412" t="str">
        <x:v>EMS-007</x:v>
      </x:c>
      <x:c r="F412" t="str">
        <x:v>AUTO-LG-A</x:v>
      </x:c>
      <x:c r="G412" s="20" t="n">
        <x:v>45629</x:v>
      </x:c>
      <x:c r="H412" s="20" t="n">
        <x:v>45633</x:v>
      </x:c>
      <x:c r="I412" s="20" t="n">
        <x:v>45637</x:v>
      </x:c>
      <x:c r="J412" t="n">
        <x:v>6861</x:v>
      </x:c>
      <x:c r="K412" t="n">
        <x:v>1146.29</x:v>
      </x:c>
      <x:c r="L412" t="str">
        <x:v>空運</x:v>
      </x:c>
      <x:c r="M412" t="n">
        <x:v>8</x:v>
      </x:c>
      <x:c r="N412" t="str">
        <x:v>否</x:v>
      </x:c>
      <x:c r="O412" t="n">
        <x:v>0</x:v>
      </x:c>
      <x:c r="P412"/>
    </x:row>
    <x:row r="413" ht="20" customHeight="1">
      <x:c r="A413" t="str">
        <x:v>SH000412</x:v>
      </x:c>
      <x:c r="B413" t="str">
        <x:v>SO00289-01</x:v>
      </x:c>
      <x:c r="C413" t="str">
        <x:v>WO00412</x:v>
      </x:c>
      <x:c r="D413" t="str">
        <x:v>LOT00412</x:v>
      </x:c>
      <x:c r="E413" t="str">
        <x:v>AUT-014</x:v>
      </x:c>
      <x:c r="F413" t="str">
        <x:v>AUTO-KN-B</x:v>
      </x:c>
      <x:c r="G413" s="20" t="n">
        <x:v>45635</x:v>
      </x:c>
      <x:c r="H413" s="20" t="n">
        <x:v>45629</x:v>
      </x:c>
      <x:c r="I413" s="20" t="n">
        <x:v>45633</x:v>
      </x:c>
      <x:c r="J413" t="n">
        <x:v>2979</x:v>
      </x:c>
      <x:c r="K413" t="n">
        <x:v>3617.99</x:v>
      </x:c>
      <x:c r="L413" t="str">
        <x:v>陸運</x:v>
      </x:c>
      <x:c r="M413" t="n">
        <x:v>0</x:v>
      </x:c>
      <x:c r="N413" t="str">
        <x:v>是</x:v>
      </x:c>
      <x:c r="O413" t="n">
        <x:v>0</x:v>
      </x:c>
      <x:c r="P413"/>
    </x:row>
    <x:row r="414" ht="20" customHeight="1">
      <x:c r="A414" t="str">
        <x:v>SH000413</x:v>
      </x:c>
      <x:c r="B414" t="str">
        <x:v>SO00290-01</x:v>
      </x:c>
      <x:c r="C414" t="str">
        <x:v>WO00413</x:v>
      </x:c>
      <x:c r="D414" t="str">
        <x:v>LOT00413</x:v>
      </x:c>
      <x:c r="E414" t="str">
        <x:v>AUT-009</x:v>
      </x:c>
      <x:c r="F414" t="str">
        <x:v>AUTO-BRK-A</x:v>
      </x:c>
      <x:c r="G414" s="20" t="n">
        <x:v>45625</x:v>
      </x:c>
      <x:c r="H414" s="20" t="n">
        <x:v>45624</x:v>
      </x:c>
      <x:c r="I414" s="20" t="n">
        <x:v>45626</x:v>
      </x:c>
      <x:c r="J414" t="n">
        <x:v>4965</x:v>
      </x:c>
      <x:c r="K414" t="n">
        <x:v>1788.94</x:v>
      </x:c>
      <x:c r="L414" t="str">
        <x:v>空運</x:v>
      </x:c>
      <x:c r="M414" t="n">
        <x:v>1</x:v>
      </x:c>
      <x:c r="N414" t="str">
        <x:v>否</x:v>
      </x:c>
      <x:c r="O414" t="n">
        <x:v>0</x:v>
      </x:c>
      <x:c r="P414"/>
    </x:row>
    <x:row r="415" ht="20" customHeight="1">
      <x:c r="A415" t="str">
        <x:v>SH000414</x:v>
      </x:c>
      <x:c r="B415" t="str">
        <x:v>SO00290-01</x:v>
      </x:c>
      <x:c r="C415" t="str">
        <x:v>WO00414</x:v>
      </x:c>
      <x:c r="D415" t="str">
        <x:v>LOT00414</x:v>
      </x:c>
      <x:c r="E415" t="str">
        <x:v>AUT-009</x:v>
      </x:c>
      <x:c r="F415" t="str">
        <x:v>AUTO-BRK-A</x:v>
      </x:c>
      <x:c r="G415" s="20" t="n">
        <x:v>45625</x:v>
      </x:c>
      <x:c r="H415" s="20" t="n">
        <x:v>45627</x:v>
      </x:c>
      <x:c r="I415" s="20" t="n">
        <x:v>45629</x:v>
      </x:c>
      <x:c r="J415" t="n">
        <x:v>4943</x:v>
      </x:c>
      <x:c r="K415" t="n">
        <x:v>1788.94</x:v>
      </x:c>
      <x:c r="L415" t="str">
        <x:v>空運</x:v>
      </x:c>
      <x:c r="M415" t="n">
        <x:v>4</x:v>
      </x:c>
      <x:c r="N415" t="str">
        <x:v>否</x:v>
      </x:c>
      <x:c r="O415" t="n">
        <x:v>44</x:v>
      </x:c>
      <x:c r="P415" t="str">
        <x:v>包裝破損</x:v>
      </x:c>
    </x:row>
    <x:row r="416" ht="20" customHeight="1">
      <x:c r="A416" t="str">
        <x:v>SH000415</x:v>
      </x:c>
      <x:c r="B416" t="str">
        <x:v>SO00291-01</x:v>
      </x:c>
      <x:c r="C416" t="str">
        <x:v>WO00415</x:v>
      </x:c>
      <x:c r="D416" t="str">
        <x:v>LOT00415</x:v>
      </x:c>
      <x:c r="E416" t="str">
        <x:v>AFT-005</x:v>
      </x:c>
      <x:c r="F416" t="str">
        <x:v>PM-BRG-A</x:v>
      </x:c>
      <x:c r="G416" s="20" t="n">
        <x:v>45650</x:v>
      </x:c>
      <x:c r="H416" s="20" t="n">
        <x:v>45648</x:v>
      </x:c>
      <x:c r="I416" s="20" t="n">
        <x:v>45652</x:v>
      </x:c>
      <x:c r="J416" t="n">
        <x:v>790</x:v>
      </x:c>
      <x:c r="K416" t="n">
        <x:v>6540.2</x:v>
      </x:c>
      <x:c r="L416" t="str">
        <x:v>海運</x:v>
      </x:c>
      <x:c r="M416" t="n">
        <x:v>2</x:v>
      </x:c>
      <x:c r="N416" t="str">
        <x:v>否</x:v>
      </x:c>
      <x:c r="O416" t="n">
        <x:v>0</x:v>
      </x:c>
      <x:c r="P416"/>
    </x:row>
    <x:row r="417" ht="20" customHeight="1">
      <x:c r="A417" t="str">
        <x:v>SH000416</x:v>
      </x:c>
      <x:c r="B417" t="str">
        <x:v>SO00292-01</x:v>
      </x:c>
      <x:c r="C417" t="str">
        <x:v>WO00417</x:v>
      </x:c>
      <x:c r="D417" t="str">
        <x:v>LOT00417</x:v>
      </x:c>
      <x:c r="E417" t="str">
        <x:v>AUT-006</x:v>
      </x:c>
      <x:c r="F417" t="str">
        <x:v>AUTO-LG-A</x:v>
      </x:c>
      <x:c r="G417" s="20" t="n">
        <x:v>45622</x:v>
      </x:c>
      <x:c r="H417" s="20" t="n">
        <x:v>45623</x:v>
      </x:c>
      <x:c r="I417" s="20" t="n">
        <x:v>45624</x:v>
      </x:c>
      <x:c r="J417" t="n">
        <x:v>4931</x:v>
      </x:c>
      <x:c r="K417" t="n">
        <x:v>1104.85</x:v>
      </x:c>
      <x:c r="L417" t="str">
        <x:v>海運</x:v>
      </x:c>
      <x:c r="M417" t="n">
        <x:v>2</x:v>
      </x:c>
      <x:c r="N417" t="str">
        <x:v>否</x:v>
      </x:c>
      <x:c r="O417" t="n">
        <x:v>0</x:v>
      </x:c>
      <x:c r="P417"/>
    </x:row>
    <x:row r="418" ht="20" customHeight="1">
      <x:c r="A418" t="str">
        <x:v>SH000417</x:v>
      </x:c>
      <x:c r="B418" t="str">
        <x:v>SO00292-01</x:v>
      </x:c>
      <x:c r="C418" t="str">
        <x:v>WO00416</x:v>
      </x:c>
      <x:c r="D418" t="str">
        <x:v>LOT00416</x:v>
      </x:c>
      <x:c r="E418" t="str">
        <x:v>AUT-006</x:v>
      </x:c>
      <x:c r="F418" t="str">
        <x:v>AUTO-LG-A</x:v>
      </x:c>
      <x:c r="G418" s="20" t="n">
        <x:v>45622</x:v>
      </x:c>
      <x:c r="H418" s="20" t="n">
        <x:v>45628</x:v>
      </x:c>
      <x:c r="I418" s="20" t="n">
        <x:v>45632</x:v>
      </x:c>
      <x:c r="J418" t="n">
        <x:v>4962</x:v>
      </x:c>
      <x:c r="K418" t="n">
        <x:v>1104.85</x:v>
      </x:c>
      <x:c r="L418" t="str">
        <x:v>陸運</x:v>
      </x:c>
      <x:c r="M418" t="n">
        <x:v>10</x:v>
      </x:c>
      <x:c r="N418" t="str">
        <x:v>否</x:v>
      </x:c>
      <x:c r="O418" t="n">
        <x:v>0</x:v>
      </x:c>
      <x:c r="P418"/>
    </x:row>
    <x:row r="419" ht="20" customHeight="1">
      <x:c r="A419" t="str">
        <x:v>SH000418</x:v>
      </x:c>
      <x:c r="B419" t="str">
        <x:v>SO00293-01</x:v>
      </x:c>
      <x:c r="C419" t="str">
        <x:v>WO00418</x:v>
      </x:c>
      <x:c r="D419" t="str">
        <x:v>LOT00418</x:v>
      </x:c>
      <x:c r="E419" t="str">
        <x:v>AUT-006</x:v>
      </x:c>
      <x:c r="F419" t="str">
        <x:v>MECH-STG-B</x:v>
      </x:c>
      <x:c r="G419" s="20" t="n">
        <x:v>45699</x:v>
      </x:c>
      <x:c r="H419" s="20" t="n">
        <x:v>45704</x:v>
      </x:c>
      <x:c r="I419" s="20" t="n">
        <x:v>45708</x:v>
      </x:c>
      <x:c r="J419" t="n">
        <x:v>10</x:v>
      </x:c>
      <x:c r="K419" t="n">
        <x:v>196415.85</x:v>
      </x:c>
      <x:c r="L419" t="str">
        <x:v>海運</x:v>
      </x:c>
      <x:c r="M419" t="n">
        <x:v>9</x:v>
      </x:c>
      <x:c r="N419" t="str">
        <x:v>否</x:v>
      </x:c>
      <x:c r="O419" t="n">
        <x:v>0</x:v>
      </x:c>
      <x:c r="P419"/>
    </x:row>
    <x:row r="420" ht="20" customHeight="1">
      <x:c r="A420" t="str">
        <x:v>SH000419</x:v>
      </x:c>
      <x:c r="B420" t="str">
        <x:v>SO00294-01</x:v>
      </x:c>
      <x:c r="C420" t="str">
        <x:v>WO00419</x:v>
      </x:c>
      <x:c r="D420" t="str">
        <x:v>LOT00419</x:v>
      </x:c>
      <x:c r="E420" t="str">
        <x:v>AFT-003</x:v>
      </x:c>
      <x:c r="F420" t="str">
        <x:v>PM-SUS-A</x:v>
      </x:c>
      <x:c r="G420" s="20" t="n">
        <x:v>45678</x:v>
      </x:c>
      <x:c r="H420" s="20" t="n">
        <x:v>45676</x:v>
      </x:c>
      <x:c r="I420" s="20" t="n">
        <x:v>45680</x:v>
      </x:c>
      <x:c r="J420" t="n">
        <x:v>788</x:v>
      </x:c>
      <x:c r="K420" t="n">
        <x:v>10480.42</x:v>
      </x:c>
      <x:c r="L420" t="str">
        <x:v>陸運</x:v>
      </x:c>
      <x:c r="M420" t="n">
        <x:v>2</x:v>
      </x:c>
      <x:c r="N420" t="str">
        <x:v>否</x:v>
      </x:c>
      <x:c r="O420" t="n">
        <x:v>0</x:v>
      </x:c>
      <x:c r="P420"/>
    </x:row>
    <x:row r="421" ht="20" customHeight="1">
      <x:c r="A421" t="str">
        <x:v>SH000420</x:v>
      </x:c>
      <x:c r="B421" t="str">
        <x:v>SO00294-01</x:v>
      </x:c>
      <x:c r="C421" t="str">
        <x:v>WO00420</x:v>
      </x:c>
      <x:c r="D421" t="str">
        <x:v>LOT00420</x:v>
      </x:c>
      <x:c r="E421" t="str">
        <x:v>AFT-003</x:v>
      </x:c>
      <x:c r="F421" t="str">
        <x:v>PM-SUS-A</x:v>
      </x:c>
      <x:c r="G421" s="20" t="n">
        <x:v>45678</x:v>
      </x:c>
      <x:c r="H421" s="20" t="n">
        <x:v>45675</x:v>
      </x:c>
      <x:c r="I421" s="20" t="n">
        <x:v>45680</x:v>
      </x:c>
      <x:c r="J421" t="n">
        <x:v>777</x:v>
      </x:c>
      <x:c r="K421" t="n">
        <x:v>10480.42</x:v>
      </x:c>
      <x:c r="L421" t="str">
        <x:v>空運</x:v>
      </x:c>
      <x:c r="M421" t="n">
        <x:v>2</x:v>
      </x:c>
      <x:c r="N421" t="str">
        <x:v>否</x:v>
      </x:c>
      <x:c r="O421" t="n">
        <x:v>0</x:v>
      </x:c>
      <x:c r="P421"/>
    </x:row>
    <x:row r="422" ht="20" customHeight="1">
      <x:c r="A422" t="str">
        <x:v>SH000421</x:v>
      </x:c>
      <x:c r="B422" t="str">
        <x:v>SO00295-01</x:v>
      </x:c>
      <x:c r="C422" t="str">
        <x:v>WO00421</x:v>
      </x:c>
      <x:c r="D422" t="str">
        <x:v>LOT00421</x:v>
      </x:c>
      <x:c r="E422" t="str">
        <x:v>AUT-003</x:v>
      </x:c>
      <x:c r="F422" t="str">
        <x:v>PM-VAC-B</x:v>
      </x:c>
      <x:c r="G422" s="20" t="n">
        <x:v>45695</x:v>
      </x:c>
      <x:c r="H422" s="20" t="n">
        <x:v>45694</x:v>
      </x:c>
      <x:c r="I422" s="20" t="n">
        <x:v>45695</x:v>
      </x:c>
      <x:c r="J422" t="n">
        <x:v>780</x:v>
      </x:c>
      <x:c r="K422" t="n">
        <x:v>22213.14</x:v>
      </x:c>
      <x:c r="L422" t="str">
        <x:v>空運</x:v>
      </x:c>
      <x:c r="M422" t="n">
        <x:v>0</x:v>
      </x:c>
      <x:c r="N422" t="str">
        <x:v>是</x:v>
      </x:c>
      <x:c r="O422" t="n">
        <x:v>0</x:v>
      </x:c>
      <x:c r="P422"/>
    </x:row>
    <x:row r="423" ht="20" customHeight="1">
      <x:c r="A423" t="str">
        <x:v>SH000422</x:v>
      </x:c>
      <x:c r="B423" t="str">
        <x:v>SO00295-01</x:v>
      </x:c>
      <x:c r="C423" t="str">
        <x:v>WO00422</x:v>
      </x:c>
      <x:c r="D423" t="str">
        <x:v>LOT00422</x:v>
      </x:c>
      <x:c r="E423" t="str">
        <x:v>AUT-003</x:v>
      </x:c>
      <x:c r="F423" t="str">
        <x:v>PM-VAC-B</x:v>
      </x:c>
      <x:c r="G423" s="20" t="n">
        <x:v>45695</x:v>
      </x:c>
      <x:c r="H423" s="20" t="n">
        <x:v>45695</x:v>
      </x:c>
      <x:c r="I423" s="20" t="n">
        <x:v>45698</x:v>
      </x:c>
      <x:c r="J423" t="n">
        <x:v>790</x:v>
      </x:c>
      <x:c r="K423" t="n">
        <x:v>22213.14</x:v>
      </x:c>
      <x:c r="L423" t="str">
        <x:v>陸運</x:v>
      </x:c>
      <x:c r="M423" t="n">
        <x:v>3</x:v>
      </x:c>
      <x:c r="N423" t="str">
        <x:v>否</x:v>
      </x:c>
      <x:c r="O423" t="n">
        <x:v>0</x:v>
      </x:c>
      <x:c r="P423"/>
    </x:row>
    <x:row r="424" ht="20" customHeight="1">
      <x:c r="A424" t="str">
        <x:v>SH000423</x:v>
      </x:c>
      <x:c r="B424" t="str">
        <x:v>SO00296-01</x:v>
      </x:c>
      <x:c r="C424" t="str">
        <x:v>WO00423</x:v>
      </x:c>
      <x:c r="D424" t="str">
        <x:v>LOT00423</x:v>
      </x:c>
      <x:c r="E424" t="str">
        <x:v>AFT-001</x:v>
      </x:c>
      <x:c r="F424" t="str">
        <x:v>AUTO-FL-A</x:v>
      </x:c>
      <x:c r="G424" s="20" t="n">
        <x:v>45668</x:v>
      </x:c>
      <x:c r="H424" s="20" t="n">
        <x:v>45665</x:v>
      </x:c>
      <x:c r="I424" s="20" t="n">
        <x:v>45666</x:v>
      </x:c>
      <x:c r="J424" t="n">
        <x:v>4961</x:v>
      </x:c>
      <x:c r="K424" t="n">
        <x:v>1288.73</x:v>
      </x:c>
      <x:c r="L424" t="str">
        <x:v>海運</x:v>
      </x:c>
      <x:c r="M424" t="n">
        <x:v>0</x:v>
      </x:c>
      <x:c r="N424" t="str">
        <x:v>是</x:v>
      </x:c>
      <x:c r="O424" t="n">
        <x:v>0</x:v>
      </x:c>
      <x:c r="P424"/>
    </x:row>
    <x:row r="425" ht="20" customHeight="1">
      <x:c r="A425" t="str">
        <x:v>SH000424</x:v>
      </x:c>
      <x:c r="B425" t="str">
        <x:v>SO00297-01</x:v>
      </x:c>
      <x:c r="C425" t="str">
        <x:v>WO00424</x:v>
      </x:c>
      <x:c r="D425" t="str">
        <x:v>LOT00424</x:v>
      </x:c>
      <x:c r="E425" t="str">
        <x:v>AUT-011</x:v>
      </x:c>
      <x:c r="F425" t="str">
        <x:v>AUTO-MH-A</x:v>
      </x:c>
      <x:c r="G425" s="20" t="n">
        <x:v>45674</x:v>
      </x:c>
      <x:c r="H425" s="20" t="n">
        <x:v>45672</x:v>
      </x:c>
      <x:c r="I425" s="20" t="n">
        <x:v>45676</x:v>
      </x:c>
      <x:c r="J425" t="n">
        <x:v>4945</x:v>
      </x:c>
      <x:c r="K425" t="n">
        <x:v>2582.9</x:v>
      </x:c>
      <x:c r="L425" t="str">
        <x:v>陸運</x:v>
      </x:c>
      <x:c r="M425" t="n">
        <x:v>2</x:v>
      </x:c>
      <x:c r="N425" t="str">
        <x:v>否</x:v>
      </x:c>
      <x:c r="O425" t="n">
        <x:v>0</x:v>
      </x:c>
      <x:c r="P425"/>
    </x:row>
    <x:row r="426" ht="20" customHeight="1">
      <x:c r="A426" t="str">
        <x:v>SH000425</x:v>
      </x:c>
      <x:c r="B426" t="str">
        <x:v>SO00297-01</x:v>
      </x:c>
      <x:c r="C426" t="str">
        <x:v>WO00425</x:v>
      </x:c>
      <x:c r="D426" t="str">
        <x:v>LOT00425</x:v>
      </x:c>
      <x:c r="E426" t="str">
        <x:v>AUT-011</x:v>
      </x:c>
      <x:c r="F426" t="str">
        <x:v>AUTO-MH-A</x:v>
      </x:c>
      <x:c r="G426" s="20" t="n">
        <x:v>45674</x:v>
      </x:c>
      <x:c r="H426" s="20" t="n">
        <x:v>45670</x:v>
      </x:c>
      <x:c r="I426" s="20" t="n">
        <x:v>45671</x:v>
      </x:c>
      <x:c r="J426" t="n">
        <x:v>4950</x:v>
      </x:c>
      <x:c r="K426" t="n">
        <x:v>2582.9</x:v>
      </x:c>
      <x:c r="L426" t="str">
        <x:v>海運</x:v>
      </x:c>
      <x:c r="M426" t="n">
        <x:v>0</x:v>
      </x:c>
      <x:c r="N426" t="str">
        <x:v>是</x:v>
      </x:c>
      <x:c r="O426" t="n">
        <x:v>0</x:v>
      </x:c>
      <x:c r="P426"/>
    </x:row>
    <x:row r="427" ht="20" customHeight="1">
      <x:c r="A427" t="str">
        <x:v>SH000426</x:v>
      </x:c>
      <x:c r="B427" t="str">
        <x:v>SO00298-01</x:v>
      </x:c>
      <x:c r="C427" t="str">
        <x:v>WO00427</x:v>
      </x:c>
      <x:c r="D427" t="str">
        <x:v>LOT00427</x:v>
      </x:c>
      <x:c r="E427" t="str">
        <x:v>SEM-007</x:v>
      </x:c>
      <x:c r="F427" t="str">
        <x:v>SEMI-WH-A</x:v>
      </x:c>
      <x:c r="G427" s="20" t="n">
        <x:v>45704</x:v>
      </x:c>
      <x:c r="H427" s="20" t="n">
        <x:v>45699</x:v>
      </x:c>
      <x:c r="I427" s="20" t="n">
        <x:v>45703</x:v>
      </x:c>
      <x:c r="J427" t="n">
        <x:v>78</x:v>
      </x:c>
      <x:c r="K427" t="n">
        <x:v>112989.13</x:v>
      </x:c>
      <x:c r="L427" t="str">
        <x:v>海運</x:v>
      </x:c>
      <x:c r="M427" t="n">
        <x:v>0</x:v>
      </x:c>
      <x:c r="N427" t="str">
        <x:v>是</x:v>
      </x:c>
      <x:c r="O427" t="n">
        <x:v>0</x:v>
      </x:c>
      <x:c r="P427"/>
    </x:row>
    <x:row r="428" ht="20" customHeight="1">
      <x:c r="A428" t="str">
        <x:v>SH000427</x:v>
      </x:c>
      <x:c r="B428" t="str">
        <x:v>SO00298-01</x:v>
      </x:c>
      <x:c r="C428" t="str">
        <x:v>WO00426</x:v>
      </x:c>
      <x:c r="D428" t="str">
        <x:v>LOT00426</x:v>
      </x:c>
      <x:c r="E428" t="str">
        <x:v>SEM-007</x:v>
      </x:c>
      <x:c r="F428" t="str">
        <x:v>SEMI-WH-A</x:v>
      </x:c>
      <x:c r="G428" s="20" t="n">
        <x:v>45704</x:v>
      </x:c>
      <x:c r="H428" s="20" t="n">
        <x:v>45704</x:v>
      </x:c>
      <x:c r="I428" s="20" t="n">
        <x:v>45706</x:v>
      </x:c>
      <x:c r="J428" t="n">
        <x:v>79</x:v>
      </x:c>
      <x:c r="K428" t="n">
        <x:v>112989.13</x:v>
      </x:c>
      <x:c r="L428" t="str">
        <x:v>海運</x:v>
      </x:c>
      <x:c r="M428" t="n">
        <x:v>2</x:v>
      </x:c>
      <x:c r="N428" t="str">
        <x:v>否</x:v>
      </x:c>
      <x:c r="O428" t="n">
        <x:v>0</x:v>
      </x:c>
      <x:c r="P428"/>
    </x:row>
    <x:row r="429" ht="20" customHeight="1">
      <x:c r="A429" t="str">
        <x:v>SH000428</x:v>
      </x:c>
      <x:c r="B429" t="str">
        <x:v>SO00299-01</x:v>
      </x:c>
      <x:c r="C429" t="str">
        <x:v>WO00429</x:v>
      </x:c>
      <x:c r="D429" t="str">
        <x:v>LOT00429</x:v>
      </x:c>
      <x:c r="E429" t="str">
        <x:v>EMS-006</x:v>
      </x:c>
      <x:c r="F429" t="str">
        <x:v>AUTO-MH-B</x:v>
      </x:c>
      <x:c r="G429" s="20" t="n">
        <x:v>45668</x:v>
      </x:c>
      <x:c r="H429" s="20" t="n">
        <x:v>45667</x:v>
      </x:c>
      <x:c r="I429" s="20" t="n">
        <x:v>45670</x:v>
      </x:c>
      <x:c r="J429" t="n">
        <x:v>6399</x:v>
      </x:c>
      <x:c r="K429" t="n">
        <x:v>2899.87</x:v>
      </x:c>
      <x:c r="L429" t="str">
        <x:v>空運</x:v>
      </x:c>
      <x:c r="M429" t="n">
        <x:v>2</x:v>
      </x:c>
      <x:c r="N429" t="str">
        <x:v>否</x:v>
      </x:c>
      <x:c r="O429" t="n">
        <x:v>0</x:v>
      </x:c>
      <x:c r="P429"/>
    </x:row>
    <x:row r="430" ht="20" customHeight="1">
      <x:c r="A430" t="str">
        <x:v>SH000429</x:v>
      </x:c>
      <x:c r="B430" t="str">
        <x:v>SO00299-01</x:v>
      </x:c>
      <x:c r="C430" t="str">
        <x:v>WO00428</x:v>
      </x:c>
      <x:c r="D430" t="str">
        <x:v>LOT00428</x:v>
      </x:c>
      <x:c r="E430" t="str">
        <x:v>EMS-006</x:v>
      </x:c>
      <x:c r="F430" t="str">
        <x:v>AUTO-MH-B</x:v>
      </x:c>
      <x:c r="G430" s="20" t="n">
        <x:v>45668</x:v>
      </x:c>
      <x:c r="H430" s="20" t="n">
        <x:v>45668</x:v>
      </x:c>
      <x:c r="I430" s="20" t="n">
        <x:v>45673</x:v>
      </x:c>
      <x:c r="J430" t="n">
        <x:v>6391</x:v>
      </x:c>
      <x:c r="K430" t="n">
        <x:v>2899.87</x:v>
      </x:c>
      <x:c r="L430" t="str">
        <x:v>空運</x:v>
      </x:c>
      <x:c r="M430" t="n">
        <x:v>5</x:v>
      </x:c>
      <x:c r="N430" t="str">
        <x:v>否</x:v>
      </x:c>
      <x:c r="O430" t="n">
        <x:v>0</x:v>
      </x:c>
      <x:c r="P430"/>
    </x:row>
    <x:row r="431" ht="20" customHeight="1">
      <x:c r="A431" t="str">
        <x:v>SH000430</x:v>
      </x:c>
      <x:c r="B431" t="str">
        <x:v>SO00300-01</x:v>
      </x:c>
      <x:c r="C431" t="str">
        <x:v>WO00430</x:v>
      </x:c>
      <x:c r="D431" t="str">
        <x:v>LOT00430</x:v>
      </x:c>
      <x:c r="E431" t="str">
        <x:v>IAT-006</x:v>
      </x:c>
      <x:c r="F431" t="str">
        <x:v>PM-VAC-A</x:v>
      </x:c>
      <x:c r="G431" s="20" t="n">
        <x:v>45698</x:v>
      </x:c>
      <x:c r="H431" s="20" t="n">
        <x:v>45696</x:v>
      </x:c>
      <x:c r="I431" s="20" t="n">
        <x:v>45698</x:v>
      </x:c>
      <x:c r="J431" t="n">
        <x:v>489</x:v>
      </x:c>
      <x:c r="K431" t="n">
        <x:v>16178.35</x:v>
      </x:c>
      <x:c r="L431" t="str">
        <x:v>海運</x:v>
      </x:c>
      <x:c r="M431" t="n">
        <x:v>0</x:v>
      </x:c>
      <x:c r="N431" t="str">
        <x:v>是</x:v>
      </x:c>
      <x:c r="O431" t="n">
        <x:v>0</x:v>
      </x:c>
      <x:c r="P431"/>
    </x:row>
    <x:row r="432" ht="20" customHeight="1">
      <x:c r="A432" t="str">
        <x:v>SH000431</x:v>
      </x:c>
      <x:c r="B432" t="str">
        <x:v>SO00301-01</x:v>
      </x:c>
      <x:c r="C432" t="str">
        <x:v>WO00431</x:v>
      </x:c>
      <x:c r="D432" t="str">
        <x:v>LOT00431</x:v>
      </x:c>
      <x:c r="E432" t="str">
        <x:v>EMS-008</x:v>
      </x:c>
      <x:c r="F432" t="str">
        <x:v>MECH-STG-B</x:v>
      </x:c>
      <x:c r="G432" s="20" t="n">
        <x:v>45690</x:v>
      </x:c>
      <x:c r="H432" s="20" t="n">
        <x:v>45687</x:v>
      </x:c>
      <x:c r="I432" s="20" t="n">
        <x:v>45691</x:v>
      </x:c>
      <x:c r="J432" t="n">
        <x:v>20</x:v>
      </x:c>
      <x:c r="K432" t="n">
        <x:v>196280.23</x:v>
      </x:c>
      <x:c r="L432" t="str">
        <x:v>陸運</x:v>
      </x:c>
      <x:c r="M432" t="n">
        <x:v>1</x:v>
      </x:c>
      <x:c r="N432" t="str">
        <x:v>否</x:v>
      </x:c>
      <x:c r="O432" t="n">
        <x:v>0</x:v>
      </x:c>
      <x:c r="P432"/>
    </x:row>
    <x:row r="433" ht="20" customHeight="1">
      <x:c r="A433" t="str">
        <x:v>SH000432</x:v>
      </x:c>
      <x:c r="B433" t="str">
        <x:v>SO00302-01</x:v>
      </x:c>
      <x:c r="C433" t="str">
        <x:v>WO00432</x:v>
      </x:c>
      <x:c r="D433" t="str">
        <x:v>LOT00432</x:v>
      </x:c>
      <x:c r="E433" t="str">
        <x:v>SEM-003</x:v>
      </x:c>
      <x:c r="F433" t="str">
        <x:v>MECH-STG-A</x:v>
      </x:c>
      <x:c r="G433" s="20" t="n">
        <x:v>45694</x:v>
      </x:c>
      <x:c r="H433" s="20" t="n">
        <x:v>45690</x:v>
      </x:c>
      <x:c r="I433" s="20" t="n">
        <x:v>45695</x:v>
      </x:c>
      <x:c r="J433" t="n">
        <x:v>15</x:v>
      </x:c>
      <x:c r="K433" t="n">
        <x:v>127349</x:v>
      </x:c>
      <x:c r="L433" t="str">
        <x:v>海運</x:v>
      </x:c>
      <x:c r="M433" t="n">
        <x:v>1</x:v>
      </x:c>
      <x:c r="N433" t="str">
        <x:v>否</x:v>
      </x:c>
      <x:c r="O433" t="n">
        <x:v>0</x:v>
      </x:c>
      <x:c r="P433"/>
    </x:row>
    <x:row r="434" ht="20" customHeight="1">
      <x:c r="A434" t="str">
        <x:v>SH000433</x:v>
      </x:c>
      <x:c r="B434" t="str">
        <x:v>SO00302-01</x:v>
      </x:c>
      <x:c r="C434" t="str">
        <x:v>WO00433</x:v>
      </x:c>
      <x:c r="D434" t="str">
        <x:v>LOT00433</x:v>
      </x:c>
      <x:c r="E434" t="str">
        <x:v>SEM-003</x:v>
      </x:c>
      <x:c r="F434" t="str">
        <x:v>MECH-STG-A</x:v>
      </x:c>
      <x:c r="G434" s="20" t="n">
        <x:v>45694</x:v>
      </x:c>
      <x:c r="H434" s="20" t="n">
        <x:v>45701</x:v>
      </x:c>
      <x:c r="I434" s="20" t="n">
        <x:v>45702</x:v>
      </x:c>
      <x:c r="J434" t="n">
        <x:v>15</x:v>
      </x:c>
      <x:c r="K434" t="n">
        <x:v>127349</x:v>
      </x:c>
      <x:c r="L434" t="str">
        <x:v>海運</x:v>
      </x:c>
      <x:c r="M434" t="n">
        <x:v>8</x:v>
      </x:c>
      <x:c r="N434" t="str">
        <x:v>否</x:v>
      </x:c>
      <x:c r="O434" t="n">
        <x:v>0</x:v>
      </x:c>
      <x:c r="P434"/>
    </x:row>
    <x:row r="435" ht="20" customHeight="1">
      <x:c r="A435" t="str">
        <x:v>SH000434</x:v>
      </x:c>
      <x:c r="B435" t="str">
        <x:v>SO00303-01</x:v>
      </x:c>
      <x:c r="C435" t="str">
        <x:v>WO00435</x:v>
      </x:c>
      <x:c r="D435" t="str">
        <x:v>LOT00435</x:v>
      </x:c>
      <x:c r="E435" t="str">
        <x:v>IAT-003</x:v>
      </x:c>
      <x:c r="F435" t="str">
        <x:v>PM-VAC-B</x:v>
      </x:c>
      <x:c r="G435" s="20" t="n">
        <x:v>45678</x:v>
      </x:c>
      <x:c r="H435" s="20" t="n">
        <x:v>45677</x:v>
      </x:c>
      <x:c r="I435" s="20" t="n">
        <x:v>45679</x:v>
      </x:c>
      <x:c r="J435" t="n">
        <x:v>792</x:v>
      </x:c>
      <x:c r="K435" t="n">
        <x:v>22746.14</x:v>
      </x:c>
      <x:c r="L435" t="str">
        <x:v>空運</x:v>
      </x:c>
      <x:c r="M435" t="n">
        <x:v>1</x:v>
      </x:c>
      <x:c r="N435" t="str">
        <x:v>否</x:v>
      </x:c>
      <x:c r="O435" t="n">
        <x:v>0</x:v>
      </x:c>
      <x:c r="P435"/>
    </x:row>
    <x:row r="436" ht="20" customHeight="1">
      <x:c r="A436" t="str">
        <x:v>SH000435</x:v>
      </x:c>
      <x:c r="B436" t="str">
        <x:v>SO00303-01</x:v>
      </x:c>
      <x:c r="C436" t="str">
        <x:v>WO00434</x:v>
      </x:c>
      <x:c r="D436" t="str">
        <x:v>LOT00434</x:v>
      </x:c>
      <x:c r="E436" t="str">
        <x:v>IAT-003</x:v>
      </x:c>
      <x:c r="F436" t="str">
        <x:v>PM-VAC-B</x:v>
      </x:c>
      <x:c r="G436" s="20" t="n">
        <x:v>45678</x:v>
      </x:c>
      <x:c r="H436" s="20" t="n">
        <x:v>45678</x:v>
      </x:c>
      <x:c r="I436" s="20" t="n">
        <x:v>45683</x:v>
      </x:c>
      <x:c r="J436" t="n">
        <x:v>778</x:v>
      </x:c>
      <x:c r="K436" t="n">
        <x:v>22746.14</x:v>
      </x:c>
      <x:c r="L436" t="str">
        <x:v>海運</x:v>
      </x:c>
      <x:c r="M436" t="n">
        <x:v>5</x:v>
      </x:c>
      <x:c r="N436" t="str">
        <x:v>否</x:v>
      </x:c>
      <x:c r="O436" t="n">
        <x:v>0</x:v>
      </x:c>
      <x:c r="P436"/>
    </x:row>
    <x:row r="437" ht="20" customHeight="1">
      <x:c r="A437" t="str">
        <x:v>SH000436</x:v>
      </x:c>
      <x:c r="B437" t="str">
        <x:v>SO00304-01</x:v>
      </x:c>
      <x:c r="C437" t="str">
        <x:v>WO00436</x:v>
      </x:c>
      <x:c r="D437" t="str">
        <x:v>LOT00436</x:v>
      </x:c>
      <x:c r="E437" t="str">
        <x:v>AFT-002</x:v>
      </x:c>
      <x:c r="F437" t="str">
        <x:v>AUTO-MH-A</x:v>
      </x:c>
      <x:c r="G437" s="20" t="n">
        <x:v>45670</x:v>
      </x:c>
      <x:c r="H437" s="20" t="n">
        <x:v>45668</x:v>
      </x:c>
      <x:c r="I437" s="20" t="n">
        <x:v>45672</x:v>
      </x:c>
      <x:c r="J437" t="n">
        <x:v>6416</x:v>
      </x:c>
      <x:c r="K437" t="n">
        <x:v>2454.87</x:v>
      </x:c>
      <x:c r="L437" t="str">
        <x:v>陸運</x:v>
      </x:c>
      <x:c r="M437" t="n">
        <x:v>2</x:v>
      </x:c>
      <x:c r="N437" t="str">
        <x:v>否</x:v>
      </x:c>
      <x:c r="O437" t="n">
        <x:v>0</x:v>
      </x:c>
      <x:c r="P437"/>
    </x:row>
    <x:row r="438" ht="20" customHeight="1">
      <x:c r="A438" t="str">
        <x:v>SH000437</x:v>
      </x:c>
      <x:c r="B438" t="str">
        <x:v>SO00304-01</x:v>
      </x:c>
      <x:c r="C438" t="str">
        <x:v>WO00437</x:v>
      </x:c>
      <x:c r="D438" t="str">
        <x:v>LOT00437</x:v>
      </x:c>
      <x:c r="E438" t="str">
        <x:v>AFT-002</x:v>
      </x:c>
      <x:c r="F438" t="str">
        <x:v>AUTO-MH-A</x:v>
      </x:c>
      <x:c r="G438" s="20" t="n">
        <x:v>45670</x:v>
      </x:c>
      <x:c r="H438" s="20" t="n">
        <x:v>45670</x:v>
      </x:c>
      <x:c r="I438" s="20" t="n">
        <x:v>45673</x:v>
      </x:c>
      <x:c r="J438" t="n">
        <x:v>6469</x:v>
      </x:c>
      <x:c r="K438" t="n">
        <x:v>2454.87</x:v>
      </x:c>
      <x:c r="L438" t="str">
        <x:v>海運</x:v>
      </x:c>
      <x:c r="M438" t="n">
        <x:v>3</x:v>
      </x:c>
      <x:c r="N438" t="str">
        <x:v>否</x:v>
      </x:c>
      <x:c r="O438" t="n">
        <x:v>0</x:v>
      </x:c>
      <x:c r="P438"/>
    </x:row>
    <x:row r="439" ht="20" customHeight="1">
      <x:c r="A439" t="str">
        <x:v>SH000438</x:v>
      </x:c>
      <x:c r="B439" t="str">
        <x:v>SO00305-01</x:v>
      </x:c>
      <x:c r="C439" t="str">
        <x:v>WO00438</x:v>
      </x:c>
      <x:c r="D439" t="str">
        <x:v>LOT00438</x:v>
      </x:c>
      <x:c r="E439" t="str">
        <x:v>EMS-002</x:v>
      </x:c>
      <x:c r="F439" t="str">
        <x:v>AUTO-LG-B</x:v>
      </x:c>
      <x:c r="G439" s="20" t="n">
        <x:v>45675</x:v>
      </x:c>
      <x:c r="H439" s="20" t="n">
        <x:v>45672</x:v>
      </x:c>
      <x:c r="I439" s="20" t="n">
        <x:v>45673</x:v>
      </x:c>
      <x:c r="J439" t="n">
        <x:v>2943</x:v>
      </x:c>
      <x:c r="K439" t="n">
        <x:v>1207.24</x:v>
      </x:c>
      <x:c r="L439" t="str">
        <x:v>海運</x:v>
      </x:c>
      <x:c r="M439" t="n">
        <x:v>0</x:v>
      </x:c>
      <x:c r="N439" t="str">
        <x:v>是</x:v>
      </x:c>
      <x:c r="O439" t="n">
        <x:v>0</x:v>
      </x:c>
      <x:c r="P439"/>
    </x:row>
    <x:row r="440" ht="20" customHeight="1">
      <x:c r="A440" t="str">
        <x:v>SH000439</x:v>
      </x:c>
      <x:c r="B440" t="str">
        <x:v>SO00306-01</x:v>
      </x:c>
      <x:c r="C440" t="str">
        <x:v>WO00440</x:v>
      </x:c>
      <x:c r="D440" t="str">
        <x:v>LOT00440</x:v>
      </x:c>
      <x:c r="E440" t="str">
        <x:v>IAT-007</x:v>
      </x:c>
      <x:c r="F440" t="str">
        <x:v>AUTO-KN-B</x:v>
      </x:c>
      <x:c r="G440" s="20" t="n">
        <x:v>45685</x:v>
      </x:c>
      <x:c r="H440" s="20" t="n">
        <x:v>45681</x:v>
      </x:c>
      <x:c r="I440" s="20" t="n">
        <x:v>45685</x:v>
      </x:c>
      <x:c r="J440" t="n">
        <x:v>6378</x:v>
      </x:c>
      <x:c r="K440" t="n">
        <x:v>3743.63</x:v>
      </x:c>
      <x:c r="L440" t="str">
        <x:v>空運</x:v>
      </x:c>
      <x:c r="M440" t="n">
        <x:v>0</x:v>
      </x:c>
      <x:c r="N440" t="str">
        <x:v>是</x:v>
      </x:c>
      <x:c r="O440" t="n">
        <x:v>0</x:v>
      </x:c>
      <x:c r="P440"/>
    </x:row>
    <x:row r="441" ht="20" customHeight="1">
      <x:c r="A441" t="str">
        <x:v>SH000440</x:v>
      </x:c>
      <x:c r="B441" t="str">
        <x:v>SO00306-01</x:v>
      </x:c>
      <x:c r="C441" t="str">
        <x:v>WO00439</x:v>
      </x:c>
      <x:c r="D441" t="str">
        <x:v>LOT00439</x:v>
      </x:c>
      <x:c r="E441" t="str">
        <x:v>IAT-007</x:v>
      </x:c>
      <x:c r="F441" t="str">
        <x:v>AUTO-KN-B</x:v>
      </x:c>
      <x:c r="G441" s="20" t="n">
        <x:v>45685</x:v>
      </x:c>
      <x:c r="H441" s="20" t="n">
        <x:v>45691</x:v>
      </x:c>
      <x:c r="I441" s="20" t="n">
        <x:v>45692</x:v>
      </x:c>
      <x:c r="J441" t="n">
        <x:v>6465</x:v>
      </x:c>
      <x:c r="K441" t="n">
        <x:v>3743.63</x:v>
      </x:c>
      <x:c r="L441" t="str">
        <x:v>空運</x:v>
      </x:c>
      <x:c r="M441" t="n">
        <x:v>7</x:v>
      </x:c>
      <x:c r="N441" t="str">
        <x:v>否</x:v>
      </x:c>
      <x:c r="O441" t="n">
        <x:v>0</x:v>
      </x:c>
      <x:c r="P441"/>
    </x:row>
    <x:row r="442" ht="20" customHeight="1">
      <x:c r="A442" t="str">
        <x:v>SH000441</x:v>
      </x:c>
      <x:c r="B442" t="str">
        <x:v>SO00307-01</x:v>
      </x:c>
      <x:c r="C442" t="str">
        <x:v>WO00441</x:v>
      </x:c>
      <x:c r="D442" t="str">
        <x:v>LOT00441</x:v>
      </x:c>
      <x:c r="E442" t="str">
        <x:v>AFT-001</x:v>
      </x:c>
      <x:c r="F442" t="str">
        <x:v>AUTO-KN-A</x:v>
      </x:c>
      <x:c r="G442" s="20" t="n">
        <x:v>45672</x:v>
      </x:c>
      <x:c r="H442" s="20" t="n">
        <x:v>45672</x:v>
      </x:c>
      <x:c r="I442" s="20" t="n">
        <x:v>45676</x:v>
      </x:c>
      <x:c r="J442" t="n">
        <x:v>2973</x:v>
      </x:c>
      <x:c r="K442" t="n">
        <x:v>3314.42</x:v>
      </x:c>
      <x:c r="L442" t="str">
        <x:v>空運</x:v>
      </x:c>
      <x:c r="M442" t="n">
        <x:v>4</x:v>
      </x:c>
      <x:c r="N442" t="str">
        <x:v>否</x:v>
      </x:c>
      <x:c r="O442" t="n">
        <x:v>0</x:v>
      </x:c>
      <x:c r="P442"/>
    </x:row>
    <x:row r="443" ht="20" customHeight="1">
      <x:c r="A443" t="str">
        <x:v>SH000442</x:v>
      </x:c>
      <x:c r="B443" t="str">
        <x:v>SO00308-01</x:v>
      </x:c>
      <x:c r="C443" t="str">
        <x:v>WO00444</x:v>
      </x:c>
      <x:c r="D443" t="str">
        <x:v>LOT00444</x:v>
      </x:c>
      <x:c r="E443" t="str">
        <x:v>SEM-008</x:v>
      </x:c>
      <x:c r="F443" t="str">
        <x:v>MECH-STG-B</x:v>
      </x:c>
      <x:c r="G443" s="20" t="n">
        <x:v>45686</x:v>
      </x:c>
      <x:c r="H443" s="20" t="n">
        <x:v>45686</x:v>
      </x:c>
      <x:c r="I443" s="20" t="n">
        <x:v>45691</x:v>
      </x:c>
      <x:c r="J443" t="n">
        <x:v>16</x:v>
      </x:c>
      <x:c r="K443" t="n">
        <x:v>200178.91</x:v>
      </x:c>
      <x:c r="L443" t="str">
        <x:v>陸運</x:v>
      </x:c>
      <x:c r="M443" t="n">
        <x:v>5</x:v>
      </x:c>
      <x:c r="N443" t="str">
        <x:v>否</x:v>
      </x:c>
      <x:c r="O443" t="n">
        <x:v>0</x:v>
      </x:c>
      <x:c r="P443"/>
    </x:row>
    <x:row r="444" ht="20" customHeight="1">
      <x:c r="A444" t="str">
        <x:v>SH000443</x:v>
      </x:c>
      <x:c r="B444" t="str">
        <x:v>SO00308-01</x:v>
      </x:c>
      <x:c r="C444" t="str">
        <x:v>WO00443</x:v>
      </x:c>
      <x:c r="D444" t="str">
        <x:v>LOT00443</x:v>
      </x:c>
      <x:c r="E444" t="str">
        <x:v>SEM-008</x:v>
      </x:c>
      <x:c r="F444" t="str">
        <x:v>MECH-STG-B</x:v>
      </x:c>
      <x:c r="G444" s="20" t="n">
        <x:v>45686</x:v>
      </x:c>
      <x:c r="H444" s="20" t="n">
        <x:v>45686</x:v>
      </x:c>
      <x:c r="I444" s="20" t="n">
        <x:v>45690</x:v>
      </x:c>
      <x:c r="J444" t="n">
        <x:v>17</x:v>
      </x:c>
      <x:c r="K444" t="n">
        <x:v>200178.91</x:v>
      </x:c>
      <x:c r="L444" t="str">
        <x:v>陸運</x:v>
      </x:c>
      <x:c r="M444" t="n">
        <x:v>4</x:v>
      </x:c>
      <x:c r="N444" t="str">
        <x:v>否</x:v>
      </x:c>
      <x:c r="O444" t="n">
        <x:v>0</x:v>
      </x:c>
      <x:c r="P444"/>
    </x:row>
    <x:row r="445" ht="20" customHeight="1">
      <x:c r="A445" t="str">
        <x:v>SH000444</x:v>
      </x:c>
      <x:c r="B445" t="str">
        <x:v>SO00308-01</x:v>
      </x:c>
      <x:c r="C445" t="str">
        <x:v>WO00442</x:v>
      </x:c>
      <x:c r="D445" t="str">
        <x:v>LOT00442</x:v>
      </x:c>
      <x:c r="E445" t="str">
        <x:v>SEM-008</x:v>
      </x:c>
      <x:c r="F445" t="str">
        <x:v>MECH-STG-B</x:v>
      </x:c>
      <x:c r="G445" s="20" t="n">
        <x:v>45686</x:v>
      </x:c>
      <x:c r="H445" s="20" t="n">
        <x:v>45690</x:v>
      </x:c>
      <x:c r="I445" s="20" t="n">
        <x:v>45695</x:v>
      </x:c>
      <x:c r="J445" t="n">
        <x:v>17</x:v>
      </x:c>
      <x:c r="K445" t="n">
        <x:v>200178.91</x:v>
      </x:c>
      <x:c r="L445" t="str">
        <x:v>空運</x:v>
      </x:c>
      <x:c r="M445" t="n">
        <x:v>9</x:v>
      </x:c>
      <x:c r="N445" t="str">
        <x:v>否</x:v>
      </x:c>
      <x:c r="O445" t="n">
        <x:v>0</x:v>
      </x:c>
      <x:c r="P445"/>
    </x:row>
    <x:row r="446" ht="20" customHeight="1">
      <x:c r="A446" t="str">
        <x:v>SH000445</x:v>
      </x:c>
      <x:c r="B446" t="str">
        <x:v>SO00309-01</x:v>
      </x:c>
      <x:c r="C446" t="str">
        <x:v>WO00445</x:v>
      </x:c>
      <x:c r="D446" t="str">
        <x:v>LOT00445</x:v>
      </x:c>
      <x:c r="E446" t="str">
        <x:v>AUT-005</x:v>
      </x:c>
      <x:c r="F446" t="str">
        <x:v>AUTO-BRK-B</x:v>
      </x:c>
      <x:c r="G446" s="20" t="n">
        <x:v>45662</x:v>
      </x:c>
      <x:c r="H446" s="20" t="n">
        <x:v>45661</x:v>
      </x:c>
      <x:c r="I446" s="20" t="n">
        <x:v>45662</x:v>
      </x:c>
      <x:c r="J446" t="n">
        <x:v>4900</x:v>
      </x:c>
      <x:c r="K446" t="n">
        <x:v>2152.54</x:v>
      </x:c>
      <x:c r="L446" t="str">
        <x:v>陸運</x:v>
      </x:c>
      <x:c r="M446" t="n">
        <x:v>0</x:v>
      </x:c>
      <x:c r="N446" t="str">
        <x:v>是</x:v>
      </x:c>
      <x:c r="O446" t="n">
        <x:v>0</x:v>
      </x:c>
      <x:c r="P446"/>
    </x:row>
    <x:row r="447" ht="20" customHeight="1">
      <x:c r="A447" t="str">
        <x:v>SH000446</x:v>
      </x:c>
      <x:c r="B447" t="str">
        <x:v>SO00310-01</x:v>
      </x:c>
      <x:c r="C447" t="str">
        <x:v>WO00446</x:v>
      </x:c>
      <x:c r="D447" t="str">
        <x:v>LOT00446</x:v>
      </x:c>
      <x:c r="E447" t="str">
        <x:v>IAT-009</x:v>
      </x:c>
      <x:c r="F447" t="str">
        <x:v>SEMI-CHB-B</x:v>
      </x:c>
      <x:c r="G447" s="20" t="n">
        <x:v>45735</x:v>
      </x:c>
      <x:c r="H447" s="20" t="n">
        <x:v>45729</x:v>
      </x:c>
      <x:c r="I447" s="20" t="n">
        <x:v>45733</x:v>
      </x:c>
      <x:c r="J447" t="n">
        <x:v>78</x:v>
      </x:c>
      <x:c r="K447" t="n">
        <x:v>141468.76</x:v>
      </x:c>
      <x:c r="L447" t="str">
        <x:v>陸運</x:v>
      </x:c>
      <x:c r="M447" t="n">
        <x:v>0</x:v>
      </x:c>
      <x:c r="N447" t="str">
        <x:v>是</x:v>
      </x:c>
      <x:c r="O447" t="n">
        <x:v>0</x:v>
      </x:c>
      <x:c r="P447"/>
    </x:row>
    <x:row r="448" ht="20" customHeight="1">
      <x:c r="A448" t="str">
        <x:v>SH000447</x:v>
      </x:c>
      <x:c r="B448" t="str">
        <x:v>SO00310-01</x:v>
      </x:c>
      <x:c r="C448" t="str">
        <x:v>WO00447</x:v>
      </x:c>
      <x:c r="D448" t="str">
        <x:v>LOT00447</x:v>
      </x:c>
      <x:c r="E448" t="str">
        <x:v>IAT-009</x:v>
      </x:c>
      <x:c r="F448" t="str">
        <x:v>SEMI-CHB-B</x:v>
      </x:c>
      <x:c r="G448" s="20" t="n">
        <x:v>45735</x:v>
      </x:c>
      <x:c r="H448" s="20" t="n">
        <x:v>45730</x:v>
      </x:c>
      <x:c r="I448" s="20" t="n">
        <x:v>45731</x:v>
      </x:c>
      <x:c r="J448" t="n">
        <x:v>80</x:v>
      </x:c>
      <x:c r="K448" t="n">
        <x:v>141468.76</x:v>
      </x:c>
      <x:c r="L448" t="str">
        <x:v>空運</x:v>
      </x:c>
      <x:c r="M448" t="n">
        <x:v>0</x:v>
      </x:c>
      <x:c r="N448" t="str">
        <x:v>是</x:v>
      </x:c>
      <x:c r="O448" t="n">
        <x:v>0</x:v>
      </x:c>
      <x:c r="P448"/>
    </x:row>
    <x:row r="449" ht="20" customHeight="1">
      <x:c r="A449" t="str">
        <x:v>SH000448</x:v>
      </x:c>
      <x:c r="B449" t="str">
        <x:v>SO00311-01</x:v>
      </x:c>
      <x:c r="C449" t="str">
        <x:v>WO00448</x:v>
      </x:c>
      <x:c r="D449" t="str">
        <x:v>LOT00448</x:v>
      </x:c>
      <x:c r="E449" t="str">
        <x:v>AFT-005</x:v>
      </x:c>
      <x:c r="F449" t="str">
        <x:v>PM-SUS-A</x:v>
      </x:c>
      <x:c r="G449" s="20" t="n">
        <x:v>45704</x:v>
      </x:c>
      <x:c r="H449" s="20" t="n">
        <x:v>45702</x:v>
      </x:c>
      <x:c r="I449" s="20" t="n">
        <x:v>45705</x:v>
      </x:c>
      <x:c r="J449" t="n">
        <x:v>783</x:v>
      </x:c>
      <x:c r="K449" t="n">
        <x:v>10919.43</x:v>
      </x:c>
      <x:c r="L449" t="str">
        <x:v>空運</x:v>
      </x:c>
      <x:c r="M449" t="n">
        <x:v>1</x:v>
      </x:c>
      <x:c r="N449" t="str">
        <x:v>否</x:v>
      </x:c>
      <x:c r="O449" t="n">
        <x:v>0</x:v>
      </x:c>
      <x:c r="P449"/>
    </x:row>
    <x:row r="450" ht="20" customHeight="1">
      <x:c r="A450" t="str">
        <x:v>SH000449</x:v>
      </x:c>
      <x:c r="B450" t="str">
        <x:v>SO00311-01</x:v>
      </x:c>
      <x:c r="C450" t="str">
        <x:v>WO00449</x:v>
      </x:c>
      <x:c r="D450" t="str">
        <x:v>LOT00449</x:v>
      </x:c>
      <x:c r="E450" t="str">
        <x:v>AFT-005</x:v>
      </x:c>
      <x:c r="F450" t="str">
        <x:v>PM-SUS-A</x:v>
      </x:c>
      <x:c r="G450" s="20" t="n">
        <x:v>45704</x:v>
      </x:c>
      <x:c r="H450" s="20" t="n">
        <x:v>45704</x:v>
      </x:c>
      <x:c r="I450" s="20" t="n">
        <x:v>45706</x:v>
      </x:c>
      <x:c r="J450" t="n">
        <x:v>783</x:v>
      </x:c>
      <x:c r="K450" t="n">
        <x:v>10919.43</x:v>
      </x:c>
      <x:c r="L450" t="str">
        <x:v>空運</x:v>
      </x:c>
      <x:c r="M450" t="n">
        <x:v>2</x:v>
      </x:c>
      <x:c r="N450" t="str">
        <x:v>否</x:v>
      </x:c>
      <x:c r="O450" t="n">
        <x:v>0</x:v>
      </x:c>
      <x:c r="P450"/>
    </x:row>
    <x:row r="451" ht="20" customHeight="1">
      <x:c r="A451" t="str">
        <x:v>SH000450</x:v>
      </x:c>
      <x:c r="B451" t="str">
        <x:v>SO00312-01</x:v>
      </x:c>
      <x:c r="C451" t="str">
        <x:v>WO00450</x:v>
      </x:c>
      <x:c r="D451" t="str">
        <x:v>LOT00450</x:v>
      </x:c>
      <x:c r="E451" t="str">
        <x:v>AUT-005</x:v>
      </x:c>
      <x:c r="F451" t="str">
        <x:v>AUTO-MH-B</x:v>
      </x:c>
      <x:c r="G451" s="20" t="n">
        <x:v>45694</x:v>
      </x:c>
      <x:c r="H451" s="20" t="n">
        <x:v>45691</x:v>
      </x:c>
      <x:c r="I451" s="20" t="n">
        <x:v>45693</x:v>
      </x:c>
      <x:c r="J451" t="n">
        <x:v>2971</x:v>
      </x:c>
      <x:c r="K451" t="n">
        <x:v>3122</x:v>
      </x:c>
      <x:c r="L451" t="str">
        <x:v>陸運</x:v>
      </x:c>
      <x:c r="M451" t="n">
        <x:v>0</x:v>
      </x:c>
      <x:c r="N451" t="str">
        <x:v>是</x:v>
      </x:c>
      <x:c r="O451" t="n">
        <x:v>0</x:v>
      </x:c>
      <x:c r="P451"/>
    </x:row>
    <x:row r="452" ht="20" customHeight="1">
      <x:c r="A452" t="str">
        <x:v>SH000451</x:v>
      </x:c>
      <x:c r="B452" t="str">
        <x:v>SO00313-01</x:v>
      </x:c>
      <x:c r="C452" t="str">
        <x:v>WO00451</x:v>
      </x:c>
      <x:c r="D452" t="str">
        <x:v>LOT00451</x:v>
      </x:c>
      <x:c r="E452" t="str">
        <x:v>IAT-006</x:v>
      </x:c>
      <x:c r="F452" t="str">
        <x:v>PM-ALB-B</x:v>
      </x:c>
      <x:c r="G452" s="20" t="n">
        <x:v>45705</x:v>
      </x:c>
      <x:c r="H452" s="20" t="n">
        <x:v>45701</x:v>
      </x:c>
      <x:c r="I452" s="20" t="n">
        <x:v>45702</x:v>
      </x:c>
      <x:c r="J452" t="n">
        <x:v>295</x:v>
      </x:c>
      <x:c r="K452" t="n">
        <x:v>16238.79</x:v>
      </x:c>
      <x:c r="L452" t="str">
        <x:v>空運</x:v>
      </x:c>
      <x:c r="M452" t="n">
        <x:v>0</x:v>
      </x:c>
      <x:c r="N452" t="str">
        <x:v>是</x:v>
      </x:c>
      <x:c r="O452" t="n">
        <x:v>0</x:v>
      </x:c>
      <x:c r="P452"/>
    </x:row>
    <x:row r="453" ht="20" customHeight="1">
      <x:c r="A453" t="str">
        <x:v>SH000452</x:v>
      </x:c>
      <x:c r="B453" t="str">
        <x:v>SO00314-01</x:v>
      </x:c>
      <x:c r="C453" t="str">
        <x:v>WO00452</x:v>
      </x:c>
      <x:c r="D453" t="str">
        <x:v>LOT00452</x:v>
      </x:c>
      <x:c r="E453" t="str">
        <x:v>IAT-007</x:v>
      </x:c>
      <x:c r="F453" t="str">
        <x:v>PM-ALB-A</x:v>
      </x:c>
      <x:c r="G453" s="20" t="n">
        <x:v>45704</x:v>
      </x:c>
      <x:c r="H453" s="20" t="n">
        <x:v>45703</x:v>
      </x:c>
      <x:c r="I453" s="20" t="n">
        <x:v>45707</x:v>
      </x:c>
      <x:c r="J453" t="n">
        <x:v>498</x:v>
      </x:c>
      <x:c r="K453" t="n">
        <x:v>10784.69</x:v>
      </x:c>
      <x:c r="L453" t="str">
        <x:v>海運</x:v>
      </x:c>
      <x:c r="M453" t="n">
        <x:v>3</x:v>
      </x:c>
      <x:c r="N453" t="str">
        <x:v>否</x:v>
      </x:c>
      <x:c r="O453" t="n">
        <x:v>0</x:v>
      </x:c>
      <x:c r="P453"/>
    </x:row>
    <x:row r="454" ht="20" customHeight="1">
      <x:c r="A454" t="str">
        <x:v>SH000453</x:v>
      </x:c>
      <x:c r="B454" t="str">
        <x:v>SO00315-01</x:v>
      </x:c>
      <x:c r="C454" t="str">
        <x:v>WO00453</x:v>
      </x:c>
      <x:c r="D454" t="str">
        <x:v>LOT00453</x:v>
      </x:c>
      <x:c r="E454" t="str">
        <x:v>AFT-007</x:v>
      </x:c>
      <x:c r="F454" t="str">
        <x:v>AUTO-BS-A</x:v>
      </x:c>
      <x:c r="G454" s="20" t="n">
        <x:v>45684</x:v>
      </x:c>
      <x:c r="H454" s="20" t="n">
        <x:v>45682</x:v>
      </x:c>
      <x:c r="I454" s="20" t="n">
        <x:v>45685</x:v>
      </x:c>
      <x:c r="J454" t="n">
        <x:v>6428</x:v>
      </x:c>
      <x:c r="K454" t="n">
        <x:v>762.61</x:v>
      </x:c>
      <x:c r="L454" t="str">
        <x:v>海運</x:v>
      </x:c>
      <x:c r="M454" t="n">
        <x:v>1</x:v>
      </x:c>
      <x:c r="N454" t="str">
        <x:v>否</x:v>
      </x:c>
      <x:c r="O454" t="n">
        <x:v>0</x:v>
      </x:c>
      <x:c r="P454"/>
    </x:row>
    <x:row r="455" ht="20" customHeight="1">
      <x:c r="A455" t="str">
        <x:v>SH000454</x:v>
      </x:c>
      <x:c r="B455" t="str">
        <x:v>SO00315-01</x:v>
      </x:c>
      <x:c r="C455" t="str">
        <x:v>WO00454</x:v>
      </x:c>
      <x:c r="D455" t="str">
        <x:v>LOT00454</x:v>
      </x:c>
      <x:c r="E455" t="str">
        <x:v>AFT-007</x:v>
      </x:c>
      <x:c r="F455" t="str">
        <x:v>AUTO-BS-A</x:v>
      </x:c>
      <x:c r="G455" s="20" t="n">
        <x:v>45684</x:v>
      </x:c>
      <x:c r="H455" s="20" t="n">
        <x:v>45685</x:v>
      </x:c>
      <x:c r="I455" s="20" t="n">
        <x:v>45686</x:v>
      </x:c>
      <x:c r="J455" t="n">
        <x:v>6449</x:v>
      </x:c>
      <x:c r="K455" t="n">
        <x:v>762.61</x:v>
      </x:c>
      <x:c r="L455" t="str">
        <x:v>陸運</x:v>
      </x:c>
      <x:c r="M455" t="n">
        <x:v>2</x:v>
      </x:c>
      <x:c r="N455" t="str">
        <x:v>否</x:v>
      </x:c>
      <x:c r="O455" t="n">
        <x:v>0</x:v>
      </x:c>
      <x:c r="P455"/>
    </x:row>
    <x:row r="456" ht="20" customHeight="1">
      <x:c r="A456" t="str">
        <x:v>SH000455</x:v>
      </x:c>
      <x:c r="B456" t="str">
        <x:v>SO00316-01</x:v>
      </x:c>
      <x:c r="C456" t="str">
        <x:v>WO00455</x:v>
      </x:c>
      <x:c r="D456" t="str">
        <x:v>LOT00455</x:v>
      </x:c>
      <x:c r="E456" t="str">
        <x:v>IAT-001</x:v>
      </x:c>
      <x:c r="F456" t="str">
        <x:v>AUTO-FL-B</x:v>
      </x:c>
      <x:c r="G456" s="20" t="n">
        <x:v>45699</x:v>
      </x:c>
      <x:c r="H456" s="20" t="n">
        <x:v>45701</x:v>
      </x:c>
      <x:c r="I456" s="20" t="n">
        <x:v>45703</x:v>
      </x:c>
      <x:c r="J456" t="n">
        <x:v>2954</x:v>
      </x:c>
      <x:c r="K456" t="n">
        <x:v>1401.5</x:v>
      </x:c>
      <x:c r="L456" t="str">
        <x:v>空運</x:v>
      </x:c>
      <x:c r="M456" t="n">
        <x:v>4</x:v>
      </x:c>
      <x:c r="N456" t="str">
        <x:v>否</x:v>
      </x:c>
      <x:c r="O456" t="n">
        <x:v>0</x:v>
      </x:c>
      <x:c r="P456"/>
    </x:row>
    <x:row r="457" ht="20" customHeight="1">
      <x:c r="A457" t="str">
        <x:v>SH000456</x:v>
      </x:c>
      <x:c r="B457" t="str">
        <x:v>SO00317-01</x:v>
      </x:c>
      <x:c r="C457" t="str">
        <x:v>WO00456</x:v>
      </x:c>
      <x:c r="D457" t="str">
        <x:v>LOT00456</x:v>
      </x:c>
      <x:c r="E457" t="str">
        <x:v>IAT-010</x:v>
      </x:c>
      <x:c r="F457" t="str">
        <x:v>SEMI-CHB-B</x:v>
      </x:c>
      <x:c r="G457" s="20" t="n">
        <x:v>45726</x:v>
      </x:c>
      <x:c r="H457" s="20" t="n">
        <x:v>45725</x:v>
      </x:c>
      <x:c r="I457" s="20" t="n">
        <x:v>45727</x:v>
      </x:c>
      <x:c r="J457" t="n">
        <x:v>58</x:v>
      </x:c>
      <x:c r="K457" t="n">
        <x:v>139008.8</x:v>
      </x:c>
      <x:c r="L457" t="str">
        <x:v>空運</x:v>
      </x:c>
      <x:c r="M457" t="n">
        <x:v>1</x:v>
      </x:c>
      <x:c r="N457" t="str">
        <x:v>否</x:v>
      </x:c>
      <x:c r="O457" t="n">
        <x:v>0</x:v>
      </x:c>
      <x:c r="P457"/>
    </x:row>
    <x:row r="458" ht="20" customHeight="1">
      <x:c r="A458" t="str">
        <x:v>SH000457</x:v>
      </x:c>
      <x:c r="B458" t="str">
        <x:v>SO00318-01</x:v>
      </x:c>
      <x:c r="C458" t="str">
        <x:v>WO00457</x:v>
      </x:c>
      <x:c r="D458" t="str">
        <x:v>LOT00457</x:v>
      </x:c>
      <x:c r="E458" t="str">
        <x:v>IAT-002</x:v>
      </x:c>
      <x:c r="F458" t="str">
        <x:v>PM-SUS-B</x:v>
      </x:c>
      <x:c r="G458" s="20" t="n">
        <x:v>45709</x:v>
      </x:c>
      <x:c r="H458" s="20" t="n">
        <x:v>45708</x:v>
      </x:c>
      <x:c r="I458" s="20" t="n">
        <x:v>45712</x:v>
      </x:c>
      <x:c r="J458" t="n">
        <x:v>295</x:v>
      </x:c>
      <x:c r="K458" t="n">
        <x:v>14360.85</x:v>
      </x:c>
      <x:c r="L458" t="str">
        <x:v>空運</x:v>
      </x:c>
      <x:c r="M458" t="n">
        <x:v>3</x:v>
      </x:c>
      <x:c r="N458" t="str">
        <x:v>否</x:v>
      </x:c>
      <x:c r="O458" t="n">
        <x:v>0</x:v>
      </x:c>
      <x:c r="P458"/>
    </x:row>
    <x:row r="459" ht="20" customHeight="1">
      <x:c r="A459" t="str">
        <x:v>SH000458</x:v>
      </x:c>
      <x:c r="B459" t="str">
        <x:v>SO00319-01</x:v>
      </x:c>
      <x:c r="C459" t="str">
        <x:v>WO00458</x:v>
      </x:c>
      <x:c r="D459" t="str">
        <x:v>LOT00458</x:v>
      </x:c>
      <x:c r="E459" t="str">
        <x:v>IAT-006</x:v>
      </x:c>
      <x:c r="F459" t="str">
        <x:v>AUTO-KN-B</x:v>
      </x:c>
      <x:c r="G459" s="20" t="n">
        <x:v>45722</x:v>
      </x:c>
      <x:c r="H459" s="20" t="n">
        <x:v>45721</x:v>
      </x:c>
      <x:c r="I459" s="20" t="n">
        <x:v>45724</x:v>
      </x:c>
      <x:c r="J459" t="n">
        <x:v>2976</x:v>
      </x:c>
      <x:c r="K459" t="n">
        <x:v>3420.68</x:v>
      </x:c>
      <x:c r="L459" t="str">
        <x:v>空運</x:v>
      </x:c>
      <x:c r="M459" t="n">
        <x:v>2</x:v>
      </x:c>
      <x:c r="N459" t="str">
        <x:v>否</x:v>
      </x:c>
      <x:c r="O459" t="n">
        <x:v>0</x:v>
      </x:c>
      <x:c r="P459"/>
    </x:row>
    <x:row r="460" ht="20" customHeight="1">
      <x:c r="A460" t="str">
        <x:v>SH000459</x:v>
      </x:c>
      <x:c r="B460" t="str">
        <x:v>SO00320-01</x:v>
      </x:c>
      <x:c r="C460" t="str">
        <x:v>WO00459</x:v>
      </x:c>
      <x:c r="D460" t="str">
        <x:v>LOT00459</x:v>
      </x:c>
      <x:c r="E460" t="str">
        <x:v>EMS-002</x:v>
      </x:c>
      <x:c r="F460" t="str">
        <x:v>AUTO-BRK-B</x:v>
      </x:c>
      <x:c r="G460" s="20" t="n">
        <x:v>45705</x:v>
      </x:c>
      <x:c r="H460" s="20" t="n">
        <x:v>45706</x:v>
      </x:c>
      <x:c r="I460" s="20" t="n">
        <x:v>45708</x:v>
      </x:c>
      <x:c r="J460" t="n">
        <x:v>2955</x:v>
      </x:c>
      <x:c r="K460" t="n">
        <x:v>2142.76</x:v>
      </x:c>
      <x:c r="L460" t="str">
        <x:v>海運</x:v>
      </x:c>
      <x:c r="M460" t="n">
        <x:v>3</x:v>
      </x:c>
      <x:c r="N460" t="str">
        <x:v>否</x:v>
      </x:c>
      <x:c r="O460" t="n">
        <x:v>0</x:v>
      </x:c>
      <x:c r="P460"/>
    </x:row>
    <x:row r="461" ht="20" customHeight="1">
      <x:c r="A461" t="str">
        <x:v>SH000460</x:v>
      </x:c>
      <x:c r="B461" t="str">
        <x:v>SO00321-01</x:v>
      </x:c>
      <x:c r="C461" t="str">
        <x:v>WO00460</x:v>
      </x:c>
      <x:c r="D461" t="str">
        <x:v>LOT00460</x:v>
      </x:c>
      <x:c r="E461" t="str">
        <x:v>AUT-011</x:v>
      </x:c>
      <x:c r="F461" t="str">
        <x:v>MECH-CON-A</x:v>
      </x:c>
      <x:c r="G461" s="20" t="n">
        <x:v>45721</x:v>
      </x:c>
      <x:c r="H461" s="20" t="n">
        <x:v>45719</x:v>
      </x:c>
      <x:c r="I461" s="20" t="n">
        <x:v>45720</x:v>
      </x:c>
      <x:c r="J461" t="n">
        <x:v>10</x:v>
      </x:c>
      <x:c r="K461" t="n">
        <x:v>114343.89</x:v>
      </x:c>
      <x:c r="L461" t="str">
        <x:v>空運</x:v>
      </x:c>
      <x:c r="M461" t="n">
        <x:v>0</x:v>
      </x:c>
      <x:c r="N461" t="str">
        <x:v>是</x:v>
      </x:c>
      <x:c r="O461" t="n">
        <x:v>0</x:v>
      </x:c>
      <x:c r="P461"/>
    </x:row>
    <x:row r="462" ht="20" customHeight="1">
      <x:c r="A462" t="str">
        <x:v>SH000461</x:v>
      </x:c>
      <x:c r="B462" t="str">
        <x:v>SO00322-01</x:v>
      </x:c>
      <x:c r="C462" t="str">
        <x:v>WO00461</x:v>
      </x:c>
      <x:c r="D462" t="str">
        <x:v>LOT00461</x:v>
      </x:c>
      <x:c r="E462" t="str">
        <x:v>AUT-013</x:v>
      </x:c>
      <x:c r="F462" t="str">
        <x:v>MECH-CON-A</x:v>
      </x:c>
      <x:c r="G462" s="20" t="n">
        <x:v>45711</x:v>
      </x:c>
      <x:c r="H462" s="20" t="n">
        <x:v>45714</x:v>
      </x:c>
      <x:c r="I462" s="20" t="n">
        <x:v>45717</x:v>
      </x:c>
      <x:c r="J462" t="n">
        <x:v>20</x:v>
      </x:c>
      <x:c r="K462" t="n">
        <x:v>113188.83</x:v>
      </x:c>
      <x:c r="L462" t="str">
        <x:v>空運</x:v>
      </x:c>
      <x:c r="M462" t="n">
        <x:v>6</x:v>
      </x:c>
      <x:c r="N462" t="str">
        <x:v>否</x:v>
      </x:c>
      <x:c r="O462" t="n">
        <x:v>0</x:v>
      </x:c>
      <x:c r="P462"/>
    </x:row>
    <x:row r="463" ht="20" customHeight="1">
      <x:c r="A463" t="str">
        <x:v>SH000462</x:v>
      </x:c>
      <x:c r="B463" t="str">
        <x:v>SO00323-01</x:v>
      </x:c>
      <x:c r="C463" t="str">
        <x:v>WO00462</x:v>
      </x:c>
      <x:c r="D463" t="str">
        <x:v>LOT00462</x:v>
      </x:c>
      <x:c r="E463" t="str">
        <x:v>AFT-001</x:v>
      </x:c>
      <x:c r="F463" t="str">
        <x:v>PM-ALB-B</x:v>
      </x:c>
      <x:c r="G463" s="20" t="n">
        <x:v>45716</x:v>
      </x:c>
      <x:c r="H463" s="20" t="n">
        <x:v>45714</x:v>
      </x:c>
      <x:c r="I463" s="20" t="n">
        <x:v>45717</x:v>
      </x:c>
      <x:c r="J463" t="n">
        <x:v>783</x:v>
      </x:c>
      <x:c r="K463" t="n">
        <x:v>15641.46</x:v>
      </x:c>
      <x:c r="L463" t="str">
        <x:v>陸運</x:v>
      </x:c>
      <x:c r="M463" t="n">
        <x:v>1</x:v>
      </x:c>
      <x:c r="N463" t="str">
        <x:v>否</x:v>
      </x:c>
      <x:c r="O463" t="n">
        <x:v>0</x:v>
      </x:c>
      <x:c r="P463"/>
    </x:row>
    <x:row r="464" ht="20" customHeight="1">
      <x:c r="A464" t="str">
        <x:v>SH000463</x:v>
      </x:c>
      <x:c r="B464" t="str">
        <x:v>SO00323-01</x:v>
      </x:c>
      <x:c r="C464" t="str">
        <x:v>WO00463</x:v>
      </x:c>
      <x:c r="D464" t="str">
        <x:v>LOT00463</x:v>
      </x:c>
      <x:c r="E464" t="str">
        <x:v>AFT-001</x:v>
      </x:c>
      <x:c r="F464" t="str">
        <x:v>PM-ALB-B</x:v>
      </x:c>
      <x:c r="G464" s="20" t="n">
        <x:v>45716</x:v>
      </x:c>
      <x:c r="H464" s="20" t="n">
        <x:v>45713</x:v>
      </x:c>
      <x:c r="I464" s="20" t="n">
        <x:v>45718</x:v>
      </x:c>
      <x:c r="J464" t="n">
        <x:v>783</x:v>
      </x:c>
      <x:c r="K464" t="n">
        <x:v>15641.46</x:v>
      </x:c>
      <x:c r="L464" t="str">
        <x:v>陸運</x:v>
      </x:c>
      <x:c r="M464" t="n">
        <x:v>2</x:v>
      </x:c>
      <x:c r="N464" t="str">
        <x:v>否</x:v>
      </x:c>
      <x:c r="O464" t="n">
        <x:v>0</x:v>
      </x:c>
      <x:c r="P464"/>
    </x:row>
    <x:row r="465" ht="20" customHeight="1">
      <x:c r="A465" t="str">
        <x:v>SH000464</x:v>
      </x:c>
      <x:c r="B465" t="str">
        <x:v>SO00324-01</x:v>
      </x:c>
      <x:c r="C465" t="str">
        <x:v>WO00464</x:v>
      </x:c>
      <x:c r="D465" t="str">
        <x:v>LOT00464</x:v>
      </x:c>
      <x:c r="E465" t="str">
        <x:v>EMS-001</x:v>
      </x:c>
      <x:c r="F465" t="str">
        <x:v>PM-SUS-B</x:v>
      </x:c>
      <x:c r="G465" s="20" t="n">
        <x:v>45712</x:v>
      </x:c>
      <x:c r="H465" s="20" t="n">
        <x:v>45713</x:v>
      </x:c>
      <x:c r="I465" s="20" t="n">
        <x:v>45714</x:v>
      </x:c>
      <x:c r="J465" t="n">
        <x:v>487</x:v>
      </x:c>
      <x:c r="K465" t="n">
        <x:v>15248.35</x:v>
      </x:c>
      <x:c r="L465" t="str">
        <x:v>空運</x:v>
      </x:c>
      <x:c r="M465" t="n">
        <x:v>2</x:v>
      </x:c>
      <x:c r="N465" t="str">
        <x:v>否</x:v>
      </x:c>
      <x:c r="O465" t="n">
        <x:v>0</x:v>
      </x:c>
      <x:c r="P465"/>
    </x:row>
    <x:row r="466" ht="20" customHeight="1">
      <x:c r="A466" t="str">
        <x:v>SH000465</x:v>
      </x:c>
      <x:c r="B466" t="str">
        <x:v>SO00325-01</x:v>
      </x:c>
      <x:c r="C466" t="str">
        <x:v>WO00465</x:v>
      </x:c>
      <x:c r="D466" t="str">
        <x:v>LOT00465</x:v>
      </x:c>
      <x:c r="E466" t="str">
        <x:v>IAT-007</x:v>
      </x:c>
      <x:c r="F466" t="str">
        <x:v>SEMI-CHB-B</x:v>
      </x:c>
      <x:c r="G466" s="20" t="n">
        <x:v>45725</x:v>
      </x:c>
      <x:c r="H466" s="20" t="n">
        <x:v>45721</x:v>
      </x:c>
      <x:c r="I466" s="20" t="n">
        <x:v>45724</x:v>
      </x:c>
      <x:c r="J466" t="n">
        <x:v>78</x:v>
      </x:c>
      <x:c r="K466" t="n">
        <x:v>137223.47</x:v>
      </x:c>
      <x:c r="L466" t="str">
        <x:v>空運</x:v>
      </x:c>
      <x:c r="M466" t="n">
        <x:v>0</x:v>
      </x:c>
      <x:c r="N466" t="str">
        <x:v>是</x:v>
      </x:c>
      <x:c r="O466" t="n">
        <x:v>0</x:v>
      </x:c>
      <x:c r="P466"/>
    </x:row>
    <x:row r="467" ht="20" customHeight="1">
      <x:c r="A467" t="str">
        <x:v>SH000466</x:v>
      </x:c>
      <x:c r="B467" t="str">
        <x:v>SO00325-01</x:v>
      </x:c>
      <x:c r="C467" t="str">
        <x:v>WO00466</x:v>
      </x:c>
      <x:c r="D467" t="str">
        <x:v>LOT00466</x:v>
      </x:c>
      <x:c r="E467" t="str">
        <x:v>IAT-007</x:v>
      </x:c>
      <x:c r="F467" t="str">
        <x:v>SEMI-CHB-B</x:v>
      </x:c>
      <x:c r="G467" s="20" t="n">
        <x:v>45725</x:v>
      </x:c>
      <x:c r="H467" s="20" t="n">
        <x:v>45723</x:v>
      </x:c>
      <x:c r="I467" s="20" t="n">
        <x:v>45726</x:v>
      </x:c>
      <x:c r="J467" t="n">
        <x:v>77</x:v>
      </x:c>
      <x:c r="K467" t="n">
        <x:v>137223.47</x:v>
      </x:c>
      <x:c r="L467" t="str">
        <x:v>海運</x:v>
      </x:c>
      <x:c r="M467" t="n">
        <x:v>1</x:v>
      </x:c>
      <x:c r="N467" t="str">
        <x:v>否</x:v>
      </x:c>
      <x:c r="O467" t="n">
        <x:v>0</x:v>
      </x:c>
      <x:c r="P467"/>
    </x:row>
    <x:row r="468" ht="20" customHeight="1">
      <x:c r="A468" t="str">
        <x:v>SH000467</x:v>
      </x:c>
      <x:c r="B468" t="str">
        <x:v>SO00326-01</x:v>
      </x:c>
      <x:c r="C468" t="str">
        <x:v>WO00467</x:v>
      </x:c>
      <x:c r="D468" t="str">
        <x:v>LOT00467</x:v>
      </x:c>
      <x:c r="E468" t="str">
        <x:v>EMS-005</x:v>
      </x:c>
      <x:c r="F468" t="str">
        <x:v>MECH-CON-A</x:v>
      </x:c>
      <x:c r="G468" s="20" t="n">
        <x:v>45723</x:v>
      </x:c>
      <x:c r="H468" s="20" t="n">
        <x:v>45720</x:v>
      </x:c>
      <x:c r="I468" s="20" t="n">
        <x:v>45723</x:v>
      </x:c>
      <x:c r="J468" t="n">
        <x:v>10</x:v>
      </x:c>
      <x:c r="K468" t="n">
        <x:v>110235.21</x:v>
      </x:c>
      <x:c r="L468" t="str">
        <x:v>空運</x:v>
      </x:c>
      <x:c r="M468" t="n">
        <x:v>0</x:v>
      </x:c>
      <x:c r="N468" t="str">
        <x:v>是</x:v>
      </x:c>
      <x:c r="O468" t="n">
        <x:v>0</x:v>
      </x:c>
      <x:c r="P468"/>
    </x:row>
    <x:row r="469" ht="20" customHeight="1">
      <x:c r="A469" t="str">
        <x:v>SH000468</x:v>
      </x:c>
      <x:c r="B469" t="str">
        <x:v>SO00327-01</x:v>
      </x:c>
      <x:c r="C469" t="str">
        <x:v>WO00468</x:v>
      </x:c>
      <x:c r="D469" t="str">
        <x:v>LOT00468</x:v>
      </x:c>
      <x:c r="E469" t="str">
        <x:v>EMS-002</x:v>
      </x:c>
      <x:c r="F469" t="str">
        <x:v>MECH-STG-A</x:v>
      </x:c>
      <x:c r="G469" s="20" t="n">
        <x:v>45710</x:v>
      </x:c>
      <x:c r="H469" s="20" t="n">
        <x:v>45705</x:v>
      </x:c>
      <x:c r="I469" s="20" t="n">
        <x:v>45709</x:v>
      </x:c>
      <x:c r="J469" t="n">
        <x:v>15</x:v>
      </x:c>
      <x:c r="K469" t="n">
        <x:v>137082.83</x:v>
      </x:c>
      <x:c r="L469" t="str">
        <x:v>空運</x:v>
      </x:c>
      <x:c r="M469" t="n">
        <x:v>0</x:v>
      </x:c>
      <x:c r="N469" t="str">
        <x:v>是</x:v>
      </x:c>
      <x:c r="O469" t="n">
        <x:v>0</x:v>
      </x:c>
      <x:c r="P469"/>
    </x:row>
    <x:row r="470" ht="20" customHeight="1">
      <x:c r="A470" t="str">
        <x:v>SH000469</x:v>
      </x:c>
      <x:c r="B470" t="str">
        <x:v>SO00327-01</x:v>
      </x:c>
      <x:c r="C470" t="str">
        <x:v>WO00469</x:v>
      </x:c>
      <x:c r="D470" t="str">
        <x:v>LOT00469</x:v>
      </x:c>
      <x:c r="E470" t="str">
        <x:v>EMS-002</x:v>
      </x:c>
      <x:c r="F470" t="str">
        <x:v>MECH-STG-A</x:v>
      </x:c>
      <x:c r="G470" s="20" t="n">
        <x:v>45710</x:v>
      </x:c>
      <x:c r="H470" s="20" t="n">
        <x:v>45706</x:v>
      </x:c>
      <x:c r="I470" s="20" t="n">
        <x:v>45710</x:v>
      </x:c>
      <x:c r="J470" t="n">
        <x:v>14</x:v>
      </x:c>
      <x:c r="K470" t="n">
        <x:v>137082.83</x:v>
      </x:c>
      <x:c r="L470" t="str">
        <x:v>空運</x:v>
      </x:c>
      <x:c r="M470" t="n">
        <x:v>0</x:v>
      </x:c>
      <x:c r="N470" t="str">
        <x:v>是</x:v>
      </x:c>
      <x:c r="O470" t="n">
        <x:v>0</x:v>
      </x:c>
      <x:c r="P470"/>
    </x:row>
    <x:row r="471" ht="20" customHeight="1">
      <x:c r="A471" t="str">
        <x:v>SH000470</x:v>
      </x:c>
      <x:c r="B471" t="str">
        <x:v>SO00328-01</x:v>
      </x:c>
      <x:c r="C471" t="str">
        <x:v>WO00470</x:v>
      </x:c>
      <x:c r="D471" t="str">
        <x:v>LOT00470</x:v>
      </x:c>
      <x:c r="E471" t="str">
        <x:v>EMS-008</x:v>
      </x:c>
      <x:c r="F471" t="str">
        <x:v>SEMI-CHB-A</x:v>
      </x:c>
      <x:c r="G471" s="20" t="n">
        <x:v>45739</x:v>
      </x:c>
      <x:c r="H471" s="20" t="n">
        <x:v>45737</x:v>
      </x:c>
      <x:c r="I471" s="20" t="n">
        <x:v>45740</x:v>
      </x:c>
      <x:c r="J471" t="n">
        <x:v>79</x:v>
      </x:c>
      <x:c r="K471" t="n">
        <x:v>87181.52</x:v>
      </x:c>
      <x:c r="L471" t="str">
        <x:v>空運</x:v>
      </x:c>
      <x:c r="M471" t="n">
        <x:v>1</x:v>
      </x:c>
      <x:c r="N471" t="str">
        <x:v>否</x:v>
      </x:c>
      <x:c r="O471" t="n">
        <x:v>0</x:v>
      </x:c>
      <x:c r="P471"/>
    </x:row>
    <x:row r="472" ht="20" customHeight="1">
      <x:c r="A472" t="str">
        <x:v>SH000471</x:v>
      </x:c>
      <x:c r="B472" t="str">
        <x:v>SO00329-01</x:v>
      </x:c>
      <x:c r="C472" t="str">
        <x:v>WO00471</x:v>
      </x:c>
      <x:c r="D472" t="str">
        <x:v>LOT00471</x:v>
      </x:c>
      <x:c r="E472" t="str">
        <x:v>SEM-003</x:v>
      </x:c>
      <x:c r="F472" t="str">
        <x:v>SEMI-WH-B</x:v>
      </x:c>
      <x:c r="G472" s="20" t="n">
        <x:v>45727</x:v>
      </x:c>
      <x:c r="H472" s="20" t="n">
        <x:v>45725</x:v>
      </x:c>
      <x:c r="I472" s="20" t="n">
        <x:v>45729</x:v>
      </x:c>
      <x:c r="J472" t="n">
        <x:v>59</x:v>
      </x:c>
      <x:c r="K472" t="n">
        <x:v>159672.27</x:v>
      </x:c>
      <x:c r="L472" t="str">
        <x:v>海運</x:v>
      </x:c>
      <x:c r="M472" t="n">
        <x:v>2</x:v>
      </x:c>
      <x:c r="N472" t="str">
        <x:v>否</x:v>
      </x:c>
      <x:c r="O472" t="n">
        <x:v>0</x:v>
      </x:c>
      <x:c r="P472"/>
    </x:row>
    <x:row r="473" ht="20" customHeight="1">
      <x:c r="A473" t="str">
        <x:v>SH000472</x:v>
      </x:c>
      <x:c r="B473" t="str">
        <x:v>SO00330-01</x:v>
      </x:c>
      <x:c r="C473" t="str">
        <x:v>WO00472</x:v>
      </x:c>
      <x:c r="D473" t="str">
        <x:v>LOT00472</x:v>
      </x:c>
      <x:c r="E473" t="str">
        <x:v>AFT-003</x:v>
      </x:c>
      <x:c r="F473" t="str">
        <x:v>AUTO-FL-B</x:v>
      </x:c>
      <x:c r="G473" s="20" t="n">
        <x:v>45682</x:v>
      </x:c>
      <x:c r="H473" s="20" t="n">
        <x:v>45679</x:v>
      </x:c>
      <x:c r="I473" s="20" t="n">
        <x:v>45684</x:v>
      </x:c>
      <x:c r="J473" t="n">
        <x:v>4937</x:v>
      </x:c>
      <x:c r="K473" t="n">
        <x:v>1427.37</x:v>
      </x:c>
      <x:c r="L473" t="str">
        <x:v>陸運</x:v>
      </x:c>
      <x:c r="M473" t="n">
        <x:v>2</x:v>
      </x:c>
      <x:c r="N473" t="str">
        <x:v>否</x:v>
      </x:c>
      <x:c r="O473" t="n">
        <x:v>0</x:v>
      </x:c>
      <x:c r="P473"/>
    </x:row>
    <x:row r="474" ht="20" customHeight="1">
      <x:c r="A474" t="str">
        <x:v>SH000473</x:v>
      </x:c>
      <x:c r="B474" t="str">
        <x:v>SO00330-01</x:v>
      </x:c>
      <x:c r="C474" t="str">
        <x:v>WO00473</x:v>
      </x:c>
      <x:c r="D474" t="str">
        <x:v>LOT00473</x:v>
      </x:c>
      <x:c r="E474" t="str">
        <x:v>AFT-003</x:v>
      </x:c>
      <x:c r="F474" t="str">
        <x:v>AUTO-FL-B</x:v>
      </x:c>
      <x:c r="G474" s="20" t="n">
        <x:v>45682</x:v>
      </x:c>
      <x:c r="H474" s="20" t="n">
        <x:v>45683</x:v>
      </x:c>
      <x:c r="I474" s="20" t="n">
        <x:v>45684</x:v>
      </x:c>
      <x:c r="J474" t="n">
        <x:v>4967</x:v>
      </x:c>
      <x:c r="K474" t="n">
        <x:v>1427.37</x:v>
      </x:c>
      <x:c r="L474" t="str">
        <x:v>海運</x:v>
      </x:c>
      <x:c r="M474" t="n">
        <x:v>2</x:v>
      </x:c>
      <x:c r="N474" t="str">
        <x:v>否</x:v>
      </x:c>
      <x:c r="O474" t="n">
        <x:v>0</x:v>
      </x:c>
      <x:c r="P474"/>
    </x:row>
    <x:row r="475" ht="20" customHeight="1">
      <x:c r="A475" t="str">
        <x:v>SH000474</x:v>
      </x:c>
      <x:c r="B475" t="str">
        <x:v>SO00331-01</x:v>
      </x:c>
      <x:c r="C475" t="str">
        <x:v>WO00475</x:v>
      </x:c>
      <x:c r="D475" t="str">
        <x:v>LOT00475</x:v>
      </x:c>
      <x:c r="E475" t="str">
        <x:v>IAT-009</x:v>
      </x:c>
      <x:c r="F475" t="str">
        <x:v>MECH-STG-A</x:v>
      </x:c>
      <x:c r="G475" s="20" t="n">
        <x:v>45762</x:v>
      </x:c>
      <x:c r="H475" s="20" t="n">
        <x:v>45759</x:v>
      </x:c>
      <x:c r="I475" s="20" t="n">
        <x:v>45762</x:v>
      </x:c>
      <x:c r="J475" t="n">
        <x:v>15</x:v>
      </x:c>
      <x:c r="K475" t="n">
        <x:v>136734.74</x:v>
      </x:c>
      <x:c r="L475" t="str">
        <x:v>陸運</x:v>
      </x:c>
      <x:c r="M475" t="n">
        <x:v>0</x:v>
      </x:c>
      <x:c r="N475" t="str">
        <x:v>是</x:v>
      </x:c>
      <x:c r="O475" t="n">
        <x:v>0</x:v>
      </x:c>
      <x:c r="P475"/>
    </x:row>
    <x:row r="476" ht="20" customHeight="1">
      <x:c r="A476" t="str">
        <x:v>SH000475</x:v>
      </x:c>
      <x:c r="B476" t="str">
        <x:v>SO00331-01</x:v>
      </x:c>
      <x:c r="C476" t="str">
        <x:v>WO00474</x:v>
      </x:c>
      <x:c r="D476" t="str">
        <x:v>LOT00474</x:v>
      </x:c>
      <x:c r="E476" t="str">
        <x:v>IAT-009</x:v>
      </x:c>
      <x:c r="F476" t="str">
        <x:v>MECH-STG-A</x:v>
      </x:c>
      <x:c r="G476" s="20" t="n">
        <x:v>45762</x:v>
      </x:c>
      <x:c r="H476" s="20" t="n">
        <x:v>45763</x:v>
      </x:c>
      <x:c r="I476" s="20" t="n">
        <x:v>45764</x:v>
      </x:c>
      <x:c r="J476" t="n">
        <x:v>15</x:v>
      </x:c>
      <x:c r="K476" t="n">
        <x:v>136734.74</x:v>
      </x:c>
      <x:c r="L476" t="str">
        <x:v>海運</x:v>
      </x:c>
      <x:c r="M476" t="n">
        <x:v>2</x:v>
      </x:c>
      <x:c r="N476" t="str">
        <x:v>否</x:v>
      </x:c>
      <x:c r="O476" t="n">
        <x:v>0</x:v>
      </x:c>
      <x:c r="P476"/>
    </x:row>
    <x:row r="477" ht="20" customHeight="1">
      <x:c r="A477" t="str">
        <x:v>SH000476</x:v>
      </x:c>
      <x:c r="B477" t="str">
        <x:v>SO00332-01</x:v>
      </x:c>
      <x:c r="C477" t="str">
        <x:v>WO00476</x:v>
      </x:c>
      <x:c r="D477" t="str">
        <x:v>LOT00476</x:v>
      </x:c>
      <x:c r="E477" t="str">
        <x:v>SEM-004</x:v>
      </x:c>
      <x:c r="F477" t="str">
        <x:v>MECH-STG-A</x:v>
      </x:c>
      <x:c r="G477" s="20" t="n">
        <x:v>45761</x:v>
      </x:c>
      <x:c r="H477" s="20" t="n">
        <x:v>45760</x:v>
      </x:c>
      <x:c r="I477" s="20" t="n">
        <x:v>45765</x:v>
      </x:c>
      <x:c r="J477" t="n">
        <x:v>10</x:v>
      </x:c>
      <x:c r="K477" t="n">
        <x:v>136815.63</x:v>
      </x:c>
      <x:c r="L477" t="str">
        <x:v>空運</x:v>
      </x:c>
      <x:c r="M477" t="n">
        <x:v>4</x:v>
      </x:c>
      <x:c r="N477" t="str">
        <x:v>否</x:v>
      </x:c>
      <x:c r="O477" t="n">
        <x:v>0</x:v>
      </x:c>
      <x:c r="P477"/>
    </x:row>
    <x:row r="478" ht="20" customHeight="1">
      <x:c r="A478" t="str">
        <x:v>SH000477</x:v>
      </x:c>
      <x:c r="B478" t="str">
        <x:v>SO00333-01</x:v>
      </x:c>
      <x:c r="C478" t="str">
        <x:v>WO00477</x:v>
      </x:c>
      <x:c r="D478" t="str">
        <x:v>LOT00477</x:v>
      </x:c>
      <x:c r="E478" t="str">
        <x:v>IAT-007</x:v>
      </x:c>
      <x:c r="F478" t="str">
        <x:v>AUTO-BS-A</x:v>
      </x:c>
      <x:c r="G478" s="20" t="n">
        <x:v>45738</x:v>
      </x:c>
      <x:c r="H478" s="20" t="n">
        <x:v>45736</x:v>
      </x:c>
      <x:c r="I478" s="20" t="n">
        <x:v>45740</x:v>
      </x:c>
      <x:c r="J478" t="n">
        <x:v>4928</x:v>
      </x:c>
      <x:c r="K478" t="n">
        <x:v>781.58</x:v>
      </x:c>
      <x:c r="L478" t="str">
        <x:v>空運</x:v>
      </x:c>
      <x:c r="M478" t="n">
        <x:v>2</x:v>
      </x:c>
      <x:c r="N478" t="str">
        <x:v>否</x:v>
      </x:c>
      <x:c r="O478" t="n">
        <x:v>0</x:v>
      </x:c>
      <x:c r="P478"/>
    </x:row>
    <x:row r="479" ht="20" customHeight="1">
      <x:c r="A479" t="str">
        <x:v>SH000478</x:v>
      </x:c>
      <x:c r="B479" t="str">
        <x:v>SO00334-01</x:v>
      </x:c>
      <x:c r="C479" t="str">
        <x:v>WO00478</x:v>
      </x:c>
      <x:c r="D479" t="str">
        <x:v>LOT00478</x:v>
      </x:c>
      <x:c r="E479" t="str">
        <x:v>EMS-004</x:v>
      </x:c>
      <x:c r="F479" t="str">
        <x:v>AUTO-BS-A</x:v>
      </x:c>
      <x:c r="G479" s="20" t="n">
        <x:v>45730</x:v>
      </x:c>
      <x:c r="H479" s="20" t="n">
        <x:v>45725</x:v>
      </x:c>
      <x:c r="I479" s="20" t="n">
        <x:v>45728</x:v>
      </x:c>
      <x:c r="J479" t="n">
        <x:v>2945</x:v>
      </x:c>
      <x:c r="K479" t="n">
        <x:v>728.14</x:v>
      </x:c>
      <x:c r="L479" t="str">
        <x:v>陸運</x:v>
      </x:c>
      <x:c r="M479" t="n">
        <x:v>0</x:v>
      </x:c>
      <x:c r="N479" t="str">
        <x:v>是</x:v>
      </x:c>
      <x:c r="O479" t="n">
        <x:v>0</x:v>
      </x:c>
      <x:c r="P479"/>
    </x:row>
    <x:row r="480" ht="20" customHeight="1">
      <x:c r="A480" t="str">
        <x:v>SH000479</x:v>
      </x:c>
      <x:c r="B480" t="str">
        <x:v>SO00335-01</x:v>
      </x:c>
      <x:c r="C480" t="str">
        <x:v>WO00480</x:v>
      </x:c>
      <x:c r="D480" t="str">
        <x:v>LOT00480</x:v>
      </x:c>
      <x:c r="E480" t="str">
        <x:v>SEM-010</x:v>
      </x:c>
      <x:c r="F480" t="str">
        <x:v>PM-SUS-B</x:v>
      </x:c>
      <x:c r="G480" s="20" t="n">
        <x:v>45745</x:v>
      </x:c>
      <x:c r="H480" s="20" t="n">
        <x:v>45742</x:v>
      </x:c>
      <x:c r="I480" s="20" t="n">
        <x:v>45746</x:v>
      </x:c>
      <x:c r="J480" t="n">
        <x:v>591</x:v>
      </x:c>
      <x:c r="K480" t="n">
        <x:v>14698.54</x:v>
      </x:c>
      <x:c r="L480" t="str">
        <x:v>海運</x:v>
      </x:c>
      <x:c r="M480" t="n">
        <x:v>1</x:v>
      </x:c>
      <x:c r="N480" t="str">
        <x:v>否</x:v>
      </x:c>
      <x:c r="O480" t="n">
        <x:v>0</x:v>
      </x:c>
      <x:c r="P480"/>
    </x:row>
    <x:row r="481" ht="20" customHeight="1">
      <x:c r="A481" t="str">
        <x:v>SH000480</x:v>
      </x:c>
      <x:c r="B481" t="str">
        <x:v>SO00335-01</x:v>
      </x:c>
      <x:c r="C481" t="str">
        <x:v>WO00479</x:v>
      </x:c>
      <x:c r="D481" t="str">
        <x:v>LOT00479</x:v>
      </x:c>
      <x:c r="E481" t="str">
        <x:v>SEM-010</x:v>
      </x:c>
      <x:c r="F481" t="str">
        <x:v>PM-SUS-B</x:v>
      </x:c>
      <x:c r="G481" s="20" t="n">
        <x:v>45745</x:v>
      </x:c>
      <x:c r="H481" s="20" t="n">
        <x:v>45744</x:v>
      </x:c>
      <x:c r="I481" s="20" t="n">
        <x:v>45749</x:v>
      </x:c>
      <x:c r="J481" t="n">
        <x:v>593</x:v>
      </x:c>
      <x:c r="K481" t="n">
        <x:v>14698.54</x:v>
      </x:c>
      <x:c r="L481" t="str">
        <x:v>空運</x:v>
      </x:c>
      <x:c r="M481" t="n">
        <x:v>4</x:v>
      </x:c>
      <x:c r="N481" t="str">
        <x:v>否</x:v>
      </x:c>
      <x:c r="O481" t="n">
        <x:v>0</x:v>
      </x:c>
      <x:c r="P481"/>
    </x:row>
    <x:row r="482" ht="20" customHeight="1">
      <x:c r="A482" t="str">
        <x:v>SH000481</x:v>
      </x:c>
      <x:c r="B482" t="str">
        <x:v>SO00336-01</x:v>
      </x:c>
      <x:c r="C482" t="str">
        <x:v>WO00481</x:v>
      </x:c>
      <x:c r="D482" t="str">
        <x:v>LOT00481</x:v>
      </x:c>
      <x:c r="E482" t="str">
        <x:v>SEM-007</x:v>
      </x:c>
      <x:c r="F482" t="str">
        <x:v>SEMI-WH-B</x:v>
      </x:c>
      <x:c r="G482" s="20" t="n">
        <x:v>45778</x:v>
      </x:c>
      <x:c r="H482" s="20" t="n">
        <x:v>45773</x:v>
      </x:c>
      <x:c r="I482" s="20" t="n">
        <x:v>45778</x:v>
      </x:c>
      <x:c r="J482" t="n">
        <x:v>59</x:v>
      </x:c>
      <x:c r="K482" t="n">
        <x:v>166582.73</x:v>
      </x:c>
      <x:c r="L482" t="str">
        <x:v>空運</x:v>
      </x:c>
      <x:c r="M482" t="n">
        <x:v>0</x:v>
      </x:c>
      <x:c r="N482" t="str">
        <x:v>是</x:v>
      </x:c>
      <x:c r="O482" t="n">
        <x:v>0</x:v>
      </x:c>
      <x:c r="P482"/>
    </x:row>
    <x:row r="483" ht="20" customHeight="1">
      <x:c r="A483" t="str">
        <x:v>SH000482</x:v>
      </x:c>
      <x:c r="B483" t="str">
        <x:v>SO00336-01</x:v>
      </x:c>
      <x:c r="C483" t="str">
        <x:v>WO00482</x:v>
      </x:c>
      <x:c r="D483" t="str">
        <x:v>LOT00482</x:v>
      </x:c>
      <x:c r="E483" t="str">
        <x:v>SEM-007</x:v>
      </x:c>
      <x:c r="F483" t="str">
        <x:v>SEMI-WH-B</x:v>
      </x:c>
      <x:c r="G483" s="20" t="n">
        <x:v>45778</x:v>
      </x:c>
      <x:c r="H483" s="20" t="n">
        <x:v>45773</x:v>
      </x:c>
      <x:c r="I483" s="20" t="n">
        <x:v>45778</x:v>
      </x:c>
      <x:c r="J483" t="n">
        <x:v>58</x:v>
      </x:c>
      <x:c r="K483" t="n">
        <x:v>166582.73</x:v>
      </x:c>
      <x:c r="L483" t="str">
        <x:v>陸運</x:v>
      </x:c>
      <x:c r="M483" t="n">
        <x:v>0</x:v>
      </x:c>
      <x:c r="N483" t="str">
        <x:v>是</x:v>
      </x:c>
      <x:c r="O483" t="n">
        <x:v>0</x:v>
      </x:c>
      <x:c r="P483"/>
    </x:row>
    <x:row r="484" ht="20" customHeight="1">
      <x:c r="A484" t="str">
        <x:v>SH000483</x:v>
      </x:c>
      <x:c r="B484" t="str">
        <x:v>SO00337-01</x:v>
      </x:c>
      <x:c r="C484" t="str">
        <x:v>WO00483</x:v>
      </x:c>
      <x:c r="D484" t="str">
        <x:v>LOT00483</x:v>
      </x:c>
      <x:c r="E484" t="str">
        <x:v>SEM-005</x:v>
      </x:c>
      <x:c r="F484" t="str">
        <x:v>MECH-CON-B</x:v>
      </x:c>
      <x:c r="G484" s="20" t="n">
        <x:v>45766</x:v>
      </x:c>
      <x:c r="H484" s="20" t="n">
        <x:v>45762</x:v>
      </x:c>
      <x:c r="I484" s="20" t="n">
        <x:v>45763</x:v>
      </x:c>
      <x:c r="J484" t="n">
        <x:v>20</x:v>
      </x:c>
      <x:c r="K484" t="n">
        <x:v>155707.6</x:v>
      </x:c>
      <x:c r="L484" t="str">
        <x:v>陸運</x:v>
      </x:c>
      <x:c r="M484" t="n">
        <x:v>0</x:v>
      </x:c>
      <x:c r="N484" t="str">
        <x:v>是</x:v>
      </x:c>
      <x:c r="O484" t="n">
        <x:v>0</x:v>
      </x:c>
      <x:c r="P484"/>
    </x:row>
    <x:row r="485" ht="20" customHeight="1">
      <x:c r="A485" t="str">
        <x:v>SH000484</x:v>
      </x:c>
      <x:c r="B485" t="str">
        <x:v>SO00338-01</x:v>
      </x:c>
      <x:c r="C485" t="str">
        <x:v>WO00484</x:v>
      </x:c>
      <x:c r="D485" t="str">
        <x:v>LOT00484</x:v>
      </x:c>
      <x:c r="E485" t="str">
        <x:v>EMS-007</x:v>
      </x:c>
      <x:c r="F485" t="str">
        <x:v>AUTO-BS-A</x:v>
      </x:c>
      <x:c r="G485" s="20" t="n">
        <x:v>45716</x:v>
      </x:c>
      <x:c r="H485" s="20" t="n">
        <x:v>45723</x:v>
      </x:c>
      <x:c r="I485" s="20" t="n">
        <x:v>45725</x:v>
      </x:c>
      <x:c r="J485" t="n">
        <x:v>6923</x:v>
      </x:c>
      <x:c r="K485" t="n">
        <x:v>779.48</x:v>
      </x:c>
      <x:c r="L485" t="str">
        <x:v>海運</x:v>
      </x:c>
      <x:c r="M485" t="n">
        <x:v>9</x:v>
      </x:c>
      <x:c r="N485" t="str">
        <x:v>否</x:v>
      </x:c>
      <x:c r="O485" t="n">
        <x:v>0</x:v>
      </x:c>
      <x:c r="P485"/>
    </x:row>
    <x:row r="486" ht="20" customHeight="1">
      <x:c r="A486" t="str">
        <x:v>SH000485</x:v>
      </x:c>
      <x:c r="B486" t="str">
        <x:v>SO00339-01</x:v>
      </x:c>
      <x:c r="C486" t="str">
        <x:v>WO00485</x:v>
      </x:c>
      <x:c r="D486" t="str">
        <x:v>LOT00485</x:v>
      </x:c>
      <x:c r="E486" t="str">
        <x:v>IAT-004</x:v>
      </x:c>
      <x:c r="F486" t="str">
        <x:v>AUTO-FL-B</x:v>
      </x:c>
      <x:c r="G486" s="20" t="n">
        <x:v>45716</x:v>
      </x:c>
      <x:c r="H486" s="20" t="n">
        <x:v>45710</x:v>
      </x:c>
      <x:c r="I486" s="20" t="n">
        <x:v>45712</x:v>
      </x:c>
      <x:c r="J486" t="n">
        <x:v>2934</x:v>
      </x:c>
      <x:c r="K486" t="n">
        <x:v>1433.31</x:v>
      </x:c>
      <x:c r="L486" t="str">
        <x:v>陸運</x:v>
      </x:c>
      <x:c r="M486" t="n">
        <x:v>0</x:v>
      </x:c>
      <x:c r="N486" t="str">
        <x:v>是</x:v>
      </x:c>
      <x:c r="O486" t="n">
        <x:v>0</x:v>
      </x:c>
      <x:c r="P486"/>
    </x:row>
    <x:row r="487" ht="20" customHeight="1">
      <x:c r="A487" t="str">
        <x:v>SH000486</x:v>
      </x:c>
      <x:c r="B487" t="str">
        <x:v>SO00340-01</x:v>
      </x:c>
      <x:c r="C487" t="str">
        <x:v>WO00486</x:v>
      </x:c>
      <x:c r="D487" t="str">
        <x:v>LOT00486</x:v>
      </x:c>
      <x:c r="E487" t="str">
        <x:v>AUT-004</x:v>
      </x:c>
      <x:c r="F487" t="str">
        <x:v>AUTO-BRK-B</x:v>
      </x:c>
      <x:c r="G487" s="20" t="n">
        <x:v>45732</x:v>
      </x:c>
      <x:c r="H487" s="20" t="n">
        <x:v>45732</x:v>
      </x:c>
      <x:c r="I487" s="20" t="n">
        <x:v>45733</x:v>
      </x:c>
      <x:c r="J487" t="n">
        <x:v>4949</x:v>
      </x:c>
      <x:c r="K487" t="n">
        <x:v>2067.76</x:v>
      </x:c>
      <x:c r="L487" t="str">
        <x:v>海運</x:v>
      </x:c>
      <x:c r="M487" t="n">
        <x:v>1</x:v>
      </x:c>
      <x:c r="N487" t="str">
        <x:v>否</x:v>
      </x:c>
      <x:c r="O487" t="n">
        <x:v>0</x:v>
      </x:c>
      <x:c r="P487"/>
    </x:row>
    <x:row r="488" ht="20" customHeight="1">
      <x:c r="A488" t="str">
        <x:v>SH000487</x:v>
      </x:c>
      <x:c r="B488" t="str">
        <x:v>SO00341-01</x:v>
      </x:c>
      <x:c r="C488" t="str">
        <x:v>WO00488</x:v>
      </x:c>
      <x:c r="D488" t="str">
        <x:v>LOT00488</x:v>
      </x:c>
      <x:c r="E488" t="str">
        <x:v>AFT-002</x:v>
      </x:c>
      <x:c r="F488" t="str">
        <x:v>AUTO-LG-A</x:v>
      </x:c>
      <x:c r="G488" s="20" t="n">
        <x:v>45725</x:v>
      </x:c>
      <x:c r="H488" s="20" t="n">
        <x:v>45720</x:v>
      </x:c>
      <x:c r="I488" s="20" t="n">
        <x:v>45721</x:v>
      </x:c>
      <x:c r="J488" t="n">
        <x:v>6415</x:v>
      </x:c>
      <x:c r="K488" t="n">
        <x:v>1074.11</x:v>
      </x:c>
      <x:c r="L488" t="str">
        <x:v>空運</x:v>
      </x:c>
      <x:c r="M488" t="n">
        <x:v>0</x:v>
      </x:c>
      <x:c r="N488" t="str">
        <x:v>是</x:v>
      </x:c>
      <x:c r="O488" t="n">
        <x:v>0</x:v>
      </x:c>
      <x:c r="P488"/>
    </x:row>
    <x:row r="489" ht="20" customHeight="1">
      <x:c r="A489" t="str">
        <x:v>SH000488</x:v>
      </x:c>
      <x:c r="B489" t="str">
        <x:v>SO00341-01</x:v>
      </x:c>
      <x:c r="C489" t="str">
        <x:v>WO00487</x:v>
      </x:c>
      <x:c r="D489" t="str">
        <x:v>LOT00487</x:v>
      </x:c>
      <x:c r="E489" t="str">
        <x:v>AFT-002</x:v>
      </x:c>
      <x:c r="F489" t="str">
        <x:v>AUTO-LG-A</x:v>
      </x:c>
      <x:c r="G489" s="20" t="n">
        <x:v>45725</x:v>
      </x:c>
      <x:c r="H489" s="20" t="n">
        <x:v>45724</x:v>
      </x:c>
      <x:c r="I489" s="20" t="n">
        <x:v>45726</x:v>
      </x:c>
      <x:c r="J489" t="n">
        <x:v>6387</x:v>
      </x:c>
      <x:c r="K489" t="n">
        <x:v>1074.11</x:v>
      </x:c>
      <x:c r="L489" t="str">
        <x:v>陸運</x:v>
      </x:c>
      <x:c r="M489" t="n">
        <x:v>1</x:v>
      </x:c>
      <x:c r="N489" t="str">
        <x:v>否</x:v>
      </x:c>
      <x:c r="O489" t="n">
        <x:v>0</x:v>
      </x:c>
      <x:c r="P489"/>
    </x:row>
    <x:row r="490" ht="20" customHeight="1">
      <x:c r="A490" t="str">
        <x:v>SH000489</x:v>
      </x:c>
      <x:c r="B490" t="str">
        <x:v>SO00342-01</x:v>
      </x:c>
      <x:c r="C490" t="str">
        <x:v>WO00489</x:v>
      </x:c>
      <x:c r="D490" t="str">
        <x:v>LOT00489</x:v>
      </x:c>
      <x:c r="E490" t="str">
        <x:v>AUT-014</x:v>
      </x:c>
      <x:c r="F490" t="str">
        <x:v>AUTO-LG-B</x:v>
      </x:c>
      <x:c r="G490" s="20" t="n">
        <x:v>45746</x:v>
      </x:c>
      <x:c r="H490" s="20" t="n">
        <x:v>45744</x:v>
      </x:c>
      <x:c r="I490" s="20" t="n">
        <x:v>45746</x:v>
      </x:c>
      <x:c r="J490" t="n">
        <x:v>6941</x:v>
      </x:c>
      <x:c r="K490" t="n">
        <x:v>1083.76</x:v>
      </x:c>
      <x:c r="L490" t="str">
        <x:v>陸運</x:v>
      </x:c>
      <x:c r="M490" t="n">
        <x:v>0</x:v>
      </x:c>
      <x:c r="N490" t="str">
        <x:v>是</x:v>
      </x:c>
      <x:c r="O490" t="n">
        <x:v>0</x:v>
      </x:c>
      <x:c r="P490"/>
    </x:row>
    <x:row r="491" ht="20" customHeight="1">
      <x:c r="A491" t="str">
        <x:v>SH000490</x:v>
      </x:c>
      <x:c r="B491" t="str">
        <x:v>SO00343-01</x:v>
      </x:c>
      <x:c r="C491" t="str">
        <x:v>WO00490</x:v>
      </x:c>
      <x:c r="D491" t="str">
        <x:v>LOT00490</x:v>
      </x:c>
      <x:c r="E491" t="str">
        <x:v>AUT-013</x:v>
      </x:c>
      <x:c r="F491" t="str">
        <x:v>PM-SUS-B</x:v>
      </x:c>
      <x:c r="G491" s="20" t="n">
        <x:v>45752</x:v>
      </x:c>
      <x:c r="H491" s="20" t="n">
        <x:v>45748</x:v>
      </x:c>
      <x:c r="I491" s="20" t="n">
        <x:v>45749</x:v>
      </x:c>
      <x:c r="J491" t="n">
        <x:v>782</x:v>
      </x:c>
      <x:c r="K491" t="n">
        <x:v>14633.14</x:v>
      </x:c>
      <x:c r="L491" t="str">
        <x:v>空運</x:v>
      </x:c>
      <x:c r="M491" t="n">
        <x:v>0</x:v>
      </x:c>
      <x:c r="N491" t="str">
        <x:v>是</x:v>
      </x:c>
      <x:c r="O491" t="n">
        <x:v>0</x:v>
      </x:c>
      <x:c r="P491"/>
    </x:row>
    <x:row r="492" ht="20" customHeight="1">
      <x:c r="A492" t="str">
        <x:v>SH000491</x:v>
      </x:c>
      <x:c r="B492" t="str">
        <x:v>SO00344-01</x:v>
      </x:c>
      <x:c r="C492" t="str">
        <x:v>WO00491</x:v>
      </x:c>
      <x:c r="D492" t="str">
        <x:v>LOT00491</x:v>
      </x:c>
      <x:c r="E492" t="str">
        <x:v>EMS-003</x:v>
      </x:c>
      <x:c r="F492" t="str">
        <x:v>AUTO-KN-B</x:v>
      </x:c>
      <x:c r="G492" s="20" t="n">
        <x:v>45735</x:v>
      </x:c>
      <x:c r="H492" s="20" t="n">
        <x:v>45735</x:v>
      </x:c>
      <x:c r="I492" s="20" t="n">
        <x:v>45739</x:v>
      </x:c>
      <x:c r="J492" t="n">
        <x:v>2982</x:v>
      </x:c>
      <x:c r="K492" t="n">
        <x:v>3830.54</x:v>
      </x:c>
      <x:c r="L492" t="str">
        <x:v>海運</x:v>
      </x:c>
      <x:c r="M492" t="n">
        <x:v>4</x:v>
      </x:c>
      <x:c r="N492" t="str">
        <x:v>否</x:v>
      </x:c>
      <x:c r="O492" t="n">
        <x:v>0</x:v>
      </x:c>
      <x:c r="P492"/>
    </x:row>
    <x:row r="493" ht="20" customHeight="1">
      <x:c r="A493" t="str">
        <x:v>SH000492</x:v>
      </x:c>
      <x:c r="B493" t="str">
        <x:v>SO00345-01</x:v>
      </x:c>
      <x:c r="C493" t="str">
        <x:v>WO00492</x:v>
      </x:c>
      <x:c r="D493" t="str">
        <x:v>LOT00492</x:v>
      </x:c>
      <x:c r="E493" t="str">
        <x:v>AFT-005</x:v>
      </x:c>
      <x:c r="F493" t="str">
        <x:v>PM-BRG-B</x:v>
      </x:c>
      <x:c r="G493" s="20" t="n">
        <x:v>45721</x:v>
      </x:c>
      <x:c r="H493" s="20" t="n">
        <x:v>45718</x:v>
      </x:c>
      <x:c r="I493" s="20" t="n">
        <x:v>45723</x:v>
      </x:c>
      <x:c r="J493" t="n">
        <x:v>786</x:v>
      </x:c>
      <x:c r="K493" t="n">
        <x:v>7894.55</x:v>
      </x:c>
      <x:c r="L493" t="str">
        <x:v>海運</x:v>
      </x:c>
      <x:c r="M493" t="n">
        <x:v>2</x:v>
      </x:c>
      <x:c r="N493" t="str">
        <x:v>否</x:v>
      </x:c>
      <x:c r="O493" t="n">
        <x:v>0</x:v>
      </x:c>
      <x:c r="P493"/>
    </x:row>
    <x:row r="494" ht="20" customHeight="1">
      <x:c r="A494" t="str">
        <x:v>SH000493</x:v>
      </x:c>
      <x:c r="B494" t="str">
        <x:v>SO00346-01</x:v>
      </x:c>
      <x:c r="C494" t="str">
        <x:v>WO00493</x:v>
      </x:c>
      <x:c r="D494" t="str">
        <x:v>LOT00493</x:v>
      </x:c>
      <x:c r="E494" t="str">
        <x:v>SEM-001</x:v>
      </x:c>
      <x:c r="F494" t="str">
        <x:v>PM-VAC-A</x:v>
      </x:c>
      <x:c r="G494" s="20" t="n">
        <x:v>45742</x:v>
      </x:c>
      <x:c r="H494" s="20" t="n">
        <x:v>45736</x:v>
      </x:c>
      <x:c r="I494" s="20" t="n">
        <x:v>45740</x:v>
      </x:c>
      <x:c r="J494" t="n">
        <x:v>295</x:v>
      </x:c>
      <x:c r="K494" t="n">
        <x:v>15870.65</x:v>
      </x:c>
      <x:c r="L494" t="str">
        <x:v>空運</x:v>
      </x:c>
      <x:c r="M494" t="n">
        <x:v>0</x:v>
      </x:c>
      <x:c r="N494" t="str">
        <x:v>是</x:v>
      </x:c>
      <x:c r="O494" t="n">
        <x:v>0</x:v>
      </x:c>
      <x:c r="P494"/>
    </x:row>
    <x:row r="495" ht="20" customHeight="1">
      <x:c r="A495" t="str">
        <x:v>SH000494</x:v>
      </x:c>
      <x:c r="B495" t="str">
        <x:v>SO00347-01</x:v>
      </x:c>
      <x:c r="C495" t="str">
        <x:v>WO00494</x:v>
      </x:c>
      <x:c r="D495" t="str">
        <x:v>LOT00494</x:v>
      </x:c>
      <x:c r="E495" t="str">
        <x:v>EMS-002</x:v>
      </x:c>
      <x:c r="F495" t="str">
        <x:v>PM-SUS-A</x:v>
      </x:c>
      <x:c r="G495" s="20" t="n">
        <x:v>45724</x:v>
      </x:c>
      <x:c r="H495" s="20" t="n">
        <x:v>45724</x:v>
      </x:c>
      <x:c r="I495" s="20" t="n">
        <x:v>45727</x:v>
      </x:c>
      <x:c r="J495" t="n">
        <x:v>590</x:v>
      </x:c>
      <x:c r="K495" t="n">
        <x:v>10068.24</x:v>
      </x:c>
      <x:c r="L495" t="str">
        <x:v>空運</x:v>
      </x:c>
      <x:c r="M495" t="n">
        <x:v>3</x:v>
      </x:c>
      <x:c r="N495" t="str">
        <x:v>否</x:v>
      </x:c>
      <x:c r="O495" t="n">
        <x:v>0</x:v>
      </x:c>
      <x:c r="P495"/>
    </x:row>
    <x:row r="496" ht="20" customHeight="1">
      <x:c r="A496" t="str">
        <x:v>SH000495</x:v>
      </x:c>
      <x:c r="B496" t="str">
        <x:v>SO00347-01</x:v>
      </x:c>
      <x:c r="C496" t="str">
        <x:v>WO00495</x:v>
      </x:c>
      <x:c r="D496" t="str">
        <x:v>LOT00495</x:v>
      </x:c>
      <x:c r="E496" t="str">
        <x:v>EMS-002</x:v>
      </x:c>
      <x:c r="F496" t="str">
        <x:v>PM-SUS-A</x:v>
      </x:c>
      <x:c r="G496" s="20" t="n">
        <x:v>45724</x:v>
      </x:c>
      <x:c r="H496" s="20" t="n">
        <x:v>45724</x:v>
      </x:c>
      <x:c r="I496" s="20" t="n">
        <x:v>45725</x:v>
      </x:c>
      <x:c r="J496" t="n">
        <x:v>584</x:v>
      </x:c>
      <x:c r="K496" t="n">
        <x:v>10068.24</x:v>
      </x:c>
      <x:c r="L496" t="str">
        <x:v>空運</x:v>
      </x:c>
      <x:c r="M496" t="n">
        <x:v>1</x:v>
      </x:c>
      <x:c r="N496" t="str">
        <x:v>否</x:v>
      </x:c>
      <x:c r="O496" t="n">
        <x:v>0</x:v>
      </x:c>
      <x:c r="P496"/>
    </x:row>
    <x:row r="497" ht="20" customHeight="1">
      <x:c r="A497" t="str">
        <x:v>SH000496</x:v>
      </x:c>
      <x:c r="B497" t="str">
        <x:v>SO00348-01</x:v>
      </x:c>
      <x:c r="C497" t="str">
        <x:v>WO00496</x:v>
      </x:c>
      <x:c r="D497" t="str">
        <x:v>LOT00496</x:v>
      </x:c>
      <x:c r="E497" t="str">
        <x:v>SEM-009</x:v>
      </x:c>
      <x:c r="F497" t="str">
        <x:v>SEMI-CHB-A</x:v>
      </x:c>
      <x:c r="G497" s="20" t="n">
        <x:v>45759</x:v>
      </x:c>
      <x:c r="H497" s="20" t="n">
        <x:v>45759</x:v>
      </x:c>
      <x:c r="I497" s="20" t="n">
        <x:v>45763</x:v>
      </x:c>
      <x:c r="J497" t="n">
        <x:v>59</x:v>
      </x:c>
      <x:c r="K497" t="n">
        <x:v>96179.92</x:v>
      </x:c>
      <x:c r="L497" t="str">
        <x:v>陸運</x:v>
      </x:c>
      <x:c r="M497" t="n">
        <x:v>4</x:v>
      </x:c>
      <x:c r="N497" t="str">
        <x:v>否</x:v>
      </x:c>
      <x:c r="O497" t="n">
        <x:v>0</x:v>
      </x:c>
      <x:c r="P497"/>
    </x:row>
    <x:row r="498" ht="20" customHeight="1">
      <x:c r="A498" t="str">
        <x:v>SH000497</x:v>
      </x:c>
      <x:c r="B498" t="str">
        <x:v>SO00349-01</x:v>
      </x:c>
      <x:c r="C498" t="str">
        <x:v>WO00497</x:v>
      </x:c>
      <x:c r="D498" t="str">
        <x:v>LOT00497</x:v>
      </x:c>
      <x:c r="E498" t="str">
        <x:v>SEM-010</x:v>
      </x:c>
      <x:c r="F498" t="str">
        <x:v>MECH-STG-B</x:v>
      </x:c>
      <x:c r="G498" s="20" t="n">
        <x:v>45778</x:v>
      </x:c>
      <x:c r="H498" s="20" t="n">
        <x:v>45778</x:v>
      </x:c>
      <x:c r="I498" s="20" t="n">
        <x:v>45780</x:v>
      </x:c>
      <x:c r="J498" t="n">
        <x:v>20</x:v>
      </x:c>
      <x:c r="K498" t="n">
        <x:v>189427.05</x:v>
      </x:c>
      <x:c r="L498" t="str">
        <x:v>海運</x:v>
      </x:c>
      <x:c r="M498" t="n">
        <x:v>2</x:v>
      </x:c>
      <x:c r="N498" t="str">
        <x:v>否</x:v>
      </x:c>
      <x:c r="O498" t="n">
        <x:v>0</x:v>
      </x:c>
      <x:c r="P498"/>
    </x:row>
    <x:row r="499" ht="20" customHeight="1">
      <x:c r="A499" t="str">
        <x:v>SH000498</x:v>
      </x:c>
      <x:c r="B499" t="str">
        <x:v>SO00350-01</x:v>
      </x:c>
      <x:c r="C499" t="str">
        <x:v>WO00498</x:v>
      </x:c>
      <x:c r="D499" t="str">
        <x:v>LOT00498</x:v>
      </x:c>
      <x:c r="E499" t="str">
        <x:v>SEM-009</x:v>
      </x:c>
      <x:c r="F499" t="str">
        <x:v>PM-ALB-B</x:v>
      </x:c>
      <x:c r="G499" s="20" t="n">
        <x:v>45756</x:v>
      </x:c>
      <x:c r="H499" s="20" t="n">
        <x:v>45753</x:v>
      </x:c>
      <x:c r="I499" s="20" t="n">
        <x:v>45755</x:v>
      </x:c>
      <x:c r="J499" t="n">
        <x:v>295</x:v>
      </x:c>
      <x:c r="K499" t="n">
        <x:v>16021.49</x:v>
      </x:c>
      <x:c r="L499" t="str">
        <x:v>陸運</x:v>
      </x:c>
      <x:c r="M499" t="n">
        <x:v>0</x:v>
      </x:c>
      <x:c r="N499" t="str">
        <x:v>是</x:v>
      </x:c>
      <x:c r="O499" t="n">
        <x:v>0</x:v>
      </x:c>
      <x:c r="P499"/>
    </x:row>
    <x:row r="500" ht="20" customHeight="1">
      <x:c r="A500" t="str">
        <x:v>SH000499</x:v>
      </x:c>
      <x:c r="B500" t="str">
        <x:v>SO00351-01</x:v>
      </x:c>
      <x:c r="C500" t="str">
        <x:v>WO00500</x:v>
      </x:c>
      <x:c r="D500" t="str">
        <x:v>LOT00500</x:v>
      </x:c>
      <x:c r="E500" t="str">
        <x:v>IAT-005</x:v>
      </x:c>
      <x:c r="F500" t="str">
        <x:v>AUTO-FL-B</x:v>
      </x:c>
      <x:c r="G500" s="20" t="n">
        <x:v>45772</x:v>
      </x:c>
      <x:c r="H500" s="20" t="n">
        <x:v>45769</x:v>
      </x:c>
      <x:c r="I500" s="20" t="n">
        <x:v>45771</x:v>
      </x:c>
      <x:c r="J500" t="n">
        <x:v>6302</x:v>
      </x:c>
      <x:c r="K500" t="n">
        <x:v>1519.28</x:v>
      </x:c>
      <x:c r="L500" t="str">
        <x:v>空運</x:v>
      </x:c>
      <x:c r="M500" t="n">
        <x:v>0</x:v>
      </x:c>
      <x:c r="N500" t="str">
        <x:v>是</x:v>
      </x:c>
      <x:c r="O500" t="n">
        <x:v>0</x:v>
      </x:c>
      <x:c r="P500"/>
    </x:row>
    <x:row r="501" ht="20" customHeight="1">
      <x:c r="A501" t="str">
        <x:v>SH000500</x:v>
      </x:c>
      <x:c r="B501" t="str">
        <x:v>SO00351-01</x:v>
      </x:c>
      <x:c r="C501" t="str">
        <x:v>WO00499</x:v>
      </x:c>
      <x:c r="D501" t="str">
        <x:v>LOT00499</x:v>
      </x:c>
      <x:c r="E501" t="str">
        <x:v>IAT-005</x:v>
      </x:c>
      <x:c r="F501" t="str">
        <x:v>AUTO-FL-B</x:v>
      </x:c>
      <x:c r="G501" s="20" t="n">
        <x:v>45772</x:v>
      </x:c>
      <x:c r="H501" s="20" t="n">
        <x:v>45771</x:v>
      </x:c>
      <x:c r="I501" s="20" t="n">
        <x:v>45774</x:v>
      </x:c>
      <x:c r="J501" t="n">
        <x:v>6442</x:v>
      </x:c>
      <x:c r="K501" t="n">
        <x:v>1519.28</x:v>
      </x:c>
      <x:c r="L501" t="str">
        <x:v>海運</x:v>
      </x:c>
      <x:c r="M501" t="n">
        <x:v>2</x:v>
      </x:c>
      <x:c r="N501" t="str">
        <x:v>否</x:v>
      </x:c>
      <x:c r="O501" t="n">
        <x:v>0</x:v>
      </x:c>
      <x:c r="P501"/>
    </x:row>
    <x:row r="502" ht="20" customHeight="1">
      <x:c r="A502" t="str">
        <x:v>SH000501</x:v>
      </x:c>
      <x:c r="B502" t="str">
        <x:v>SO00352-01</x:v>
      </x:c>
      <x:c r="C502" t="str">
        <x:v>WO00501</x:v>
      </x:c>
      <x:c r="D502" t="str">
        <x:v>LOT00501</x:v>
      </x:c>
      <x:c r="E502" t="str">
        <x:v>AUT-004</x:v>
      </x:c>
      <x:c r="F502" t="str">
        <x:v>PM-BRG-A</x:v>
      </x:c>
      <x:c r="G502" s="20" t="n">
        <x:v>45773</x:v>
      </x:c>
      <x:c r="H502" s="20" t="n">
        <x:v>45769</x:v>
      </x:c>
      <x:c r="I502" s="20" t="n">
        <x:v>45772</x:v>
      </x:c>
      <x:c r="J502" t="n">
        <x:v>484</x:v>
      </x:c>
      <x:c r="K502" t="n">
        <x:v>6698.42</x:v>
      </x:c>
      <x:c r="L502" t="str">
        <x:v>空運</x:v>
      </x:c>
      <x:c r="M502" t="n">
        <x:v>0</x:v>
      </x:c>
      <x:c r="N502" t="str">
        <x:v>是</x:v>
      </x:c>
      <x:c r="O502" t="n">
        <x:v>0</x:v>
      </x:c>
      <x:c r="P502"/>
    </x:row>
    <x:row r="503" ht="20" customHeight="1">
      <x:c r="A503" t="str">
        <x:v>SH000502</x:v>
      </x:c>
      <x:c r="B503" t="str">
        <x:v>SO00353-01</x:v>
      </x:c>
      <x:c r="C503" t="str">
        <x:v>WO00503</x:v>
      </x:c>
      <x:c r="D503" t="str">
        <x:v>LOT00503</x:v>
      </x:c>
      <x:c r="E503" t="str">
        <x:v>AFT-005</x:v>
      </x:c>
      <x:c r="F503" t="str">
        <x:v>AUTO-LG-A</x:v>
      </x:c>
      <x:c r="G503" s="20" t="n">
        <x:v>45757</x:v>
      </x:c>
      <x:c r="H503" s="20" t="n">
        <x:v>45754</x:v>
      </x:c>
      <x:c r="I503" s="20" t="n">
        <x:v>45755</x:v>
      </x:c>
      <x:c r="J503" t="n">
        <x:v>6450</x:v>
      </x:c>
      <x:c r="K503" t="n">
        <x:v>1137.48</x:v>
      </x:c>
      <x:c r="L503" t="str">
        <x:v>空運</x:v>
      </x:c>
      <x:c r="M503" t="n">
        <x:v>0</x:v>
      </x:c>
      <x:c r="N503" t="str">
        <x:v>是</x:v>
      </x:c>
      <x:c r="O503" t="n">
        <x:v>0</x:v>
      </x:c>
      <x:c r="P503"/>
    </x:row>
    <x:row r="504" ht="20" customHeight="1">
      <x:c r="A504" t="str">
        <x:v>SH000503</x:v>
      </x:c>
      <x:c r="B504" t="str">
        <x:v>SO00353-01</x:v>
      </x:c>
      <x:c r="C504" t="str">
        <x:v>WO00502</x:v>
      </x:c>
      <x:c r="D504" t="str">
        <x:v>LOT00502</x:v>
      </x:c>
      <x:c r="E504" t="str">
        <x:v>AFT-005</x:v>
      </x:c>
      <x:c r="F504" t="str">
        <x:v>AUTO-LG-A</x:v>
      </x:c>
      <x:c r="G504" s="20" t="n">
        <x:v>45757</x:v>
      </x:c>
      <x:c r="H504" s="20" t="n">
        <x:v>45756</x:v>
      </x:c>
      <x:c r="I504" s="20" t="n">
        <x:v>45758</x:v>
      </x:c>
      <x:c r="J504" t="n">
        <x:v>6490</x:v>
      </x:c>
      <x:c r="K504" t="n">
        <x:v>1137.48</x:v>
      </x:c>
      <x:c r="L504" t="str">
        <x:v>陸運</x:v>
      </x:c>
      <x:c r="M504" t="n">
        <x:v>1</x:v>
      </x:c>
      <x:c r="N504" t="str">
        <x:v>否</x:v>
      </x:c>
      <x:c r="O504" t="n">
        <x:v>0</x:v>
      </x:c>
      <x:c r="P504"/>
    </x:row>
    <x:row r="505" ht="20" customHeight="1">
      <x:c r="A505" t="str">
        <x:v>SH000504</x:v>
      </x:c>
      <x:c r="B505" t="str">
        <x:v>SO00354-01</x:v>
      </x:c>
      <x:c r="C505" t="str">
        <x:v>WO00504</x:v>
      </x:c>
      <x:c r="D505" t="str">
        <x:v>LOT00504</x:v>
      </x:c>
      <x:c r="E505" t="str">
        <x:v>EMS-007</x:v>
      </x:c>
      <x:c r="F505" t="str">
        <x:v>AUTO-KN-B</x:v>
      </x:c>
      <x:c r="G505" s="20" t="n">
        <x:v>45776</x:v>
      </x:c>
      <x:c r="H505" s="20" t="n">
        <x:v>45776</x:v>
      </x:c>
      <x:c r="I505" s="20" t="n">
        <x:v>45779</x:v>
      </x:c>
      <x:c r="J505" t="n">
        <x:v>4979</x:v>
      </x:c>
      <x:c r="K505" t="n">
        <x:v>3833.04</x:v>
      </x:c>
      <x:c r="L505" t="str">
        <x:v>陸運</x:v>
      </x:c>
      <x:c r="M505" t="n">
        <x:v>3</x:v>
      </x:c>
      <x:c r="N505" t="str">
        <x:v>否</x:v>
      </x:c>
      <x:c r="O505" t="n">
        <x:v>0</x:v>
      </x:c>
      <x:c r="P505"/>
    </x:row>
    <x:row r="506" ht="20" customHeight="1">
      <x:c r="A506" t="str">
        <x:v>SH000505</x:v>
      </x:c>
      <x:c r="B506" t="str">
        <x:v>SO00355-01</x:v>
      </x:c>
      <x:c r="C506" t="str">
        <x:v>WO00505</x:v>
      </x:c>
      <x:c r="D506" t="str">
        <x:v>LOT00505</x:v>
      </x:c>
      <x:c r="E506" t="str">
        <x:v>AUT-010</x:v>
      </x:c>
      <x:c r="F506" t="str">
        <x:v>AUTO-FL-B</x:v>
      </x:c>
      <x:c r="G506" s="20" t="n">
        <x:v>45749</x:v>
      </x:c>
      <x:c r="H506" s="20" t="n">
        <x:v>45746</x:v>
      </x:c>
      <x:c r="I506" s="20" t="n">
        <x:v>45751</x:v>
      </x:c>
      <x:c r="J506" t="n">
        <x:v>6899</x:v>
      </x:c>
      <x:c r="K506" t="n">
        <x:v>1582.82</x:v>
      </x:c>
      <x:c r="L506" t="str">
        <x:v>陸運</x:v>
      </x:c>
      <x:c r="M506" t="n">
        <x:v>2</x:v>
      </x:c>
      <x:c r="N506" t="str">
        <x:v>否</x:v>
      </x:c>
      <x:c r="O506" t="n">
        <x:v>0</x:v>
      </x:c>
      <x:c r="P506"/>
    </x:row>
    <x:row r="507" ht="20" customHeight="1">
      <x:c r="A507" t="str">
        <x:v>SH000506</x:v>
      </x:c>
      <x:c r="B507" t="str">
        <x:v>SO00356-01</x:v>
      </x:c>
      <x:c r="C507" t="str">
        <x:v>WO00507</x:v>
      </x:c>
      <x:c r="D507" t="str">
        <x:v>LOT00507</x:v>
      </x:c>
      <x:c r="E507" t="str">
        <x:v>IAT-003</x:v>
      </x:c>
      <x:c r="F507" t="str">
        <x:v>MECH-CON-A</x:v>
      </x:c>
      <x:c r="G507" s="20" t="n">
        <x:v>45768</x:v>
      </x:c>
      <x:c r="H507" s="20" t="n">
        <x:v>45765</x:v>
      </x:c>
      <x:c r="I507" s="20" t="n">
        <x:v>45767</x:v>
      </x:c>
      <x:c r="J507" t="n">
        <x:v>17</x:v>
      </x:c>
      <x:c r="K507" t="n">
        <x:v>117194.5</x:v>
      </x:c>
      <x:c r="L507" t="str">
        <x:v>海運</x:v>
      </x:c>
      <x:c r="M507" t="n">
        <x:v>0</x:v>
      </x:c>
      <x:c r="N507" t="str">
        <x:v>是</x:v>
      </x:c>
      <x:c r="O507" t="n">
        <x:v>0</x:v>
      </x:c>
      <x:c r="P507"/>
    </x:row>
    <x:row r="508" ht="20" customHeight="1">
      <x:c r="A508" t="str">
        <x:v>SH000507</x:v>
      </x:c>
      <x:c r="B508" t="str">
        <x:v>SO00356-01</x:v>
      </x:c>
      <x:c r="C508" t="str">
        <x:v>WO00508</x:v>
      </x:c>
      <x:c r="D508" t="str">
        <x:v>LOT00508</x:v>
      </x:c>
      <x:c r="E508" t="str">
        <x:v>IAT-003</x:v>
      </x:c>
      <x:c r="F508" t="str">
        <x:v>MECH-CON-A</x:v>
      </x:c>
      <x:c r="G508" s="20" t="n">
        <x:v>45768</x:v>
      </x:c>
      <x:c r="H508" s="20" t="n">
        <x:v>45766</x:v>
      </x:c>
      <x:c r="I508" s="20" t="n">
        <x:v>45768</x:v>
      </x:c>
      <x:c r="J508" t="n">
        <x:v>16</x:v>
      </x:c>
      <x:c r="K508" t="n">
        <x:v>117194.5</x:v>
      </x:c>
      <x:c r="L508" t="str">
        <x:v>海運</x:v>
      </x:c>
      <x:c r="M508" t="n">
        <x:v>0</x:v>
      </x:c>
      <x:c r="N508" t="str">
        <x:v>是</x:v>
      </x:c>
      <x:c r="O508" t="n">
        <x:v>0</x:v>
      </x:c>
      <x:c r="P508"/>
    </x:row>
    <x:row r="509" ht="20" customHeight="1">
      <x:c r="A509" t="str">
        <x:v>SH000508</x:v>
      </x:c>
      <x:c r="B509" t="str">
        <x:v>SO00356-01</x:v>
      </x:c>
      <x:c r="C509" t="str">
        <x:v>WO00506</x:v>
      </x:c>
      <x:c r="D509" t="str">
        <x:v>LOT00506</x:v>
      </x:c>
      <x:c r="E509" t="str">
        <x:v>IAT-003</x:v>
      </x:c>
      <x:c r="F509" t="str">
        <x:v>MECH-CON-A</x:v>
      </x:c>
      <x:c r="G509" s="20" t="n">
        <x:v>45768</x:v>
      </x:c>
      <x:c r="H509" s="20" t="n">
        <x:v>45769</x:v>
      </x:c>
      <x:c r="I509" s="20" t="n">
        <x:v>45771</x:v>
      </x:c>
      <x:c r="J509" t="n">
        <x:v>17</x:v>
      </x:c>
      <x:c r="K509" t="n">
        <x:v>117194.5</x:v>
      </x:c>
      <x:c r="L509" t="str">
        <x:v>空運</x:v>
      </x:c>
      <x:c r="M509" t="n">
        <x:v>3</x:v>
      </x:c>
      <x:c r="N509" t="str">
        <x:v>否</x:v>
      </x:c>
      <x:c r="O509" t="n">
        <x:v>0</x:v>
      </x:c>
      <x:c r="P509"/>
    </x:row>
    <x:row r="510" ht="20" customHeight="1">
      <x:c r="A510" t="str">
        <x:v>SH000509</x:v>
      </x:c>
      <x:c r="B510" t="str">
        <x:v>SO00357-01</x:v>
      </x:c>
      <x:c r="C510" t="str">
        <x:v>WO00510</x:v>
      </x:c>
      <x:c r="D510" t="str">
        <x:v>LOT00510</x:v>
      </x:c>
      <x:c r="E510" t="str">
        <x:v>AUT-005</x:v>
      </x:c>
      <x:c r="F510" t="str">
        <x:v>AUTO-BS-A</x:v>
      </x:c>
      <x:c r="G510" s="20" t="n">
        <x:v>45750</x:v>
      </x:c>
      <x:c r="H510" s="20" t="n">
        <x:v>45746</x:v>
      </x:c>
      <x:c r="I510" s="20" t="n">
        <x:v>45749</x:v>
      </x:c>
      <x:c r="J510" t="n">
        <x:v>4949</x:v>
      </x:c>
      <x:c r="K510" t="n">
        <x:v>764.1</x:v>
      </x:c>
      <x:c r="L510" t="str">
        <x:v>空運</x:v>
      </x:c>
      <x:c r="M510" t="n">
        <x:v>0</x:v>
      </x:c>
      <x:c r="N510" t="str">
        <x:v>是</x:v>
      </x:c>
      <x:c r="O510" t="n">
        <x:v>0</x:v>
      </x:c>
      <x:c r="P510"/>
    </x:row>
    <x:row r="511" ht="20" customHeight="1">
      <x:c r="A511" t="str">
        <x:v>SH000510</x:v>
      </x:c>
      <x:c r="B511" t="str">
        <x:v>SO00357-01</x:v>
      </x:c>
      <x:c r="C511" t="str">
        <x:v>WO00509</x:v>
      </x:c>
      <x:c r="D511" t="str">
        <x:v>LOT00509</x:v>
      </x:c>
      <x:c r="E511" t="str">
        <x:v>AUT-005</x:v>
      </x:c>
      <x:c r="F511" t="str">
        <x:v>AUTO-BS-A</x:v>
      </x:c>
      <x:c r="G511" s="20" t="n">
        <x:v>45750</x:v>
      </x:c>
      <x:c r="H511" s="20" t="n">
        <x:v>45750</x:v>
      </x:c>
      <x:c r="I511" s="20" t="n">
        <x:v>45751</x:v>
      </x:c>
      <x:c r="J511" t="n">
        <x:v>4913</x:v>
      </x:c>
      <x:c r="K511" t="n">
        <x:v>764.1</x:v>
      </x:c>
      <x:c r="L511" t="str">
        <x:v>海運</x:v>
      </x:c>
      <x:c r="M511" t="n">
        <x:v>1</x:v>
      </x:c>
      <x:c r="N511" t="str">
        <x:v>否</x:v>
      </x:c>
      <x:c r="O511" t="n">
        <x:v>0</x:v>
      </x:c>
      <x:c r="P511"/>
    </x:row>
    <x:row r="512" ht="20" customHeight="1">
      <x:c r="A512" t="str">
        <x:v>SH000511</x:v>
      </x:c>
      <x:c r="B512" t="str">
        <x:v>SO00358-01</x:v>
      </x:c>
      <x:c r="C512" t="str">
        <x:v>WO00511</x:v>
      </x:c>
      <x:c r="D512" t="str">
        <x:v>LOT00511</x:v>
      </x:c>
      <x:c r="E512" t="str">
        <x:v>IAT-003</x:v>
      </x:c>
      <x:c r="F512" t="str">
        <x:v>PM-SUS-B</x:v>
      </x:c>
      <x:c r="G512" s="20" t="n">
        <x:v>45776</x:v>
      </x:c>
      <x:c r="H512" s="20" t="n">
        <x:v>45775</x:v>
      </x:c>
      <x:c r="I512" s="20" t="n">
        <x:v>45776</x:v>
      </x:c>
      <x:c r="J512" t="n">
        <x:v>789</x:v>
      </x:c>
      <x:c r="K512" t="n">
        <x:v>13955.69</x:v>
      </x:c>
      <x:c r="L512" t="str">
        <x:v>空運</x:v>
      </x:c>
      <x:c r="M512" t="n">
        <x:v>0</x:v>
      </x:c>
      <x:c r="N512" t="str">
        <x:v>是</x:v>
      </x:c>
      <x:c r="O512" t="n">
        <x:v>0</x:v>
      </x:c>
      <x:c r="P512"/>
    </x:row>
    <x:row r="513" ht="20" customHeight="1">
      <x:c r="A513" t="str">
        <x:v>SH000512</x:v>
      </x:c>
      <x:c r="B513" t="str">
        <x:v>SO00358-01</x:v>
      </x:c>
      <x:c r="C513" t="str">
        <x:v>WO00512</x:v>
      </x:c>
      <x:c r="D513" t="str">
        <x:v>LOT00512</x:v>
      </x:c>
      <x:c r="E513" t="str">
        <x:v>IAT-003</x:v>
      </x:c>
      <x:c r="F513" t="str">
        <x:v>PM-SUS-B</x:v>
      </x:c>
      <x:c r="G513" s="20" t="n">
        <x:v>45776</x:v>
      </x:c>
      <x:c r="H513" s="20" t="n">
        <x:v>45774</x:v>
      </x:c>
      <x:c r="I513" s="20" t="n">
        <x:v>45779</x:v>
      </x:c>
      <x:c r="J513" t="n">
        <x:v>782</x:v>
      </x:c>
      <x:c r="K513" t="n">
        <x:v>13955.69</x:v>
      </x:c>
      <x:c r="L513" t="str">
        <x:v>空運</x:v>
      </x:c>
      <x:c r="M513" t="n">
        <x:v>3</x:v>
      </x:c>
      <x:c r="N513" t="str">
        <x:v>否</x:v>
      </x:c>
      <x:c r="O513" t="n">
        <x:v>0</x:v>
      </x:c>
      <x:c r="P513"/>
    </x:row>
    <x:row r="514" ht="20" customHeight="1">
      <x:c r="A514" t="str">
        <x:v>SH000513</x:v>
      </x:c>
      <x:c r="B514" t="str">
        <x:v>SO00359-01</x:v>
      </x:c>
      <x:c r="C514" t="str">
        <x:v>WO00514</x:v>
      </x:c>
      <x:c r="D514" t="str">
        <x:v>LOT00514</x:v>
      </x:c>
      <x:c r="E514" t="str">
        <x:v>AUT-006</x:v>
      </x:c>
      <x:c r="F514" t="str">
        <x:v>AUTO-KN-B</x:v>
      </x:c>
      <x:c r="G514" s="20" t="n">
        <x:v>45775</x:v>
      </x:c>
      <x:c r="H514" s="20" t="n">
        <x:v>45772</x:v>
      </x:c>
      <x:c r="I514" s="20" t="n">
        <x:v>45775</x:v>
      </x:c>
      <x:c r="J514" t="n">
        <x:v>6424</x:v>
      </x:c>
      <x:c r="K514" t="n">
        <x:v>3741.24</x:v>
      </x:c>
      <x:c r="L514" t="str">
        <x:v>海運</x:v>
      </x:c>
      <x:c r="M514" t="n">
        <x:v>0</x:v>
      </x:c>
      <x:c r="N514" t="str">
        <x:v>是</x:v>
      </x:c>
      <x:c r="O514" t="n">
        <x:v>0</x:v>
      </x:c>
      <x:c r="P514"/>
    </x:row>
    <x:row r="515" ht="20" customHeight="1">
      <x:c r="A515" t="str">
        <x:v>SH000514</x:v>
      </x:c>
      <x:c r="B515" t="str">
        <x:v>SO00359-01</x:v>
      </x:c>
      <x:c r="C515" t="str">
        <x:v>WO00513</x:v>
      </x:c>
      <x:c r="D515" t="str">
        <x:v>LOT00513</x:v>
      </x:c>
      <x:c r="E515" t="str">
        <x:v>AUT-006</x:v>
      </x:c>
      <x:c r="F515" t="str">
        <x:v>AUTO-KN-B</x:v>
      </x:c>
      <x:c r="G515" s="20" t="n">
        <x:v>45775</x:v>
      </x:c>
      <x:c r="H515" s="20" t="n">
        <x:v>45773</x:v>
      </x:c>
      <x:c r="I515" s="20" t="n">
        <x:v>45774</x:v>
      </x:c>
      <x:c r="J515" t="n">
        <x:v>6447</x:v>
      </x:c>
      <x:c r="K515" t="n">
        <x:v>3741.24</x:v>
      </x:c>
      <x:c r="L515" t="str">
        <x:v>海運</x:v>
      </x:c>
      <x:c r="M515" t="n">
        <x:v>0</x:v>
      </x:c>
      <x:c r="N515" t="str">
        <x:v>是</x:v>
      </x:c>
      <x:c r="O515" t="n">
        <x:v>0</x:v>
      </x:c>
      <x:c r="P515"/>
    </x:row>
    <x:row r="516" ht="20" customHeight="1">
      <x:c r="A516" t="str">
        <x:v>SH000515</x:v>
      </x:c>
      <x:c r="B516" t="str">
        <x:v>SO00360-01</x:v>
      </x:c>
      <x:c r="C516" t="str">
        <x:v>WO00516</x:v>
      </x:c>
      <x:c r="D516" t="str">
        <x:v>LOT00516</x:v>
      </x:c>
      <x:c r="E516" t="str">
        <x:v>IAT-007</x:v>
      </x:c>
      <x:c r="F516" t="str">
        <x:v>SEMI-WH-A</x:v>
      </x:c>
      <x:c r="G516" s="20" t="n">
        <x:v>45797</x:v>
      </x:c>
      <x:c r="H516" s="20" t="n">
        <x:v>45794</x:v>
      </x:c>
      <x:c r="I516" s="20" t="n">
        <x:v>45799</x:v>
      </x:c>
      <x:c r="J516" t="n">
        <x:v>78</x:v>
      </x:c>
      <x:c r="K516" t="n">
        <x:v>115964.42</x:v>
      </x:c>
      <x:c r="L516" t="str">
        <x:v>空運</x:v>
      </x:c>
      <x:c r="M516" t="n">
        <x:v>2</x:v>
      </x:c>
      <x:c r="N516" t="str">
        <x:v>否</x:v>
      </x:c>
      <x:c r="O516" t="n">
        <x:v>0</x:v>
      </x:c>
      <x:c r="P516"/>
    </x:row>
    <x:row r="517" ht="20" customHeight="1">
      <x:c r="A517" t="str">
        <x:v>SH000516</x:v>
      </x:c>
      <x:c r="B517" t="str">
        <x:v>SO00360-01</x:v>
      </x:c>
      <x:c r="C517" t="str">
        <x:v>WO00515</x:v>
      </x:c>
      <x:c r="D517" t="str">
        <x:v>LOT00515</x:v>
      </x:c>
      <x:c r="E517" t="str">
        <x:v>IAT-007</x:v>
      </x:c>
      <x:c r="F517" t="str">
        <x:v>SEMI-WH-A</x:v>
      </x:c>
      <x:c r="G517" s="20" t="n">
        <x:v>45797</x:v>
      </x:c>
      <x:c r="H517" s="20" t="n">
        <x:v>45798</x:v>
      </x:c>
      <x:c r="I517" s="20" t="n">
        <x:v>45799</x:v>
      </x:c>
      <x:c r="J517" t="n">
        <x:v>78</x:v>
      </x:c>
      <x:c r="K517" t="n">
        <x:v>115964.42</x:v>
      </x:c>
      <x:c r="L517" t="str">
        <x:v>空運</x:v>
      </x:c>
      <x:c r="M517" t="n">
        <x:v>2</x:v>
      </x:c>
      <x:c r="N517" t="str">
        <x:v>否</x:v>
      </x:c>
      <x:c r="O517" t="n">
        <x:v>0</x:v>
      </x:c>
      <x:c r="P517"/>
    </x:row>
    <x:row r="518" ht="20" customHeight="1">
      <x:c r="A518" t="str">
        <x:v>SH000517</x:v>
      </x:c>
      <x:c r="B518" t="str">
        <x:v>SO00361-01</x:v>
      </x:c>
      <x:c r="C518" t="str">
        <x:v>WO00517</x:v>
      </x:c>
      <x:c r="D518" t="str">
        <x:v>LOT00517</x:v>
      </x:c>
      <x:c r="E518" t="str">
        <x:v>AFT-002</x:v>
      </x:c>
      <x:c r="F518" t="str">
        <x:v>AUTO-FL-A</x:v>
      </x:c>
      <x:c r="G518" s="20" t="n">
        <x:v>45759</x:v>
      </x:c>
      <x:c r="H518" s="20" t="n">
        <x:v>45756</x:v>
      </x:c>
      <x:c r="I518" s="20" t="n">
        <x:v>45759</x:v>
      </x:c>
      <x:c r="J518" t="n">
        <x:v>6892</x:v>
      </x:c>
      <x:c r="K518" t="n">
        <x:v>1311.01</x:v>
      </x:c>
      <x:c r="L518" t="str">
        <x:v>海運</x:v>
      </x:c>
      <x:c r="M518" t="n">
        <x:v>0</x:v>
      </x:c>
      <x:c r="N518" t="str">
        <x:v>是</x:v>
      </x:c>
      <x:c r="O518" t="n">
        <x:v>0</x:v>
      </x:c>
      <x:c r="P518"/>
    </x:row>
    <x:row r="519" ht="20" customHeight="1">
      <x:c r="A519" t="str">
        <x:v>SH000518</x:v>
      </x:c>
      <x:c r="B519" t="str">
        <x:v>SO00362-01</x:v>
      </x:c>
      <x:c r="C519" t="str">
        <x:v>WO00519</x:v>
      </x:c>
      <x:c r="D519" t="str">
        <x:v>LOT00519</x:v>
      </x:c>
      <x:c r="E519" t="str">
        <x:v>AUT-003</x:v>
      </x:c>
      <x:c r="F519" t="str">
        <x:v>MECH-STG-A</x:v>
      </x:c>
      <x:c r="G519" s="20" t="n">
        <x:v>45775</x:v>
      </x:c>
      <x:c r="H519" s="20" t="n">
        <x:v>45772</x:v>
      </x:c>
      <x:c r="I519" s="20" t="n">
        <x:v>45773</x:v>
      </x:c>
      <x:c r="J519" t="n">
        <x:v>17</x:v>
      </x:c>
      <x:c r="K519" t="n">
        <x:v>137404.45</x:v>
      </x:c>
      <x:c r="L519" t="str">
        <x:v>海運</x:v>
      </x:c>
      <x:c r="M519" t="n">
        <x:v>0</x:v>
      </x:c>
      <x:c r="N519" t="str">
        <x:v>是</x:v>
      </x:c>
      <x:c r="O519" t="n">
        <x:v>0</x:v>
      </x:c>
      <x:c r="P519"/>
    </x:row>
    <x:row r="520" ht="20" customHeight="1">
      <x:c r="A520" t="str">
        <x:v>SH000519</x:v>
      </x:c>
      <x:c r="B520" t="str">
        <x:v>SO00362-01</x:v>
      </x:c>
      <x:c r="C520" t="str">
        <x:v>WO00520</x:v>
      </x:c>
      <x:c r="D520" t="str">
        <x:v>LOT00520</x:v>
      </x:c>
      <x:c r="E520" t="str">
        <x:v>AUT-003</x:v>
      </x:c>
      <x:c r="F520" t="str">
        <x:v>MECH-STG-A</x:v>
      </x:c>
      <x:c r="G520" s="20" t="n">
        <x:v>45775</x:v>
      </x:c>
      <x:c r="H520" s="20" t="n">
        <x:v>45772</x:v>
      </x:c>
      <x:c r="I520" s="20" t="n">
        <x:v>45775</x:v>
      </x:c>
      <x:c r="J520" t="n">
        <x:v>16</x:v>
      </x:c>
      <x:c r="K520" t="n">
        <x:v>137404.45</x:v>
      </x:c>
      <x:c r="L520" t="str">
        <x:v>海運</x:v>
      </x:c>
      <x:c r="M520" t="n">
        <x:v>0</x:v>
      </x:c>
      <x:c r="N520" t="str">
        <x:v>是</x:v>
      </x:c>
      <x:c r="O520" t="n">
        <x:v>0</x:v>
      </x:c>
      <x:c r="P520"/>
    </x:row>
    <x:row r="521" ht="20" customHeight="1">
      <x:c r="A521" t="str">
        <x:v>SH000520</x:v>
      </x:c>
      <x:c r="B521" t="str">
        <x:v>SO00362-01</x:v>
      </x:c>
      <x:c r="C521" t="str">
        <x:v>WO00518</x:v>
      </x:c>
      <x:c r="D521" t="str">
        <x:v>LOT00518</x:v>
      </x:c>
      <x:c r="E521" t="str">
        <x:v>AUT-003</x:v>
      </x:c>
      <x:c r="F521" t="str">
        <x:v>MECH-STG-A</x:v>
      </x:c>
      <x:c r="G521" s="20" t="n">
        <x:v>45775</x:v>
      </x:c>
      <x:c r="H521" s="20" t="n">
        <x:v>45772</x:v>
      </x:c>
      <x:c r="I521" s="20" t="n">
        <x:v>45774</x:v>
      </x:c>
      <x:c r="J521" t="n">
        <x:v>17</x:v>
      </x:c>
      <x:c r="K521" t="n">
        <x:v>137404.45</x:v>
      </x:c>
      <x:c r="L521" t="str">
        <x:v>空運</x:v>
      </x:c>
      <x:c r="M521" t="n">
        <x:v>0</x:v>
      </x:c>
      <x:c r="N521" t="str">
        <x:v>是</x:v>
      </x:c>
      <x:c r="O521" t="n">
        <x:v>0</x:v>
      </x:c>
      <x:c r="P521"/>
    </x:row>
    <x:row r="522" ht="20" customHeight="1">
      <x:c r="A522" t="str">
        <x:v>SH000521</x:v>
      </x:c>
      <x:c r="B522" t="str">
        <x:v>SO00363-01</x:v>
      </x:c>
      <x:c r="C522" t="str">
        <x:v>WO00521</x:v>
      </x:c>
      <x:c r="D522" t="str">
        <x:v>LOT00521</x:v>
      </x:c>
      <x:c r="E522" t="str">
        <x:v>IAT-007</x:v>
      </x:c>
      <x:c r="F522" t="str">
        <x:v>AUTO-BS-B</x:v>
      </x:c>
      <x:c r="G522" s="20" t="n">
        <x:v>45767</x:v>
      </x:c>
      <x:c r="H522" s="20" t="n">
        <x:v>45762</x:v>
      </x:c>
      <x:c r="I522" s="20" t="n">
        <x:v>45766</x:v>
      </x:c>
      <x:c r="J522" t="n">
        <x:v>6471</x:v>
      </x:c>
      <x:c r="K522" t="n">
        <x:v>930.83</x:v>
      </x:c>
      <x:c r="L522" t="str">
        <x:v>海運</x:v>
      </x:c>
      <x:c r="M522" t="n">
        <x:v>0</x:v>
      </x:c>
      <x:c r="N522" t="str">
        <x:v>是</x:v>
      </x:c>
      <x:c r="O522" t="n">
        <x:v>0</x:v>
      </x:c>
      <x:c r="P522"/>
    </x:row>
    <x:row r="523" ht="20" customHeight="1">
      <x:c r="A523" t="str">
        <x:v>SH000522</x:v>
      </x:c>
      <x:c r="B523" t="str">
        <x:v>SO00363-01</x:v>
      </x:c>
      <x:c r="C523" t="str">
        <x:v>WO00522</x:v>
      </x:c>
      <x:c r="D523" t="str">
        <x:v>LOT00522</x:v>
      </x:c>
      <x:c r="E523" t="str">
        <x:v>IAT-007</x:v>
      </x:c>
      <x:c r="F523" t="str">
        <x:v>AUTO-BS-B</x:v>
      </x:c>
      <x:c r="G523" s="20" t="n">
        <x:v>45767</x:v>
      </x:c>
      <x:c r="H523" s="20" t="n">
        <x:v>45762</x:v>
      </x:c>
      <x:c r="I523" s="20" t="n">
        <x:v>45767</x:v>
      </x:c>
      <x:c r="J523" t="n">
        <x:v>6497</x:v>
      </x:c>
      <x:c r="K523" t="n">
        <x:v>930.83</x:v>
      </x:c>
      <x:c r="L523" t="str">
        <x:v>空運</x:v>
      </x:c>
      <x:c r="M523" t="n">
        <x:v>0</x:v>
      </x:c>
      <x:c r="N523" t="str">
        <x:v>是</x:v>
      </x:c>
      <x:c r="O523" t="n">
        <x:v>0</x:v>
      </x:c>
      <x:c r="P523"/>
    </x:row>
    <x:row r="524" ht="20" customHeight="1">
      <x:c r="A524" t="str">
        <x:v>SH000523</x:v>
      </x:c>
      <x:c r="B524" t="str">
        <x:v>SO00364-01</x:v>
      </x:c>
      <x:c r="C524" t="str">
        <x:v>WO00523</x:v>
      </x:c>
      <x:c r="D524" t="str">
        <x:v>LOT00523</x:v>
      </x:c>
      <x:c r="E524" t="str">
        <x:v>AUT-013</x:v>
      </x:c>
      <x:c r="F524" t="str">
        <x:v>AUTO-FL-B</x:v>
      </x:c>
      <x:c r="G524" s="20" t="n">
        <x:v>45766</x:v>
      </x:c>
      <x:c r="H524" s="20" t="n">
        <x:v>45760</x:v>
      </x:c>
      <x:c r="I524" s="20" t="n">
        <x:v>45764</x:v>
      </x:c>
      <x:c r="J524" t="n">
        <x:v>2973</x:v>
      </x:c>
      <x:c r="K524" t="n">
        <x:v>1491.31</x:v>
      </x:c>
      <x:c r="L524" t="str">
        <x:v>海運</x:v>
      </x:c>
      <x:c r="M524" t="n">
        <x:v>0</x:v>
      </x:c>
      <x:c r="N524" t="str">
        <x:v>是</x:v>
      </x:c>
      <x:c r="O524" t="n">
        <x:v>0</x:v>
      </x:c>
      <x:c r="P524"/>
    </x:row>
    <x:row r="525" ht="20" customHeight="1">
      <x:c r="A525" t="str">
        <x:v>SH000524</x:v>
      </x:c>
      <x:c r="B525" t="str">
        <x:v>SO00365-01</x:v>
      </x:c>
      <x:c r="C525" t="str">
        <x:v>WO00525</x:v>
      </x:c>
      <x:c r="D525" t="str">
        <x:v>LOT00525</x:v>
      </x:c>
      <x:c r="E525" t="str">
        <x:v>IAT-005</x:v>
      </x:c>
      <x:c r="F525" t="str">
        <x:v>PM-SUS-B</x:v>
      </x:c>
      <x:c r="G525" s="20" t="n">
        <x:v>45779</x:v>
      </x:c>
      <x:c r="H525" s="20" t="n">
        <x:v>45774</x:v>
      </x:c>
      <x:c r="I525" s="20" t="n">
        <x:v>45777</x:v>
      </x:c>
      <x:c r="J525" t="n">
        <x:v>784</x:v>
      </x:c>
      <x:c r="K525" t="n">
        <x:v>15301.39</x:v>
      </x:c>
      <x:c r="L525" t="str">
        <x:v>海運</x:v>
      </x:c>
      <x:c r="M525" t="n">
        <x:v>0</x:v>
      </x:c>
      <x:c r="N525" t="str">
        <x:v>是</x:v>
      </x:c>
      <x:c r="O525" t="n">
        <x:v>0</x:v>
      </x:c>
      <x:c r="P525"/>
    </x:row>
    <x:row r="526" ht="20" customHeight="1">
      <x:c r="A526" t="str">
        <x:v>SH000525</x:v>
      </x:c>
      <x:c r="B526" t="str">
        <x:v>SO00365-01</x:v>
      </x:c>
      <x:c r="C526" t="str">
        <x:v>WO00524</x:v>
      </x:c>
      <x:c r="D526" t="str">
        <x:v>LOT00524</x:v>
      </x:c>
      <x:c r="E526" t="str">
        <x:v>IAT-005</x:v>
      </x:c>
      <x:c r="F526" t="str">
        <x:v>PM-SUS-B</x:v>
      </x:c>
      <x:c r="G526" s="20" t="n">
        <x:v>45779</x:v>
      </x:c>
      <x:c r="H526" s="20" t="n">
        <x:v>45777</x:v>
      </x:c>
      <x:c r="I526" s="20" t="n">
        <x:v>45780</x:v>
      </x:c>
      <x:c r="J526" t="n">
        <x:v>784</x:v>
      </x:c>
      <x:c r="K526" t="n">
        <x:v>15301.39</x:v>
      </x:c>
      <x:c r="L526" t="str">
        <x:v>海運</x:v>
      </x:c>
      <x:c r="M526" t="n">
        <x:v>1</x:v>
      </x:c>
      <x:c r="N526" t="str">
        <x:v>否</x:v>
      </x:c>
      <x:c r="O526" t="n">
        <x:v>0</x:v>
      </x:c>
      <x:c r="P526"/>
    </x:row>
    <x:row r="527" ht="20" customHeight="1">
      <x:c r="A527" t="str">
        <x:v>SH000526</x:v>
      </x:c>
      <x:c r="B527" t="str">
        <x:v>SO00366-01</x:v>
      </x:c>
      <x:c r="C527" t="str">
        <x:v>WO00526</x:v>
      </x:c>
      <x:c r="D527" t="str">
        <x:v>LOT00526</x:v>
      </x:c>
      <x:c r="E527" t="str">
        <x:v>SEM-005</x:v>
      </x:c>
      <x:c r="F527" t="str">
        <x:v>PM-SUS-A</x:v>
      </x:c>
      <x:c r="G527" s="20" t="n">
        <x:v>45755</x:v>
      </x:c>
      <x:c r="H527" s="20" t="n">
        <x:v>45754</x:v>
      </x:c>
      <x:c r="I527" s="20" t="n">
        <x:v>45755</x:v>
      </x:c>
      <x:c r="J527" t="n">
        <x:v>493</x:v>
      </x:c>
      <x:c r="K527" t="n">
        <x:v>10704.12</x:v>
      </x:c>
      <x:c r="L527" t="str">
        <x:v>空運</x:v>
      </x:c>
      <x:c r="M527" t="n">
        <x:v>0</x:v>
      </x:c>
      <x:c r="N527" t="str">
        <x:v>是</x:v>
      </x:c>
      <x:c r="O527" t="n">
        <x:v>0</x:v>
      </x:c>
      <x:c r="P527"/>
    </x:row>
    <x:row r="528" ht="20" customHeight="1">
      <x:c r="A528" t="str">
        <x:v>SH000527</x:v>
      </x:c>
      <x:c r="B528" t="str">
        <x:v>SO00367-01</x:v>
      </x:c>
      <x:c r="C528" t="str">
        <x:v>WO00527</x:v>
      </x:c>
      <x:c r="D528" t="str">
        <x:v>LOT00527</x:v>
      </x:c>
      <x:c r="E528" t="str">
        <x:v>AUT-007</x:v>
      </x:c>
      <x:c r="F528" t="str">
        <x:v>AUTO-KN-A</x:v>
      </x:c>
      <x:c r="G528" s="20" t="n">
        <x:v>45773</x:v>
      </x:c>
      <x:c r="H528" s="20" t="n">
        <x:v>45771</x:v>
      </x:c>
      <x:c r="I528" s="20" t="n">
        <x:v>45776</x:v>
      </x:c>
      <x:c r="J528" t="n">
        <x:v>6397</x:v>
      </x:c>
      <x:c r="K528" t="n">
        <x:v>3056.3</x:v>
      </x:c>
      <x:c r="L528" t="str">
        <x:v>海運</x:v>
      </x:c>
      <x:c r="M528" t="n">
        <x:v>3</x:v>
      </x:c>
      <x:c r="N528" t="str">
        <x:v>否</x:v>
      </x:c>
      <x:c r="O528" t="n">
        <x:v>0</x:v>
      </x:c>
      <x:c r="P528"/>
    </x:row>
    <x:row r="529" ht="20" customHeight="1">
      <x:c r="A529" t="str">
        <x:v>SH000528</x:v>
      </x:c>
      <x:c r="B529" t="str">
        <x:v>SO00367-01</x:v>
      </x:c>
      <x:c r="C529" t="str">
        <x:v>WO00528</x:v>
      </x:c>
      <x:c r="D529" t="str">
        <x:v>LOT00528</x:v>
      </x:c>
      <x:c r="E529" t="str">
        <x:v>AUT-007</x:v>
      </x:c>
      <x:c r="F529" t="str">
        <x:v>AUTO-KN-A</x:v>
      </x:c>
      <x:c r="G529" s="20" t="n">
        <x:v>45773</x:v>
      </x:c>
      <x:c r="H529" s="20" t="n">
        <x:v>45772</x:v>
      </x:c>
      <x:c r="I529" s="20" t="n">
        <x:v>45773</x:v>
      </x:c>
      <x:c r="J529" t="n">
        <x:v>6384</x:v>
      </x:c>
      <x:c r="K529" t="n">
        <x:v>3056.3</x:v>
      </x:c>
      <x:c r="L529" t="str">
        <x:v>海運</x:v>
      </x:c>
      <x:c r="M529" t="n">
        <x:v>0</x:v>
      </x:c>
      <x:c r="N529" t="str">
        <x:v>是</x:v>
      </x:c>
      <x:c r="O529" t="n">
        <x:v>0</x:v>
      </x:c>
      <x:c r="P529"/>
    </x:row>
    <x:row r="530" ht="20" customHeight="1">
      <x:c r="A530" t="str">
        <x:v>SH000529</x:v>
      </x:c>
      <x:c r="B530" t="str">
        <x:v>SO00368-01</x:v>
      </x:c>
      <x:c r="C530" t="str">
        <x:v>WO00530</x:v>
      </x:c>
      <x:c r="D530" t="str">
        <x:v>LOT00530</x:v>
      </x:c>
      <x:c r="E530" t="str">
        <x:v>AUT-005</x:v>
      </x:c>
      <x:c r="F530" t="str">
        <x:v>PM-BRG-B</x:v>
      </x:c>
      <x:c r="G530" s="20" t="n">
        <x:v>45747</x:v>
      </x:c>
      <x:c r="H530" s="20" t="n">
        <x:v>45746</x:v>
      </x:c>
      <x:c r="I530" s="20" t="n">
        <x:v>45748</x:v>
      </x:c>
      <x:c r="J530" t="n">
        <x:v>782</x:v>
      </x:c>
      <x:c r="K530" t="n">
        <x:v>8165.66</x:v>
      </x:c>
      <x:c r="L530" t="str">
        <x:v>陸運</x:v>
      </x:c>
      <x:c r="M530" t="n">
        <x:v>1</x:v>
      </x:c>
      <x:c r="N530" t="str">
        <x:v>否</x:v>
      </x:c>
      <x:c r="O530" t="n">
        <x:v>0</x:v>
      </x:c>
      <x:c r="P530"/>
    </x:row>
    <x:row r="531" ht="20" customHeight="1">
      <x:c r="A531" t="str">
        <x:v>SH000530</x:v>
      </x:c>
      <x:c r="B531" t="str">
        <x:v>SO00368-01</x:v>
      </x:c>
      <x:c r="C531" t="str">
        <x:v>WO00529</x:v>
      </x:c>
      <x:c r="D531" t="str">
        <x:v>LOT00529</x:v>
      </x:c>
      <x:c r="E531" t="str">
        <x:v>AUT-005</x:v>
      </x:c>
      <x:c r="F531" t="str">
        <x:v>PM-BRG-B</x:v>
      </x:c>
      <x:c r="G531" s="20" t="n">
        <x:v>45747</x:v>
      </x:c>
      <x:c r="H531" s="20" t="n">
        <x:v>45748</x:v>
      </x:c>
      <x:c r="I531" s="20" t="n">
        <x:v>45749</x:v>
      </x:c>
      <x:c r="J531" t="n">
        <x:v>779</x:v>
      </x:c>
      <x:c r="K531" t="n">
        <x:v>8165.66</x:v>
      </x:c>
      <x:c r="L531" t="str">
        <x:v>空運</x:v>
      </x:c>
      <x:c r="M531" t="n">
        <x:v>2</x:v>
      </x:c>
      <x:c r="N531" t="str">
        <x:v>否</x:v>
      </x:c>
      <x:c r="O531" t="n">
        <x:v>2</x:v>
      </x:c>
      <x:c r="P531" t="str">
        <x:v>外觀瑕疵</x:v>
      </x:c>
    </x:row>
    <x:row r="532" ht="20" customHeight="1">
      <x:c r="A532" t="str">
        <x:v>SH000531</x:v>
      </x:c>
      <x:c r="B532" t="str">
        <x:v>SO00369-01</x:v>
      </x:c>
      <x:c r="C532" t="str">
        <x:v>WO00531</x:v>
      </x:c>
      <x:c r="D532" t="str">
        <x:v>LOT00531</x:v>
      </x:c>
      <x:c r="E532" t="str">
        <x:v>EMS-008</x:v>
      </x:c>
      <x:c r="F532" t="str">
        <x:v>MECH-CON-B</x:v>
      </x:c>
      <x:c r="G532" s="20" t="n">
        <x:v>45795</x:v>
      </x:c>
      <x:c r="H532" s="20" t="n">
        <x:v>45792</x:v>
      </x:c>
      <x:c r="I532" s="20" t="n">
        <x:v>45795</x:v>
      </x:c>
      <x:c r="J532" t="n">
        <x:v>15</x:v>
      </x:c>
      <x:c r="K532" t="n">
        <x:v>146619.38</x:v>
      </x:c>
      <x:c r="L532" t="str">
        <x:v>海運</x:v>
      </x:c>
      <x:c r="M532" t="n">
        <x:v>0</x:v>
      </x:c>
      <x:c r="N532" t="str">
        <x:v>是</x:v>
      </x:c>
      <x:c r="O532" t="n">
        <x:v>0</x:v>
      </x:c>
      <x:c r="P532"/>
    </x:row>
    <x:row r="533" ht="20" customHeight="1">
      <x:c r="A533" t="str">
        <x:v>SH000532</x:v>
      </x:c>
      <x:c r="B533" t="str">
        <x:v>SO00369-01</x:v>
      </x:c>
      <x:c r="C533" t="str">
        <x:v>WO00532</x:v>
      </x:c>
      <x:c r="D533" t="str">
        <x:v>LOT00532</x:v>
      </x:c>
      <x:c r="E533" t="str">
        <x:v>EMS-008</x:v>
      </x:c>
      <x:c r="F533" t="str">
        <x:v>MECH-CON-B</x:v>
      </x:c>
      <x:c r="G533" s="20" t="n">
        <x:v>45795</x:v>
      </x:c>
      <x:c r="H533" s="20" t="n">
        <x:v>45794</x:v>
      </x:c>
      <x:c r="I533" s="20" t="n">
        <x:v>45795</x:v>
      </x:c>
      <x:c r="J533" t="n">
        <x:v>15</x:v>
      </x:c>
      <x:c r="K533" t="n">
        <x:v>146619.38</x:v>
      </x:c>
      <x:c r="L533" t="str">
        <x:v>空運</x:v>
      </x:c>
      <x:c r="M533" t="n">
        <x:v>0</x:v>
      </x:c>
      <x:c r="N533" t="str">
        <x:v>是</x:v>
      </x:c>
      <x:c r="O533" t="n">
        <x:v>0</x:v>
      </x:c>
      <x:c r="P533"/>
    </x:row>
    <x:row r="534" ht="20" customHeight="1">
      <x:c r="A534" t="str">
        <x:v>SH000533</x:v>
      </x:c>
      <x:c r="B534" t="str">
        <x:v>SO00370-01</x:v>
      </x:c>
      <x:c r="C534" t="str">
        <x:v>WO00533</x:v>
      </x:c>
      <x:c r="D534" t="str">
        <x:v>LOT00533</x:v>
      </x:c>
      <x:c r="E534" t="str">
        <x:v>AUT-009</x:v>
      </x:c>
      <x:c r="F534" t="str">
        <x:v>AUTO-MH-A</x:v>
      </x:c>
      <x:c r="G534" s="20" t="n">
        <x:v>45750</x:v>
      </x:c>
      <x:c r="H534" s="20" t="n">
        <x:v>45745</x:v>
      </x:c>
      <x:c r="I534" s="20" t="n">
        <x:v>45747</x:v>
      </x:c>
      <x:c r="J534" t="n">
        <x:v>4924</x:v>
      </x:c>
      <x:c r="K534" t="n">
        <x:v>2543.33</x:v>
      </x:c>
      <x:c r="L534" t="str">
        <x:v>陸運</x:v>
      </x:c>
      <x:c r="M534" t="n">
        <x:v>0</x:v>
      </x:c>
      <x:c r="N534" t="str">
        <x:v>是</x:v>
      </x:c>
      <x:c r="O534" t="n">
        <x:v>0</x:v>
      </x:c>
      <x:c r="P534"/>
    </x:row>
    <x:row r="535" ht="20" customHeight="1">
      <x:c r="A535" t="str">
        <x:v>SH000534</x:v>
      </x:c>
      <x:c r="B535" t="str">
        <x:v>SO00370-01</x:v>
      </x:c>
      <x:c r="C535" t="str">
        <x:v>WO00534</x:v>
      </x:c>
      <x:c r="D535" t="str">
        <x:v>LOT00534</x:v>
      </x:c>
      <x:c r="E535" t="str">
        <x:v>AUT-009</x:v>
      </x:c>
      <x:c r="F535" t="str">
        <x:v>AUTO-MH-A</x:v>
      </x:c>
      <x:c r="G535" s="20" t="n">
        <x:v>45750</x:v>
      </x:c>
      <x:c r="H535" s="20" t="n">
        <x:v>45746</x:v>
      </x:c>
      <x:c r="I535" s="20" t="n">
        <x:v>45748</x:v>
      </x:c>
      <x:c r="J535" t="n">
        <x:v>4974</x:v>
      </x:c>
      <x:c r="K535" t="n">
        <x:v>2543.33</x:v>
      </x:c>
      <x:c r="L535" t="str">
        <x:v>陸運</x:v>
      </x:c>
      <x:c r="M535" t="n">
        <x:v>0</x:v>
      </x:c>
      <x:c r="N535" t="str">
        <x:v>是</x:v>
      </x:c>
      <x:c r="O535" t="n">
        <x:v>0</x:v>
      </x:c>
      <x:c r="P535"/>
    </x:row>
    <x:row r="536" ht="20" customHeight="1">
      <x:c r="A536" t="str">
        <x:v>SH000535</x:v>
      </x:c>
      <x:c r="B536" t="str">
        <x:v>SO00371-01</x:v>
      </x:c>
      <x:c r="C536" t="str">
        <x:v>WO00535</x:v>
      </x:c>
      <x:c r="D536" t="str">
        <x:v>LOT00535</x:v>
      </x:c>
      <x:c r="E536" t="str">
        <x:v>AUT-006</x:v>
      </x:c>
      <x:c r="F536" t="str">
        <x:v>AUTO-BRK-A</x:v>
      </x:c>
      <x:c r="G536" s="20" t="n">
        <x:v>45751</x:v>
      </x:c>
      <x:c r="H536" s="20" t="n">
        <x:v>45748</x:v>
      </x:c>
      <x:c r="I536" s="20" t="n">
        <x:v>45753</x:v>
      </x:c>
      <x:c r="J536" t="n">
        <x:v>4925</x:v>
      </x:c>
      <x:c r="K536" t="n">
        <x:v>1575.44</x:v>
      </x:c>
      <x:c r="L536" t="str">
        <x:v>陸運</x:v>
      </x:c>
      <x:c r="M536" t="n">
        <x:v>2</x:v>
      </x:c>
      <x:c r="N536" t="str">
        <x:v>否</x:v>
      </x:c>
      <x:c r="O536" t="n">
        <x:v>0</x:v>
      </x:c>
      <x:c r="P536"/>
    </x:row>
    <x:row r="537" ht="20" customHeight="1">
      <x:c r="A537" t="str">
        <x:v>SH000536</x:v>
      </x:c>
      <x:c r="B537" t="str">
        <x:v>SO00372-01</x:v>
      </x:c>
      <x:c r="C537" t="str">
        <x:v>WO00536</x:v>
      </x:c>
      <x:c r="D537" t="str">
        <x:v>LOT00536</x:v>
      </x:c>
      <x:c r="E537" t="str">
        <x:v>AFT-002</x:v>
      </x:c>
      <x:c r="F537" t="str">
        <x:v>AUTO-BS-A</x:v>
      </x:c>
      <x:c r="G537" s="20" t="n">
        <x:v>45745</x:v>
      </x:c>
      <x:c r="H537" s="20" t="n">
        <x:v>45740</x:v>
      </x:c>
      <x:c r="I537" s="20" t="n">
        <x:v>45742</x:v>
      </x:c>
      <x:c r="J537" t="n">
        <x:v>6956</x:v>
      </x:c>
      <x:c r="K537" t="n">
        <x:v>734.66</x:v>
      </x:c>
      <x:c r="L537" t="str">
        <x:v>海運</x:v>
      </x:c>
      <x:c r="M537" t="n">
        <x:v>0</x:v>
      </x:c>
      <x:c r="N537" t="str">
        <x:v>是</x:v>
      </x:c>
      <x:c r="O537" t="n">
        <x:v>0</x:v>
      </x:c>
      <x:c r="P537"/>
    </x:row>
    <x:row r="538" ht="20" customHeight="1">
      <x:c r="A538" t="str">
        <x:v>SH000537</x:v>
      </x:c>
      <x:c r="B538" t="str">
        <x:v>SO00373-01</x:v>
      </x:c>
      <x:c r="C538" t="str">
        <x:v>WO00537</x:v>
      </x:c>
      <x:c r="D538" t="str">
        <x:v>LOT00537</x:v>
      </x:c>
      <x:c r="E538" t="str">
        <x:v>AFT-006</x:v>
      </x:c>
      <x:c r="F538" t="str">
        <x:v>AUTO-LG-A</x:v>
      </x:c>
      <x:c r="G538" s="20" t="n">
        <x:v>45775</x:v>
      </x:c>
      <x:c r="H538" s="20" t="n">
        <x:v>45774</x:v>
      </x:c>
      <x:c r="I538" s="20" t="n">
        <x:v>45776</x:v>
      </x:c>
      <x:c r="J538" t="n">
        <x:v>6496</x:v>
      </x:c>
      <x:c r="K538" t="n">
        <x:v>1159.49</x:v>
      </x:c>
      <x:c r="L538" t="str">
        <x:v>海運</x:v>
      </x:c>
      <x:c r="M538" t="n">
        <x:v>1</x:v>
      </x:c>
      <x:c r="N538" t="str">
        <x:v>否</x:v>
      </x:c>
      <x:c r="O538" t="n">
        <x:v>0</x:v>
      </x:c>
      <x:c r="P538"/>
    </x:row>
    <x:row r="539" ht="20" customHeight="1">
      <x:c r="A539" t="str">
        <x:v>SH000538</x:v>
      </x:c>
      <x:c r="B539" t="str">
        <x:v>SO00373-01</x:v>
      </x:c>
      <x:c r="C539" t="str">
        <x:v>WO00538</x:v>
      </x:c>
      <x:c r="D539" t="str">
        <x:v>LOT00538</x:v>
      </x:c>
      <x:c r="E539" t="str">
        <x:v>AFT-006</x:v>
      </x:c>
      <x:c r="F539" t="str">
        <x:v>AUTO-LG-A</x:v>
      </x:c>
      <x:c r="G539" s="20" t="n">
        <x:v>45775</x:v>
      </x:c>
      <x:c r="H539" s="20" t="n">
        <x:v>45775</x:v>
      </x:c>
      <x:c r="I539" s="20" t="n">
        <x:v>45780</x:v>
      </x:c>
      <x:c r="J539" t="n">
        <x:v>6370</x:v>
      </x:c>
      <x:c r="K539" t="n">
        <x:v>1159.49</x:v>
      </x:c>
      <x:c r="L539" t="str">
        <x:v>海運</x:v>
      </x:c>
      <x:c r="M539" t="n">
        <x:v>5</x:v>
      </x:c>
      <x:c r="N539" t="str">
        <x:v>否</x:v>
      </x:c>
      <x:c r="O539" t="n">
        <x:v>0</x:v>
      </x:c>
      <x:c r="P539"/>
    </x:row>
    <x:row r="540" ht="20" customHeight="1">
      <x:c r="A540" t="str">
        <x:v>SH000539</x:v>
      </x:c>
      <x:c r="B540" t="str">
        <x:v>SO00374-01</x:v>
      </x:c>
      <x:c r="C540" t="str">
        <x:v>WO00539</x:v>
      </x:c>
      <x:c r="D540" t="str">
        <x:v>LOT00539</x:v>
      </x:c>
      <x:c r="E540" t="str">
        <x:v>EMS-004</x:v>
      </x:c>
      <x:c r="F540" t="str">
        <x:v>AUTO-LG-A</x:v>
      </x:c>
      <x:c r="G540" s="20" t="n">
        <x:v>45790</x:v>
      </x:c>
      <x:c r="H540" s="20" t="n">
        <x:v>45785</x:v>
      </x:c>
      <x:c r="I540" s="20" t="n">
        <x:v>45789</x:v>
      </x:c>
      <x:c r="J540" t="n">
        <x:v>6442</x:v>
      </x:c>
      <x:c r="K540" t="n">
        <x:v>1157.85</x:v>
      </x:c>
      <x:c r="L540" t="str">
        <x:v>海運</x:v>
      </x:c>
      <x:c r="M540" t="n">
        <x:v>0</x:v>
      </x:c>
      <x:c r="N540" t="str">
        <x:v>是</x:v>
      </x:c>
      <x:c r="O540" t="n">
        <x:v>0</x:v>
      </x:c>
      <x:c r="P540"/>
    </x:row>
    <x:row r="541" ht="20" customHeight="1">
      <x:c r="A541" t="str">
        <x:v>SH000540</x:v>
      </x:c>
      <x:c r="B541" t="str">
        <x:v>SO00374-01</x:v>
      </x:c>
      <x:c r="C541" t="str">
        <x:v>WO00540</x:v>
      </x:c>
      <x:c r="D541" t="str">
        <x:v>LOT00540</x:v>
      </x:c>
      <x:c r="E541" t="str">
        <x:v>EMS-004</x:v>
      </x:c>
      <x:c r="F541" t="str">
        <x:v>AUTO-LG-A</x:v>
      </x:c>
      <x:c r="G541" s="20" t="n">
        <x:v>45790</x:v>
      </x:c>
      <x:c r="H541" s="20" t="n">
        <x:v>45790</x:v>
      </x:c>
      <x:c r="I541" s="20" t="n">
        <x:v>45792</x:v>
      </x:c>
      <x:c r="J541" t="n">
        <x:v>6487</x:v>
      </x:c>
      <x:c r="K541" t="n">
        <x:v>1157.85</x:v>
      </x:c>
      <x:c r="L541" t="str">
        <x:v>空運</x:v>
      </x:c>
      <x:c r="M541" t="n">
        <x:v>2</x:v>
      </x:c>
      <x:c r="N541" t="str">
        <x:v>否</x:v>
      </x:c>
      <x:c r="O541" t="n">
        <x:v>0</x:v>
      </x:c>
      <x:c r="P541"/>
    </x:row>
    <x:row r="542" ht="20" customHeight="1">
      <x:c r="A542" t="str">
        <x:v>SH000541</x:v>
      </x:c>
      <x:c r="B542" t="str">
        <x:v>SO00375-01</x:v>
      </x:c>
      <x:c r="C542" t="str">
        <x:v>WO00541</x:v>
      </x:c>
      <x:c r="D542" t="str">
        <x:v>LOT00541</x:v>
      </x:c>
      <x:c r="E542" t="str">
        <x:v>IAT-008</x:v>
      </x:c>
      <x:c r="F542" t="str">
        <x:v>AUTO-KN-A</x:v>
      </x:c>
      <x:c r="G542" s="20" t="n">
        <x:v>45805</x:v>
      </x:c>
      <x:c r="H542" s="20" t="n">
        <x:v>45808</x:v>
      </x:c>
      <x:c r="I542" s="20" t="n">
        <x:v>45811</x:v>
      </x:c>
      <x:c r="J542" t="n">
        <x:v>4898</x:v>
      </x:c>
      <x:c r="K542" t="n">
        <x:v>3051.8</x:v>
      </x:c>
      <x:c r="L542" t="str">
        <x:v>海運</x:v>
      </x:c>
      <x:c r="M542" t="n">
        <x:v>6</x:v>
      </x:c>
      <x:c r="N542" t="str">
        <x:v>否</x:v>
      </x:c>
      <x:c r="O542" t="n">
        <x:v>0</x:v>
      </x:c>
      <x:c r="P542"/>
    </x:row>
    <x:row r="543" ht="20" customHeight="1">
      <x:c r="A543" t="str">
        <x:v>SH000542</x:v>
      </x:c>
      <x:c r="B543" t="str">
        <x:v>SO00376-01</x:v>
      </x:c>
      <x:c r="C543" t="str">
        <x:v>WO00542</x:v>
      </x:c>
      <x:c r="D543" t="str">
        <x:v>LOT00542</x:v>
      </x:c>
      <x:c r="E543" t="str">
        <x:v>AUT-003</x:v>
      </x:c>
      <x:c r="F543" t="str">
        <x:v>AUTO-BS-B</x:v>
      </x:c>
      <x:c r="G543" s="20" t="n">
        <x:v>45795</x:v>
      </x:c>
      <x:c r="H543" s="20" t="n">
        <x:v>45790</x:v>
      </x:c>
      <x:c r="I543" s="20" t="n">
        <x:v>45793</x:v>
      </x:c>
      <x:c r="J543" t="n">
        <x:v>6921</x:v>
      </x:c>
      <x:c r="K543" t="n">
        <x:v>943.04</x:v>
      </x:c>
      <x:c r="L543" t="str">
        <x:v>空運</x:v>
      </x:c>
      <x:c r="M543" t="n">
        <x:v>0</x:v>
      </x:c>
      <x:c r="N543" t="str">
        <x:v>是</x:v>
      </x:c>
      <x:c r="O543" t="n">
        <x:v>0</x:v>
      </x:c>
      <x:c r="P543"/>
    </x:row>
    <x:row r="544" ht="20" customHeight="1">
      <x:c r="A544" t="str">
        <x:v>SH000543</x:v>
      </x:c>
      <x:c r="B544" t="str">
        <x:v>SO00377-01</x:v>
      </x:c>
      <x:c r="C544" t="str">
        <x:v>WO00543</x:v>
      </x:c>
      <x:c r="D544" t="str">
        <x:v>LOT00543</x:v>
      </x:c>
      <x:c r="E544" t="str">
        <x:v>EMS-005</x:v>
      </x:c>
      <x:c r="F544" t="str">
        <x:v>AUTO-LG-B</x:v>
      </x:c>
      <x:c r="G544" s="20" t="n">
        <x:v>45800</x:v>
      </x:c>
      <x:c r="H544" s="20" t="n">
        <x:v>45799</x:v>
      </x:c>
      <x:c r="I544" s="20" t="n">
        <x:v>45800</x:v>
      </x:c>
      <x:c r="J544" t="n">
        <x:v>6953</x:v>
      </x:c>
      <x:c r="K544" t="n">
        <x:v>1218.05</x:v>
      </x:c>
      <x:c r="L544" t="str">
        <x:v>陸運</x:v>
      </x:c>
      <x:c r="M544" t="n">
        <x:v>0</x:v>
      </x:c>
      <x:c r="N544" t="str">
        <x:v>是</x:v>
      </x:c>
      <x:c r="O544" t="n">
        <x:v>0</x:v>
      </x:c>
      <x:c r="P544"/>
    </x:row>
    <x:row r="545" ht="20" customHeight="1">
      <x:c r="A545" t="str">
        <x:v>SH000544</x:v>
      </x:c>
      <x:c r="B545" t="str">
        <x:v>SO00378-01</x:v>
      </x:c>
      <x:c r="C545" t="str">
        <x:v>WO00545</x:v>
      </x:c>
      <x:c r="D545" t="str">
        <x:v>LOT00545</x:v>
      </x:c>
      <x:c r="E545" t="str">
        <x:v>EMS-008</x:v>
      </x:c>
      <x:c r="F545" t="str">
        <x:v>PM-BRG-B</x:v>
      </x:c>
      <x:c r="G545" s="20" t="n">
        <x:v>45801</x:v>
      </x:c>
      <x:c r="H545" s="20" t="n">
        <x:v>45796</x:v>
      </x:c>
      <x:c r="I545" s="20" t="n">
        <x:v>45801</x:v>
      </x:c>
      <x:c r="J545" t="n">
        <x:v>776</x:v>
      </x:c>
      <x:c r="K545" t="n">
        <x:v>8155.31</x:v>
      </x:c>
      <x:c r="L545" t="str">
        <x:v>空運</x:v>
      </x:c>
      <x:c r="M545" t="n">
        <x:v>0</x:v>
      </x:c>
      <x:c r="N545" t="str">
        <x:v>是</x:v>
      </x:c>
      <x:c r="O545" t="n">
        <x:v>0</x:v>
      </x:c>
      <x:c r="P545"/>
    </x:row>
    <x:row r="546" ht="20" customHeight="1">
      <x:c r="A546" t="str">
        <x:v>SH000545</x:v>
      </x:c>
      <x:c r="B546" t="str">
        <x:v>SO00378-01</x:v>
      </x:c>
      <x:c r="C546" t="str">
        <x:v>WO00544</x:v>
      </x:c>
      <x:c r="D546" t="str">
        <x:v>LOT00544</x:v>
      </x:c>
      <x:c r="E546" t="str">
        <x:v>EMS-008</x:v>
      </x:c>
      <x:c r="F546" t="str">
        <x:v>PM-BRG-B</x:v>
      </x:c>
      <x:c r="G546" s="20" t="n">
        <x:v>45801</x:v>
      </x:c>
      <x:c r="H546" s="20" t="n">
        <x:v>45800</x:v>
      </x:c>
      <x:c r="I546" s="20" t="n">
        <x:v>45805</x:v>
      </x:c>
      <x:c r="J546" t="n">
        <x:v>787</x:v>
      </x:c>
      <x:c r="K546" t="n">
        <x:v>8155.31</x:v>
      </x:c>
      <x:c r="L546" t="str">
        <x:v>空運</x:v>
      </x:c>
      <x:c r="M546" t="n">
        <x:v>4</x:v>
      </x:c>
      <x:c r="N546" t="str">
        <x:v>否</x:v>
      </x:c>
      <x:c r="O546" t="n">
        <x:v>0</x:v>
      </x:c>
      <x:c r="P546"/>
    </x:row>
    <x:row r="547" ht="20" customHeight="1">
      <x:c r="A547" t="str">
        <x:v>SH000546</x:v>
      </x:c>
      <x:c r="B547" t="str">
        <x:v>SO00379-01</x:v>
      </x:c>
      <x:c r="C547" t="str">
        <x:v>WO00547</x:v>
      </x:c>
      <x:c r="D547" t="str">
        <x:v>LOT00547</x:v>
      </x:c>
      <x:c r="E547" t="str">
        <x:v>EMS-004</x:v>
      </x:c>
      <x:c r="F547" t="str">
        <x:v>AUTO-LG-B</x:v>
      </x:c>
      <x:c r="G547" s="20" t="n">
        <x:v>45784</x:v>
      </x:c>
      <x:c r="H547" s="20" t="n">
        <x:v>45782</x:v>
      </x:c>
      <x:c r="I547" s="20" t="n">
        <x:v>45785</x:v>
      </x:c>
      <x:c r="J547" t="n">
        <x:v>4940</x:v>
      </x:c>
      <x:c r="K547" t="n">
        <x:v>1221.82</x:v>
      </x:c>
      <x:c r="L547" t="str">
        <x:v>空運</x:v>
      </x:c>
      <x:c r="M547" t="n">
        <x:v>1</x:v>
      </x:c>
      <x:c r="N547" t="str">
        <x:v>否</x:v>
      </x:c>
      <x:c r="O547" t="n">
        <x:v>0</x:v>
      </x:c>
      <x:c r="P547"/>
    </x:row>
    <x:row r="548" ht="20" customHeight="1">
      <x:c r="A548" t="str">
        <x:v>SH000547</x:v>
      </x:c>
      <x:c r="B548" t="str">
        <x:v>SO00379-01</x:v>
      </x:c>
      <x:c r="C548" t="str">
        <x:v>WO00546</x:v>
      </x:c>
      <x:c r="D548" t="str">
        <x:v>LOT00546</x:v>
      </x:c>
      <x:c r="E548" t="str">
        <x:v>EMS-004</x:v>
      </x:c>
      <x:c r="F548" t="str">
        <x:v>AUTO-LG-B</x:v>
      </x:c>
      <x:c r="G548" s="20" t="n">
        <x:v>45784</x:v>
      </x:c>
      <x:c r="H548" s="20" t="n">
        <x:v>45789</x:v>
      </x:c>
      <x:c r="I548" s="20" t="n">
        <x:v>45793</x:v>
      </x:c>
      <x:c r="J548" t="n">
        <x:v>4927</x:v>
      </x:c>
      <x:c r="K548" t="n">
        <x:v>1221.82</x:v>
      </x:c>
      <x:c r="L548" t="str">
        <x:v>空運</x:v>
      </x:c>
      <x:c r="M548" t="n">
        <x:v>9</x:v>
      </x:c>
      <x:c r="N548" t="str">
        <x:v>否</x:v>
      </x:c>
      <x:c r="O548" t="n">
        <x:v>0</x:v>
      </x:c>
      <x:c r="P548"/>
    </x:row>
    <x:row r="549" ht="20" customHeight="1">
      <x:c r="A549" t="str">
        <x:v>SH000548</x:v>
      </x:c>
      <x:c r="B549" t="str">
        <x:v>SO00380-01</x:v>
      </x:c>
      <x:c r="C549" t="str">
        <x:v>WO00549</x:v>
      </x:c>
      <x:c r="D549" t="str">
        <x:v>LOT00549</x:v>
      </x:c>
      <x:c r="E549" t="str">
        <x:v>EMS-005</x:v>
      </x:c>
      <x:c r="F549" t="str">
        <x:v>SEMI-WH-A</x:v>
      </x:c>
      <x:c r="G549" s="20" t="n">
        <x:v>45834</x:v>
      </x:c>
      <x:c r="H549" s="20" t="n">
        <x:v>45832</x:v>
      </x:c>
      <x:c r="I549" s="20" t="n">
        <x:v>45836</x:v>
      </x:c>
      <x:c r="J549" t="n">
        <x:v>79</x:v>
      </x:c>
      <x:c r="K549" t="n">
        <x:v>118882.12</x:v>
      </x:c>
      <x:c r="L549" t="str">
        <x:v>陸運</x:v>
      </x:c>
      <x:c r="M549" t="n">
        <x:v>2</x:v>
      </x:c>
      <x:c r="N549" t="str">
        <x:v>否</x:v>
      </x:c>
      <x:c r="O549" t="n">
        <x:v>0</x:v>
      </x:c>
      <x:c r="P549"/>
    </x:row>
    <x:row r="550" ht="20" customHeight="1">
      <x:c r="A550" t="str">
        <x:v>SH000549</x:v>
      </x:c>
      <x:c r="B550" t="str">
        <x:v>SO00380-01</x:v>
      </x:c>
      <x:c r="C550" t="str">
        <x:v>WO00548</x:v>
      </x:c>
      <x:c r="D550" t="str">
        <x:v>LOT00548</x:v>
      </x:c>
      <x:c r="E550" t="str">
        <x:v>EMS-005</x:v>
      </x:c>
      <x:c r="F550" t="str">
        <x:v>SEMI-WH-A</x:v>
      </x:c>
      <x:c r="G550" s="20" t="n">
        <x:v>45834</x:v>
      </x:c>
      <x:c r="H550" s="20" t="n">
        <x:v>45833</x:v>
      </x:c>
      <x:c r="I550" s="20" t="n">
        <x:v>45836</x:v>
      </x:c>
      <x:c r="J550" t="n">
        <x:v>78</x:v>
      </x:c>
      <x:c r="K550" t="n">
        <x:v>118882.12</x:v>
      </x:c>
      <x:c r="L550" t="str">
        <x:v>陸運</x:v>
      </x:c>
      <x:c r="M550" t="n">
        <x:v>2</x:v>
      </x:c>
      <x:c r="N550" t="str">
        <x:v>否</x:v>
      </x:c>
      <x:c r="O550" t="n">
        <x:v>0</x:v>
      </x:c>
      <x:c r="P550"/>
    </x:row>
    <x:row r="551" ht="20" customHeight="1">
      <x:c r="A551" t="str">
        <x:v>SH000550</x:v>
      </x:c>
      <x:c r="B551" t="str">
        <x:v>SO00381-01</x:v>
      </x:c>
      <x:c r="C551" t="str">
        <x:v>WO00551</x:v>
      </x:c>
      <x:c r="D551" t="str">
        <x:v>LOT00551</x:v>
      </x:c>
      <x:c r="E551" t="str">
        <x:v>AFT-003</x:v>
      </x:c>
      <x:c r="F551" t="str">
        <x:v>AUTO-BS-A</x:v>
      </x:c>
      <x:c r="G551" s="20" t="n">
        <x:v>45790</x:v>
      </x:c>
      <x:c r="H551" s="20" t="n">
        <x:v>45787</x:v>
      </x:c>
      <x:c r="I551" s="20" t="n">
        <x:v>45791</x:v>
      </x:c>
      <x:c r="J551" t="n">
        <x:v>4938</x:v>
      </x:c>
      <x:c r="K551" t="n">
        <x:v>779.76</x:v>
      </x:c>
      <x:c r="L551" t="str">
        <x:v>空運</x:v>
      </x:c>
      <x:c r="M551" t="n">
        <x:v>1</x:v>
      </x:c>
      <x:c r="N551" t="str">
        <x:v>否</x:v>
      </x:c>
      <x:c r="O551" t="n">
        <x:v>0</x:v>
      </x:c>
      <x:c r="P551"/>
    </x:row>
    <x:row r="552" ht="20" customHeight="1">
      <x:c r="A552" t="str">
        <x:v>SH000551</x:v>
      </x:c>
      <x:c r="B552" t="str">
        <x:v>SO00381-01</x:v>
      </x:c>
      <x:c r="C552" t="str">
        <x:v>WO00550</x:v>
      </x:c>
      <x:c r="D552" t="str">
        <x:v>LOT00550</x:v>
      </x:c>
      <x:c r="E552" t="str">
        <x:v>AFT-003</x:v>
      </x:c>
      <x:c r="F552" t="str">
        <x:v>AUTO-BS-A</x:v>
      </x:c>
      <x:c r="G552" s="20" t="n">
        <x:v>45790</x:v>
      </x:c>
      <x:c r="H552" s="20" t="n">
        <x:v>45790</x:v>
      </x:c>
      <x:c r="I552" s="20" t="n">
        <x:v>45792</x:v>
      </x:c>
      <x:c r="J552" t="n">
        <x:v>4935</x:v>
      </x:c>
      <x:c r="K552" t="n">
        <x:v>779.76</x:v>
      </x:c>
      <x:c r="L552" t="str">
        <x:v>空運</x:v>
      </x:c>
      <x:c r="M552" t="n">
        <x:v>2</x:v>
      </x:c>
      <x:c r="N552" t="str">
        <x:v>否</x:v>
      </x:c>
      <x:c r="O552" t="n">
        <x:v>0</x:v>
      </x:c>
      <x:c r="P552"/>
    </x:row>
    <x:row r="553" ht="20" customHeight="1">
      <x:c r="A553" t="str">
        <x:v>SH000552</x:v>
      </x:c>
      <x:c r="B553" t="str">
        <x:v>SO00382-01</x:v>
      </x:c>
      <x:c r="C553" t="str">
        <x:v>WO00552</x:v>
      </x:c>
      <x:c r="D553" t="str">
        <x:v>LOT00552</x:v>
      </x:c>
      <x:c r="E553" t="str">
        <x:v>IAT-006</x:v>
      </x:c>
      <x:c r="F553" t="str">
        <x:v>AUTO-KN-B</x:v>
      </x:c>
      <x:c r="G553" s="20" t="n">
        <x:v>45786</x:v>
      </x:c>
      <x:c r="H553" s="20" t="n">
        <x:v>45786</x:v>
      </x:c>
      <x:c r="I553" s="20" t="n">
        <x:v>45789</x:v>
      </x:c>
      <x:c r="J553" t="n">
        <x:v>2965</x:v>
      </x:c>
      <x:c r="K553" t="n">
        <x:v>3721.86</x:v>
      </x:c>
      <x:c r="L553" t="str">
        <x:v>陸運</x:v>
      </x:c>
      <x:c r="M553" t="n">
        <x:v>3</x:v>
      </x:c>
      <x:c r="N553" t="str">
        <x:v>否</x:v>
      </x:c>
      <x:c r="O553" t="n">
        <x:v>0</x:v>
      </x:c>
      <x:c r="P553"/>
    </x:row>
    <x:row r="554" ht="20" customHeight="1">
      <x:c r="A554" t="str">
        <x:v>SH000553</x:v>
      </x:c>
      <x:c r="B554" t="str">
        <x:v>SO00383-01</x:v>
      </x:c>
      <x:c r="C554" t="str">
        <x:v>WO00553</x:v>
      </x:c>
      <x:c r="D554" t="str">
        <x:v>LOT00553</x:v>
      </x:c>
      <x:c r="E554" t="str">
        <x:v>EMS-006</x:v>
      </x:c>
      <x:c r="F554" t="str">
        <x:v>AUTO-BS-B</x:v>
      </x:c>
      <x:c r="G554" s="20" t="n">
        <x:v>45805</x:v>
      </x:c>
      <x:c r="H554" s="20" t="n">
        <x:v>45809</x:v>
      </x:c>
      <x:c r="I554" s="20" t="n">
        <x:v>45810</x:v>
      </x:c>
      <x:c r="J554" t="n">
        <x:v>6993</x:v>
      </x:c>
      <x:c r="K554" t="n">
        <x:v>914.08</x:v>
      </x:c>
      <x:c r="L554" t="str">
        <x:v>空運</x:v>
      </x:c>
      <x:c r="M554" t="n">
        <x:v>5</x:v>
      </x:c>
      <x:c r="N554" t="str">
        <x:v>否</x:v>
      </x:c>
      <x:c r="O554" t="n">
        <x:v>0</x:v>
      </x:c>
      <x:c r="P554"/>
    </x:row>
    <x:row r="555" ht="20" customHeight="1">
      <x:c r="A555" t="str">
        <x:v>SH000554</x:v>
      </x:c>
      <x:c r="B555" t="str">
        <x:v>SO00384-01</x:v>
      </x:c>
      <x:c r="C555" t="str">
        <x:v>WO00554</x:v>
      </x:c>
      <x:c r="D555" t="str">
        <x:v>LOT00554</x:v>
      </x:c>
      <x:c r="E555" t="str">
        <x:v>EMS-001</x:v>
      </x:c>
      <x:c r="F555" t="str">
        <x:v>AUTO-BS-B</x:v>
      </x:c>
      <x:c r="G555" s="20" t="n">
        <x:v>45776</x:v>
      </x:c>
      <x:c r="H555" s="20" t="n">
        <x:v>45774</x:v>
      </x:c>
      <x:c r="I555" s="20" t="n">
        <x:v>45779</x:v>
      </x:c>
      <x:c r="J555" t="n">
        <x:v>4942</x:v>
      </x:c>
      <x:c r="K555" t="n">
        <x:v>906.59</x:v>
      </x:c>
      <x:c r="L555" t="str">
        <x:v>海運</x:v>
      </x:c>
      <x:c r="M555" t="n">
        <x:v>3</x:v>
      </x:c>
      <x:c r="N555" t="str">
        <x:v>否</x:v>
      </x:c>
      <x:c r="O555" t="n">
        <x:v>0</x:v>
      </x:c>
      <x:c r="P555"/>
    </x:row>
    <x:row r="556" ht="20" customHeight="1">
      <x:c r="A556" t="str">
        <x:v>SH000555</x:v>
      </x:c>
      <x:c r="B556" t="str">
        <x:v>SO00385-01</x:v>
      </x:c>
      <x:c r="C556" t="str">
        <x:v>WO00555</x:v>
      </x:c>
      <x:c r="D556" t="str">
        <x:v>LOT00555</x:v>
      </x:c>
      <x:c r="E556" t="str">
        <x:v>IAT-005</x:v>
      </x:c>
      <x:c r="F556" t="str">
        <x:v>AUTO-LG-A</x:v>
      </x:c>
      <x:c r="G556" s="20" t="n">
        <x:v>45775</x:v>
      </x:c>
      <x:c r="H556" s="20" t="n">
        <x:v>45770</x:v>
      </x:c>
      <x:c r="I556" s="20" t="n">
        <x:v>45772</x:v>
      </x:c>
      <x:c r="J556" t="n">
        <x:v>4911</x:v>
      </x:c>
      <x:c r="K556" t="n">
        <x:v>1104.91</x:v>
      </x:c>
      <x:c r="L556" t="str">
        <x:v>空運</x:v>
      </x:c>
      <x:c r="M556" t="n">
        <x:v>0</x:v>
      </x:c>
      <x:c r="N556" t="str">
        <x:v>是</x:v>
      </x:c>
      <x:c r="O556" t="n">
        <x:v>0</x:v>
      </x:c>
      <x:c r="P556"/>
    </x:row>
    <x:row r="557" ht="20" customHeight="1">
      <x:c r="A557" t="str">
        <x:v>SH000556</x:v>
      </x:c>
      <x:c r="B557" t="str">
        <x:v>SO00386-01</x:v>
      </x:c>
      <x:c r="C557" t="str">
        <x:v>WO00556</x:v>
      </x:c>
      <x:c r="D557" t="str">
        <x:v>LOT00556</x:v>
      </x:c>
      <x:c r="E557" t="str">
        <x:v>AUT-001</x:v>
      </x:c>
      <x:c r="F557" t="str">
        <x:v>PM-SUS-A</x:v>
      </x:c>
      <x:c r="G557" s="20" t="n">
        <x:v>45790</x:v>
      </x:c>
      <x:c r="H557" s="20" t="n">
        <x:v>45792</x:v>
      </x:c>
      <x:c r="I557" s="20" t="n">
        <x:v>45797</x:v>
      </x:c>
      <x:c r="J557" t="n">
        <x:v>777</x:v>
      </x:c>
      <x:c r="K557" t="n">
        <x:v>10503.26</x:v>
      </x:c>
      <x:c r="L557" t="str">
        <x:v>海運</x:v>
      </x:c>
      <x:c r="M557" t="n">
        <x:v>7</x:v>
      </x:c>
      <x:c r="N557" t="str">
        <x:v>否</x:v>
      </x:c>
      <x:c r="O557" t="n">
        <x:v>0</x:v>
      </x:c>
      <x:c r="P557"/>
    </x:row>
    <x:row r="558" ht="20" customHeight="1">
      <x:c r="A558" t="str">
        <x:v>SH000557</x:v>
      </x:c>
      <x:c r="B558" t="str">
        <x:v>SO00387-01</x:v>
      </x:c>
      <x:c r="C558" t="str">
        <x:v>WO00557</x:v>
      </x:c>
      <x:c r="D558" t="str">
        <x:v>LOT00557</x:v>
      </x:c>
      <x:c r="E558" t="str">
        <x:v>EMS-008</x:v>
      </x:c>
      <x:c r="F558" t="str">
        <x:v>SEMI-CHB-B</x:v>
      </x:c>
      <x:c r="G558" s="20" t="n">
        <x:v>45821</x:v>
      </x:c>
      <x:c r="H558" s="20" t="n">
        <x:v>45827</x:v>
      </x:c>
      <x:c r="I558" s="20" t="n">
        <x:v>45828</x:v>
      </x:c>
      <x:c r="J558" t="n">
        <x:v>39</x:v>
      </x:c>
      <x:c r="K558" t="n">
        <x:v>133945.44</x:v>
      </x:c>
      <x:c r="L558" t="str">
        <x:v>陸運</x:v>
      </x:c>
      <x:c r="M558" t="n">
        <x:v>7</x:v>
      </x:c>
      <x:c r="N558" t="str">
        <x:v>否</x:v>
      </x:c>
      <x:c r="O558" t="n">
        <x:v>0</x:v>
      </x:c>
      <x:c r="P558"/>
    </x:row>
    <x:row r="559" ht="20" customHeight="1">
      <x:c r="A559" t="str">
        <x:v>SH000558</x:v>
      </x:c>
      <x:c r="B559" t="str">
        <x:v>SO00388-01</x:v>
      </x:c>
      <x:c r="C559" t="str">
        <x:v>WO00558</x:v>
      </x:c>
      <x:c r="D559" t="str">
        <x:v>LOT00558</x:v>
      </x:c>
      <x:c r="E559" t="str">
        <x:v>IAT-001</x:v>
      </x:c>
      <x:c r="F559" t="str">
        <x:v>MECH-CON-A</x:v>
      </x:c>
      <x:c r="G559" s="20" t="n">
        <x:v>45830</x:v>
      </x:c>
      <x:c r="H559" s="20" t="n">
        <x:v>45825</x:v>
      </x:c>
      <x:c r="I559" s="20" t="n">
        <x:v>45829</x:v>
      </x:c>
      <x:c r="J559" t="n">
        <x:v>19</x:v>
      </x:c>
      <x:c r="K559" t="n">
        <x:v>109873.27</x:v>
      </x:c>
      <x:c r="L559" t="str">
        <x:v>海運</x:v>
      </x:c>
      <x:c r="M559" t="n">
        <x:v>0</x:v>
      </x:c>
      <x:c r="N559" t="str">
        <x:v>是</x:v>
      </x:c>
      <x:c r="O559" t="n">
        <x:v>0</x:v>
      </x:c>
      <x:c r="P559"/>
    </x:row>
    <x:row r="560" ht="20" customHeight="1">
      <x:c r="A560" t="str">
        <x:v>SH000559</x:v>
      </x:c>
      <x:c r="B560" t="str">
        <x:v>SO00389-01</x:v>
      </x:c>
      <x:c r="C560" t="str">
        <x:v>WO00559</x:v>
      </x:c>
      <x:c r="D560" t="str">
        <x:v>LOT00559</x:v>
      </x:c>
      <x:c r="E560" t="str">
        <x:v>IAT-004</x:v>
      </x:c>
      <x:c r="F560" t="str">
        <x:v>SEMI-WH-B</x:v>
      </x:c>
      <x:c r="G560" s="20" t="n">
        <x:v>45853</x:v>
      </x:c>
      <x:c r="H560" s="20" t="n">
        <x:v>45850</x:v>
      </x:c>
      <x:c r="I560" s="20" t="n">
        <x:v>45853</x:v>
      </x:c>
      <x:c r="J560" t="n">
        <x:v>59</x:v>
      </x:c>
      <x:c r="K560" t="n">
        <x:v>166817.81</x:v>
      </x:c>
      <x:c r="L560" t="str">
        <x:v>空運</x:v>
      </x:c>
      <x:c r="M560" t="n">
        <x:v>0</x:v>
      </x:c>
      <x:c r="N560" t="str">
        <x:v>是</x:v>
      </x:c>
      <x:c r="O560" t="n">
        <x:v>0</x:v>
      </x:c>
      <x:c r="P560"/>
    </x:row>
    <x:row r="561" ht="20" customHeight="1">
      <x:c r="A561" t="str">
        <x:v>SH000560</x:v>
      </x:c>
      <x:c r="B561" t="str">
        <x:v>SO00389-01</x:v>
      </x:c>
      <x:c r="C561" t="str">
        <x:v>WO00560</x:v>
      </x:c>
      <x:c r="D561" t="str">
        <x:v>LOT00560</x:v>
      </x:c>
      <x:c r="E561" t="str">
        <x:v>IAT-004</x:v>
      </x:c>
      <x:c r="F561" t="str">
        <x:v>SEMI-WH-B</x:v>
      </x:c>
      <x:c r="G561" s="20" t="n">
        <x:v>45853</x:v>
      </x:c>
      <x:c r="H561" s="20" t="n">
        <x:v>45852</x:v>
      </x:c>
      <x:c r="I561" s="20" t="n">
        <x:v>45853</x:v>
      </x:c>
      <x:c r="J561" t="n">
        <x:v>58</x:v>
      </x:c>
      <x:c r="K561" t="n">
        <x:v>166817.81</x:v>
      </x:c>
      <x:c r="L561" t="str">
        <x:v>海運</x:v>
      </x:c>
      <x:c r="M561" t="n">
        <x:v>0</x:v>
      </x:c>
      <x:c r="N561" t="str">
        <x:v>是</x:v>
      </x:c>
      <x:c r="O561" t="n">
        <x:v>0</x:v>
      </x:c>
      <x:c r="P561"/>
    </x:row>
    <x:row r="562" ht="20" customHeight="1">
      <x:c r="A562" t="str">
        <x:v>SH000561</x:v>
      </x:c>
      <x:c r="B562" t="str">
        <x:v>SO00390-01</x:v>
      </x:c>
      <x:c r="C562" t="str">
        <x:v>WO00562</x:v>
      </x:c>
      <x:c r="D562" t="str">
        <x:v>LOT00562</x:v>
      </x:c>
      <x:c r="E562" t="str">
        <x:v>EMS-006</x:v>
      </x:c>
      <x:c r="F562" t="str">
        <x:v>AUTO-FL-A</x:v>
      </x:c>
      <x:c r="G562" s="20" t="n">
        <x:v>45820</x:v>
      </x:c>
      <x:c r="H562" s="20" t="n">
        <x:v>45818</x:v>
      </x:c>
      <x:c r="I562" s="20" t="n">
        <x:v>45822</x:v>
      </x:c>
      <x:c r="J562" t="n">
        <x:v>6452</x:v>
      </x:c>
      <x:c r="K562" t="n">
        <x:v>1255.76</x:v>
      </x:c>
      <x:c r="L562" t="str">
        <x:v>空運</x:v>
      </x:c>
      <x:c r="M562" t="n">
        <x:v>2</x:v>
      </x:c>
      <x:c r="N562" t="str">
        <x:v>否</x:v>
      </x:c>
      <x:c r="O562" t="n">
        <x:v>0</x:v>
      </x:c>
      <x:c r="P562"/>
    </x:row>
    <x:row r="563" ht="20" customHeight="1">
      <x:c r="A563" t="str">
        <x:v>SH000562</x:v>
      </x:c>
      <x:c r="B563" t="str">
        <x:v>SO00390-01</x:v>
      </x:c>
      <x:c r="C563" t="str">
        <x:v>WO00561</x:v>
      </x:c>
      <x:c r="D563" t="str">
        <x:v>LOT00561</x:v>
      </x:c>
      <x:c r="E563" t="str">
        <x:v>EMS-006</x:v>
      </x:c>
      <x:c r="F563" t="str">
        <x:v>AUTO-FL-A</x:v>
      </x:c>
      <x:c r="G563" s="20" t="n">
        <x:v>45820</x:v>
      </x:c>
      <x:c r="H563" s="20" t="n">
        <x:v>45821</x:v>
      </x:c>
      <x:c r="I563" s="20" t="n">
        <x:v>45826</x:v>
      </x:c>
      <x:c r="J563" t="n">
        <x:v>6500</x:v>
      </x:c>
      <x:c r="K563" t="n">
        <x:v>1255.76</x:v>
      </x:c>
      <x:c r="L563" t="str">
        <x:v>海運</x:v>
      </x:c>
      <x:c r="M563" t="n">
        <x:v>6</x:v>
      </x:c>
      <x:c r="N563" t="str">
        <x:v>否</x:v>
      </x:c>
      <x:c r="O563" t="n">
        <x:v>0</x:v>
      </x:c>
      <x:c r="P563"/>
    </x:row>
    <x:row r="564" ht="20" customHeight="1">
      <x:c r="A564" t="str">
        <x:v>SH000563</x:v>
      </x:c>
      <x:c r="B564" t="str">
        <x:v>SO00391-01</x:v>
      </x:c>
      <x:c r="C564" t="str">
        <x:v>WO00563</x:v>
      </x:c>
      <x:c r="D564" t="str">
        <x:v>LOT00563</x:v>
      </x:c>
      <x:c r="E564" t="str">
        <x:v>AUT-013</x:v>
      </x:c>
      <x:c r="F564" t="str">
        <x:v>PM-BRG-B</x:v>
      </x:c>
      <x:c r="G564" s="20" t="n">
        <x:v>45808</x:v>
      </x:c>
      <x:c r="H564" s="20" t="n">
        <x:v>45807</x:v>
      </x:c>
      <x:c r="I564" s="20" t="n">
        <x:v>45812</x:v>
      </x:c>
      <x:c r="J564" t="n">
        <x:v>791</x:v>
      </x:c>
      <x:c r="K564" t="n">
        <x:v>7793.95</x:v>
      </x:c>
      <x:c r="L564" t="str">
        <x:v>海運</x:v>
      </x:c>
      <x:c r="M564" t="n">
        <x:v>4</x:v>
      </x:c>
      <x:c r="N564" t="str">
        <x:v>否</x:v>
      </x:c>
      <x:c r="O564" t="n">
        <x:v>0</x:v>
      </x:c>
      <x:c r="P564"/>
    </x:row>
    <x:row r="565" ht="20" customHeight="1">
      <x:c r="A565" t="str">
        <x:v>SH000564</x:v>
      </x:c>
      <x:c r="B565" t="str">
        <x:v>SO00391-01</x:v>
      </x:c>
      <x:c r="C565" t="str">
        <x:v>WO00564</x:v>
      </x:c>
      <x:c r="D565" t="str">
        <x:v>LOT00564</x:v>
      </x:c>
      <x:c r="E565" t="str">
        <x:v>AUT-013</x:v>
      </x:c>
      <x:c r="F565" t="str">
        <x:v>PM-BRG-B</x:v>
      </x:c>
      <x:c r="G565" s="20" t="n">
        <x:v>45808</x:v>
      </x:c>
      <x:c r="H565" s="20" t="n">
        <x:v>45810</x:v>
      </x:c>
      <x:c r="I565" s="20" t="n">
        <x:v>45815</x:v>
      </x:c>
      <x:c r="J565" t="n">
        <x:v>786</x:v>
      </x:c>
      <x:c r="K565" t="n">
        <x:v>7793.95</x:v>
      </x:c>
      <x:c r="L565" t="str">
        <x:v>空運</x:v>
      </x:c>
      <x:c r="M565" t="n">
        <x:v>7</x:v>
      </x:c>
      <x:c r="N565" t="str">
        <x:v>否</x:v>
      </x:c>
      <x:c r="O565" t="n">
        <x:v>0</x:v>
      </x:c>
      <x:c r="P565"/>
    </x:row>
    <x:row r="566" ht="20" customHeight="1">
      <x:c r="A566" t="str">
        <x:v>SH000565</x:v>
      </x:c>
      <x:c r="B566" t="str">
        <x:v>SO00392-01</x:v>
      </x:c>
      <x:c r="C566" t="str">
        <x:v>WO00565</x:v>
      </x:c>
      <x:c r="D566" t="str">
        <x:v>LOT00565</x:v>
      </x:c>
      <x:c r="E566" t="str">
        <x:v>AFT-005</x:v>
      </x:c>
      <x:c r="F566" t="str">
        <x:v>AUTO-FL-A</x:v>
      </x:c>
      <x:c r="G566" s="20" t="n">
        <x:v>45803</x:v>
      </x:c>
      <x:c r="H566" s="20" t="n">
        <x:v>45801</x:v>
      </x:c>
      <x:c r="I566" s="20" t="n">
        <x:v>45803</x:v>
      </x:c>
      <x:c r="J566" t="n">
        <x:v>4961</x:v>
      </x:c>
      <x:c r="K566" t="n">
        <x:v>1302.84</x:v>
      </x:c>
      <x:c r="L566" t="str">
        <x:v>陸運</x:v>
      </x:c>
      <x:c r="M566" t="n">
        <x:v>0</x:v>
      </x:c>
      <x:c r="N566" t="str">
        <x:v>是</x:v>
      </x:c>
      <x:c r="O566" t="n">
        <x:v>0</x:v>
      </x:c>
      <x:c r="P566"/>
    </x:row>
    <x:row r="567" ht="20" customHeight="1">
      <x:c r="A567" t="str">
        <x:v>SH000566</x:v>
      </x:c>
      <x:c r="B567" t="str">
        <x:v>SO00393-01</x:v>
      </x:c>
      <x:c r="C567" t="str">
        <x:v>WO00566</x:v>
      </x:c>
      <x:c r="D567" t="str">
        <x:v>LOT00566</x:v>
      </x:c>
      <x:c r="E567" t="str">
        <x:v>AFT-007</x:v>
      </x:c>
      <x:c r="F567" t="str">
        <x:v>AUTO-MH-A</x:v>
      </x:c>
      <x:c r="G567" s="20" t="n">
        <x:v>45827</x:v>
      </x:c>
      <x:c r="H567" s="20" t="n">
        <x:v>45823</x:v>
      </x:c>
      <x:c r="I567" s="20" t="n">
        <x:v>45825</x:v>
      </x:c>
      <x:c r="J567" t="n">
        <x:v>6947</x:v>
      </x:c>
      <x:c r="K567" t="n">
        <x:v>2598.25</x:v>
      </x:c>
      <x:c r="L567" t="str">
        <x:v>陸運</x:v>
      </x:c>
      <x:c r="M567" t="n">
        <x:v>0</x:v>
      </x:c>
      <x:c r="N567" t="str">
        <x:v>是</x:v>
      </x:c>
      <x:c r="O567" t="n">
        <x:v>0</x:v>
      </x:c>
      <x:c r="P567"/>
    </x:row>
    <x:row r="568" ht="20" customHeight="1">
      <x:c r="A568" t="str">
        <x:v>SH000567</x:v>
      </x:c>
      <x:c r="B568" t="str">
        <x:v>SO00394-01</x:v>
      </x:c>
      <x:c r="C568" t="str">
        <x:v>WO00568</x:v>
      </x:c>
      <x:c r="D568" t="str">
        <x:v>LOT00568</x:v>
      </x:c>
      <x:c r="E568" t="str">
        <x:v>IAT-006</x:v>
      </x:c>
      <x:c r="F568" t="str">
        <x:v>AUTO-MH-A</x:v>
      </x:c>
      <x:c r="G568" s="20" t="n">
        <x:v>45813</x:v>
      </x:c>
      <x:c r="H568" s="20" t="n">
        <x:v>45813</x:v>
      </x:c>
      <x:c r="I568" s="20" t="n">
        <x:v>45816</x:v>
      </x:c>
      <x:c r="J568" t="n">
        <x:v>4961</x:v>
      </x:c>
      <x:c r="K568" t="n">
        <x:v>2536.68</x:v>
      </x:c>
      <x:c r="L568" t="str">
        <x:v>陸運</x:v>
      </x:c>
      <x:c r="M568" t="n">
        <x:v>3</x:v>
      </x:c>
      <x:c r="N568" t="str">
        <x:v>否</x:v>
      </x:c>
      <x:c r="O568" t="n">
        <x:v>0</x:v>
      </x:c>
      <x:c r="P568"/>
    </x:row>
    <x:row r="569" ht="20" customHeight="1">
      <x:c r="A569" t="str">
        <x:v>SH000568</x:v>
      </x:c>
      <x:c r="B569" t="str">
        <x:v>SO00394-01</x:v>
      </x:c>
      <x:c r="C569" t="str">
        <x:v>WO00567</x:v>
      </x:c>
      <x:c r="D569" t="str">
        <x:v>LOT00567</x:v>
      </x:c>
      <x:c r="E569" t="str">
        <x:v>IAT-006</x:v>
      </x:c>
      <x:c r="F569" t="str">
        <x:v>AUTO-MH-A</x:v>
      </x:c>
      <x:c r="G569" s="20" t="n">
        <x:v>45813</x:v>
      </x:c>
      <x:c r="H569" s="20" t="n">
        <x:v>45818</x:v>
      </x:c>
      <x:c r="I569" s="20" t="n">
        <x:v>45823</x:v>
      </x:c>
      <x:c r="J569" t="n">
        <x:v>4893</x:v>
      </x:c>
      <x:c r="K569" t="n">
        <x:v>2536.68</x:v>
      </x:c>
      <x:c r="L569" t="str">
        <x:v>陸運</x:v>
      </x:c>
      <x:c r="M569" t="n">
        <x:v>10</x:v>
      </x:c>
      <x:c r="N569" t="str">
        <x:v>否</x:v>
      </x:c>
      <x:c r="O569" t="n">
        <x:v>0</x:v>
      </x:c>
      <x:c r="P569"/>
    </x:row>
    <x:row r="570" ht="20" customHeight="1">
      <x:c r="A570" t="str">
        <x:v>SH000569</x:v>
      </x:c>
      <x:c r="B570" t="str">
        <x:v>SO00395-01</x:v>
      </x:c>
      <x:c r="C570" t="str">
        <x:v>WO00569</x:v>
      </x:c>
      <x:c r="D570" t="str">
        <x:v>LOT00569</x:v>
      </x:c>
      <x:c r="E570" t="str">
        <x:v>AFT-002</x:v>
      </x:c>
      <x:c r="F570" t="str">
        <x:v>AUTO-KN-A</x:v>
      </x:c>
      <x:c r="G570" s="20" t="n">
        <x:v>45812</x:v>
      </x:c>
      <x:c r="H570" s="20" t="n">
        <x:v>45819</x:v>
      </x:c>
      <x:c r="I570" s="20" t="n">
        <x:v>45822</x:v>
      </x:c>
      <x:c r="J570" t="n">
        <x:v>6995</x:v>
      </x:c>
      <x:c r="K570" t="n">
        <x:v>2935.46</x:v>
      </x:c>
      <x:c r="L570" t="str">
        <x:v>陸運</x:v>
      </x:c>
      <x:c r="M570" t="n">
        <x:v>10</x:v>
      </x:c>
      <x:c r="N570" t="str">
        <x:v>否</x:v>
      </x:c>
      <x:c r="O570" t="n">
        <x:v>0</x:v>
      </x:c>
      <x:c r="P570"/>
    </x:row>
    <x:row r="571" ht="20" customHeight="1">
      <x:c r="A571" t="str">
        <x:v>SH000570</x:v>
      </x:c>
      <x:c r="B571" t="str">
        <x:v>SO00396-01</x:v>
      </x:c>
      <x:c r="C571" t="str">
        <x:v>WO00570</x:v>
      </x:c>
      <x:c r="D571" t="str">
        <x:v>LOT00570</x:v>
      </x:c>
      <x:c r="E571" t="str">
        <x:v>AUT-011</x:v>
      </x:c>
      <x:c r="F571" t="str">
        <x:v>AUTO-FL-A</x:v>
      </x:c>
      <x:c r="G571" s="20" t="n">
        <x:v>45822</x:v>
      </x:c>
      <x:c r="H571" s="20" t="n">
        <x:v>45816</x:v>
      </x:c>
      <x:c r="I571" s="20" t="n">
        <x:v>45817</x:v>
      </x:c>
      <x:c r="J571" t="n">
        <x:v>4925</x:v>
      </x:c>
      <x:c r="K571" t="n">
        <x:v>1289.17</x:v>
      </x:c>
      <x:c r="L571" t="str">
        <x:v>空運</x:v>
      </x:c>
      <x:c r="M571" t="n">
        <x:v>0</x:v>
      </x:c>
      <x:c r="N571" t="str">
        <x:v>是</x:v>
      </x:c>
      <x:c r="O571" t="n">
        <x:v>0</x:v>
      </x:c>
      <x:c r="P571"/>
    </x:row>
    <x:row r="572" ht="20" customHeight="1">
      <x:c r="A572" t="str">
        <x:v>SH000571</x:v>
      </x:c>
      <x:c r="B572" t="str">
        <x:v>SO00397-01</x:v>
      </x:c>
      <x:c r="C572" t="str">
        <x:v>WO00571</x:v>
      </x:c>
      <x:c r="D572" t="str">
        <x:v>LOT00571</x:v>
      </x:c>
      <x:c r="E572" t="str">
        <x:v>SEM-001</x:v>
      </x:c>
      <x:c r="F572" t="str">
        <x:v>PM-BRG-A</x:v>
      </x:c>
      <x:c r="G572" s="20" t="n">
        <x:v>45830</x:v>
      </x:c>
      <x:c r="H572" s="20" t="n">
        <x:v>45830</x:v>
      </x:c>
      <x:c r="I572" s="20" t="n">
        <x:v>45831</x:v>
      </x:c>
      <x:c r="J572" t="n">
        <x:v>788</x:v>
      </x:c>
      <x:c r="K572" t="n">
        <x:v>6853.8</x:v>
      </x:c>
      <x:c r="L572" t="str">
        <x:v>空運</x:v>
      </x:c>
      <x:c r="M572" t="n">
        <x:v>1</x:v>
      </x:c>
      <x:c r="N572" t="str">
        <x:v>否</x:v>
      </x:c>
      <x:c r="O572" t="n">
        <x:v>0</x:v>
      </x:c>
      <x:c r="P572"/>
    </x:row>
    <x:row r="573" ht="20" customHeight="1">
      <x:c r="A573" t="str">
        <x:v>SH000572</x:v>
      </x:c>
      <x:c r="B573" t="str">
        <x:v>SO00397-01</x:v>
      </x:c>
      <x:c r="C573" t="str">
        <x:v>WO00572</x:v>
      </x:c>
      <x:c r="D573" t="str">
        <x:v>LOT00572</x:v>
      </x:c>
      <x:c r="E573" t="str">
        <x:v>SEM-001</x:v>
      </x:c>
      <x:c r="F573" t="str">
        <x:v>PM-BRG-A</x:v>
      </x:c>
      <x:c r="G573" s="20" t="n">
        <x:v>45830</x:v>
      </x:c>
      <x:c r="H573" s="20" t="n">
        <x:v>45832</x:v>
      </x:c>
      <x:c r="I573" s="20" t="n">
        <x:v>45833</x:v>
      </x:c>
      <x:c r="J573" t="n">
        <x:v>783</x:v>
      </x:c>
      <x:c r="K573" t="n">
        <x:v>6853.8</x:v>
      </x:c>
      <x:c r="L573" t="str">
        <x:v>海運</x:v>
      </x:c>
      <x:c r="M573" t="n">
        <x:v>3</x:v>
      </x:c>
      <x:c r="N573" t="str">
        <x:v>否</x:v>
      </x:c>
      <x:c r="O573" t="n">
        <x:v>0</x:v>
      </x:c>
      <x:c r="P573"/>
    </x:row>
    <x:row r="574" ht="20" customHeight="1">
      <x:c r="A574" t="str">
        <x:v>SH000573</x:v>
      </x:c>
      <x:c r="B574" t="str">
        <x:v>SO00398-01</x:v>
      </x:c>
      <x:c r="C574" t="str">
        <x:v>WO00573</x:v>
      </x:c>
      <x:c r="D574" t="str">
        <x:v>LOT00573</x:v>
      </x:c>
      <x:c r="E574" t="str">
        <x:v>AUT-005</x:v>
      </x:c>
      <x:c r="F574" t="str">
        <x:v>PM-VAC-A</x:v>
      </x:c>
      <x:c r="G574" s="20" t="n">
        <x:v>45830</x:v>
      </x:c>
      <x:c r="H574" s="20" t="n">
        <x:v>45829</x:v>
      </x:c>
      <x:c r="I574" s="20" t="n">
        <x:v>45831</x:v>
      </x:c>
      <x:c r="J574" t="n">
        <x:v>488</x:v>
      </x:c>
      <x:c r="K574" t="n">
        <x:v>16410.58</x:v>
      </x:c>
      <x:c r="L574" t="str">
        <x:v>海運</x:v>
      </x:c>
      <x:c r="M574" t="n">
        <x:v>1</x:v>
      </x:c>
      <x:c r="N574" t="str">
        <x:v>否</x:v>
      </x:c>
      <x:c r="O574" t="n">
        <x:v>0</x:v>
      </x:c>
      <x:c r="P574"/>
    </x:row>
    <x:row r="575" ht="20" customHeight="1">
      <x:c r="A575" t="str">
        <x:v>SH000574</x:v>
      </x:c>
      <x:c r="B575" t="str">
        <x:v>SO00399-01</x:v>
      </x:c>
      <x:c r="C575" t="str">
        <x:v>WO00574</x:v>
      </x:c>
      <x:c r="D575" t="str">
        <x:v>LOT00574</x:v>
      </x:c>
      <x:c r="E575" t="str">
        <x:v>EMS-003</x:v>
      </x:c>
      <x:c r="F575" t="str">
        <x:v>PM-SUS-B</x:v>
      </x:c>
      <x:c r="G575" s="20" t="n">
        <x:v>45819</x:v>
      </x:c>
      <x:c r="H575" s="20" t="n">
        <x:v>45816</x:v>
      </x:c>
      <x:c r="I575" s="20" t="n">
        <x:v>45817</x:v>
      </x:c>
      <x:c r="J575" t="n">
        <x:v>587</x:v>
      </x:c>
      <x:c r="K575" t="n">
        <x:v>13402.55</x:v>
      </x:c>
      <x:c r="L575" t="str">
        <x:v>空運</x:v>
      </x:c>
      <x:c r="M575" t="n">
        <x:v>0</x:v>
      </x:c>
      <x:c r="N575" t="str">
        <x:v>是</x:v>
      </x:c>
      <x:c r="O575" t="n">
        <x:v>0</x:v>
      </x:c>
      <x:c r="P575"/>
    </x:row>
    <x:row r="576" ht="20" customHeight="1">
      <x:c r="A576" t="str">
        <x:v>SH000575</x:v>
      </x:c>
      <x:c r="B576" t="str">
        <x:v>SO00399-01</x:v>
      </x:c>
      <x:c r="C576" t="str">
        <x:v>WO00575</x:v>
      </x:c>
      <x:c r="D576" t="str">
        <x:v>LOT00575</x:v>
      </x:c>
      <x:c r="E576" t="str">
        <x:v>EMS-003</x:v>
      </x:c>
      <x:c r="F576" t="str">
        <x:v>PM-SUS-B</x:v>
      </x:c>
      <x:c r="G576" s="20" t="n">
        <x:v>45819</x:v>
      </x:c>
      <x:c r="H576" s="20" t="n">
        <x:v>45818</x:v>
      </x:c>
      <x:c r="I576" s="20" t="n">
        <x:v>45820</x:v>
      </x:c>
      <x:c r="J576" t="n">
        <x:v>588</x:v>
      </x:c>
      <x:c r="K576" t="n">
        <x:v>13402.55</x:v>
      </x:c>
      <x:c r="L576" t="str">
        <x:v>海運</x:v>
      </x:c>
      <x:c r="M576" t="n">
        <x:v>1</x:v>
      </x:c>
      <x:c r="N576" t="str">
        <x:v>否</x:v>
      </x:c>
      <x:c r="O576" t="n">
        <x:v>0</x:v>
      </x:c>
      <x:c r="P576"/>
    </x:row>
    <x:row r="577" ht="20" customHeight="1">
      <x:c r="A577" t="str">
        <x:v>SH000576</x:v>
      </x:c>
      <x:c r="B577" t="str">
        <x:v>SO00400-01</x:v>
      </x:c>
      <x:c r="C577" t="str">
        <x:v>WO00576</x:v>
      </x:c>
      <x:c r="D577" t="str">
        <x:v>LOT00576</x:v>
      </x:c>
      <x:c r="E577" t="str">
        <x:v>SEM-002</x:v>
      </x:c>
      <x:c r="F577" t="str">
        <x:v>PM-ALB-A</x:v>
      </x:c>
      <x:c r="G577" s="20" t="n">
        <x:v>45838</x:v>
      </x:c>
      <x:c r="H577" s="20" t="n">
        <x:v>45837</x:v>
      </x:c>
      <x:c r="I577" s="20" t="n">
        <x:v>45842</x:v>
      </x:c>
      <x:c r="J577" t="n">
        <x:v>785</x:v>
      </x:c>
      <x:c r="K577" t="n">
        <x:v>10318.66</x:v>
      </x:c>
      <x:c r="L577" t="str">
        <x:v>陸運</x:v>
      </x:c>
      <x:c r="M577" t="n">
        <x:v>4</x:v>
      </x:c>
      <x:c r="N577" t="str">
        <x:v>否</x:v>
      </x:c>
      <x:c r="O577" t="n">
        <x:v>0</x:v>
      </x:c>
      <x:c r="P577"/>
    </x:row>
    <x:row r="578" ht="20" customHeight="1">
      <x:c r="A578" t="str">
        <x:v>SH000577</x:v>
      </x:c>
      <x:c r="B578" t="str">
        <x:v>SO00400-01</x:v>
      </x:c>
      <x:c r="C578" t="str">
        <x:v>WO00577</x:v>
      </x:c>
      <x:c r="D578" t="str">
        <x:v>LOT00577</x:v>
      </x:c>
      <x:c r="E578" t="str">
        <x:v>SEM-002</x:v>
      </x:c>
      <x:c r="F578" t="str">
        <x:v>PM-ALB-A</x:v>
      </x:c>
      <x:c r="G578" s="20" t="n">
        <x:v>45838</x:v>
      </x:c>
      <x:c r="H578" s="20" t="n">
        <x:v>45840</x:v>
      </x:c>
      <x:c r="I578" s="20" t="n">
        <x:v>45842</x:v>
      </x:c>
      <x:c r="J578" t="n">
        <x:v>786</x:v>
      </x:c>
      <x:c r="K578" t="n">
        <x:v>10318.66</x:v>
      </x:c>
      <x:c r="L578" t="str">
        <x:v>海運</x:v>
      </x:c>
      <x:c r="M578" t="n">
        <x:v>4</x:v>
      </x:c>
      <x:c r="N578" t="str">
        <x:v>否</x:v>
      </x:c>
      <x:c r="O578" t="n">
        <x:v>0</x:v>
      </x:c>
      <x:c r="P578"/>
    </x:row>
    <x:row r="579" ht="20" customHeight="1">
      <x:c r="A579" t="str">
        <x:v>SH000578</x:v>
      </x:c>
      <x:c r="B579" t="str">
        <x:v>SO00401-01</x:v>
      </x:c>
      <x:c r="C579" t="str">
        <x:v>WO00578</x:v>
      </x:c>
      <x:c r="D579" t="str">
        <x:v>LOT00578</x:v>
      </x:c>
      <x:c r="E579" t="str">
        <x:v>EMS-005</x:v>
      </x:c>
      <x:c r="F579" t="str">
        <x:v>AUTO-MH-B</x:v>
      </x:c>
      <x:c r="G579" s="20" t="n">
        <x:v>45824</x:v>
      </x:c>
      <x:c r="H579" s="20" t="n">
        <x:v>45823</x:v>
      </x:c>
      <x:c r="I579" s="20" t="n">
        <x:v>45828</x:v>
      </x:c>
      <x:c r="J579" t="n">
        <x:v>6951</x:v>
      </x:c>
      <x:c r="K579" t="n">
        <x:v>2965.61</x:v>
      </x:c>
      <x:c r="L579" t="str">
        <x:v>空運</x:v>
      </x:c>
      <x:c r="M579" t="n">
        <x:v>4</x:v>
      </x:c>
      <x:c r="N579" t="str">
        <x:v>否</x:v>
      </x:c>
      <x:c r="O579" t="n">
        <x:v>0</x:v>
      </x:c>
      <x:c r="P579"/>
    </x:row>
    <x:row r="580" ht="20" customHeight="1">
      <x:c r="A580" t="str">
        <x:v>SH000579</x:v>
      </x:c>
      <x:c r="B580" t="str">
        <x:v>SO00402-01</x:v>
      </x:c>
      <x:c r="C580" t="str">
        <x:v>WO00579</x:v>
      </x:c>
      <x:c r="D580" t="str">
        <x:v>LOT00579</x:v>
      </x:c>
      <x:c r="E580" t="str">
        <x:v>EMS-008</x:v>
      </x:c>
      <x:c r="F580" t="str">
        <x:v>PM-VAC-B</x:v>
      </x:c>
      <x:c r="G580" s="20" t="n">
        <x:v>45821</x:v>
      </x:c>
      <x:c r="H580" s="20" t="n">
        <x:v>45817</x:v>
      </x:c>
      <x:c r="I580" s="20" t="n">
        <x:v>45820</x:v>
      </x:c>
      <x:c r="J580" t="n">
        <x:v>792</x:v>
      </x:c>
      <x:c r="K580" t="n">
        <x:v>22966.39</x:v>
      </x:c>
      <x:c r="L580" t="str">
        <x:v>海運</x:v>
      </x:c>
      <x:c r="M580" t="n">
        <x:v>0</x:v>
      </x:c>
      <x:c r="N580" t="str">
        <x:v>是</x:v>
      </x:c>
      <x:c r="O580" t="n">
        <x:v>0</x:v>
      </x:c>
      <x:c r="P580"/>
    </x:row>
    <x:row r="581" ht="20" customHeight="1">
      <x:c r="A581" t="str">
        <x:v>SH000580</x:v>
      </x:c>
      <x:c r="B581" t="str">
        <x:v>SO00402-01</x:v>
      </x:c>
      <x:c r="C581" t="str">
        <x:v>WO00580</x:v>
      </x:c>
      <x:c r="D581" t="str">
        <x:v>LOT00580</x:v>
      </x:c>
      <x:c r="E581" t="str">
        <x:v>EMS-008</x:v>
      </x:c>
      <x:c r="F581" t="str">
        <x:v>PM-VAC-B</x:v>
      </x:c>
      <x:c r="G581" s="20" t="n">
        <x:v>45821</x:v>
      </x:c>
      <x:c r="H581" s="20" t="n">
        <x:v>45817</x:v>
      </x:c>
      <x:c r="I581" s="20" t="n">
        <x:v>45818</x:v>
      </x:c>
      <x:c r="J581" t="n">
        <x:v>789</x:v>
      </x:c>
      <x:c r="K581" t="n">
        <x:v>22966.39</x:v>
      </x:c>
      <x:c r="L581" t="str">
        <x:v>陸運</x:v>
      </x:c>
      <x:c r="M581" t="n">
        <x:v>0</x:v>
      </x:c>
      <x:c r="N581" t="str">
        <x:v>是</x:v>
      </x:c>
      <x:c r="O581" t="n">
        <x:v>0</x:v>
      </x:c>
      <x:c r="P581"/>
    </x:row>
    <x:row r="582" ht="20" customHeight="1">
      <x:c r="A582" t="str">
        <x:v>SH000581</x:v>
      </x:c>
      <x:c r="B582" t="str">
        <x:v>SO00403-01</x:v>
      </x:c>
      <x:c r="C582" t="str">
        <x:v>WO00582</x:v>
      </x:c>
      <x:c r="D582" t="str">
        <x:v>LOT00582</x:v>
      </x:c>
      <x:c r="E582" t="str">
        <x:v>AUT-009</x:v>
      </x:c>
      <x:c r="F582" t="str">
        <x:v>AUTO-KN-A</x:v>
      </x:c>
      <x:c r="G582" s="20" t="n">
        <x:v>45812</x:v>
      </x:c>
      <x:c r="H582" s="20" t="n">
        <x:v>45811</x:v>
      </x:c>
      <x:c r="I582" s="20" t="n">
        <x:v>45816</x:v>
      </x:c>
      <x:c r="J582" t="n">
        <x:v>4963</x:v>
      </x:c>
      <x:c r="K582" t="n">
        <x:v>3131.09</x:v>
      </x:c>
      <x:c r="L582" t="str">
        <x:v>空運</x:v>
      </x:c>
      <x:c r="M582" t="n">
        <x:v>4</x:v>
      </x:c>
      <x:c r="N582" t="str">
        <x:v>否</x:v>
      </x:c>
      <x:c r="O582" t="n">
        <x:v>0</x:v>
      </x:c>
      <x:c r="P582"/>
    </x:row>
    <x:row r="583" ht="20" customHeight="1">
      <x:c r="A583" t="str">
        <x:v>SH000582</x:v>
      </x:c>
      <x:c r="B583" t="str">
        <x:v>SO00403-01</x:v>
      </x:c>
      <x:c r="C583" t="str">
        <x:v>WO00581</x:v>
      </x:c>
      <x:c r="D583" t="str">
        <x:v>LOT00581</x:v>
      </x:c>
      <x:c r="E583" t="str">
        <x:v>AUT-009</x:v>
      </x:c>
      <x:c r="F583" t="str">
        <x:v>AUTO-KN-A</x:v>
      </x:c>
      <x:c r="G583" s="20" t="n">
        <x:v>45812</x:v>
      </x:c>
      <x:c r="H583" s="20" t="n">
        <x:v>45813</x:v>
      </x:c>
      <x:c r="I583" s="20" t="n">
        <x:v>45815</x:v>
      </x:c>
      <x:c r="J583" t="n">
        <x:v>4929</x:v>
      </x:c>
      <x:c r="K583" t="n">
        <x:v>3131.09</x:v>
      </x:c>
      <x:c r="L583" t="str">
        <x:v>空運</x:v>
      </x:c>
      <x:c r="M583" t="n">
        <x:v>3</x:v>
      </x:c>
      <x:c r="N583" t="str">
        <x:v>否</x:v>
      </x:c>
      <x:c r="O583" t="n">
        <x:v>0</x:v>
      </x:c>
      <x:c r="P583"/>
    </x:row>
    <x:row r="584" ht="20" customHeight="1">
      <x:c r="A584" t="str">
        <x:v>SH000583</x:v>
      </x:c>
      <x:c r="B584" t="str">
        <x:v>SO00404-01</x:v>
      </x:c>
      <x:c r="C584" t="str">
        <x:v>WO00584</x:v>
      </x:c>
      <x:c r="D584" t="str">
        <x:v>LOT00584</x:v>
      </x:c>
      <x:c r="E584" t="str">
        <x:v>SEM-005</x:v>
      </x:c>
      <x:c r="F584" t="str">
        <x:v>MECH-CON-A</x:v>
      </x:c>
      <x:c r="G584" s="20" t="n">
        <x:v>45837</x:v>
      </x:c>
      <x:c r="H584" s="20" t="n">
        <x:v>45833</x:v>
      </x:c>
      <x:c r="I584" s="20" t="n">
        <x:v>45837</x:v>
      </x:c>
      <x:c r="J584" t="n">
        <x:v>15</x:v>
      </x:c>
      <x:c r="K584" t="n">
        <x:v>110557</x:v>
      </x:c>
      <x:c r="L584" t="str">
        <x:v>陸運</x:v>
      </x:c>
      <x:c r="M584" t="n">
        <x:v>0</x:v>
      </x:c>
      <x:c r="N584" t="str">
        <x:v>是</x:v>
      </x:c>
      <x:c r="O584" t="n">
        <x:v>0</x:v>
      </x:c>
      <x:c r="P584"/>
    </x:row>
    <x:row r="585" ht="20" customHeight="1">
      <x:c r="A585" t="str">
        <x:v>SH000584</x:v>
      </x:c>
      <x:c r="B585" t="str">
        <x:v>SO00404-01</x:v>
      </x:c>
      <x:c r="C585" t="str">
        <x:v>WO00583</x:v>
      </x:c>
      <x:c r="D585" t="str">
        <x:v>LOT00583</x:v>
      </x:c>
      <x:c r="E585" t="str">
        <x:v>SEM-005</x:v>
      </x:c>
      <x:c r="F585" t="str">
        <x:v>MECH-CON-A</x:v>
      </x:c>
      <x:c r="G585" s="20" t="n">
        <x:v>45837</x:v>
      </x:c>
      <x:c r="H585" s="20" t="n">
        <x:v>45834</x:v>
      </x:c>
      <x:c r="I585" s="20" t="n">
        <x:v>45835</x:v>
      </x:c>
      <x:c r="J585" t="n">
        <x:v>15</x:v>
      </x:c>
      <x:c r="K585" t="n">
        <x:v>110557</x:v>
      </x:c>
      <x:c r="L585" t="str">
        <x:v>海運</x:v>
      </x:c>
      <x:c r="M585" t="n">
        <x:v>0</x:v>
      </x:c>
      <x:c r="N585" t="str">
        <x:v>是</x:v>
      </x:c>
      <x:c r="O585" t="n">
        <x:v>0</x:v>
      </x:c>
      <x:c r="P585"/>
    </x:row>
    <x:row r="586" ht="20" customHeight="1">
      <x:c r="A586" t="str">
        <x:v>SH000585</x:v>
      </x:c>
      <x:c r="B586" t="str">
        <x:v>SO00405-01</x:v>
      </x:c>
      <x:c r="C586" t="str">
        <x:v>WO00585</x:v>
      </x:c>
      <x:c r="D586" t="str">
        <x:v>LOT00585</x:v>
      </x:c>
      <x:c r="E586" t="str">
        <x:v>EMS-002</x:v>
      </x:c>
      <x:c r="F586" t="str">
        <x:v>AUTO-KN-A</x:v>
      </x:c>
      <x:c r="G586" s="20" t="n">
        <x:v>45819</x:v>
      </x:c>
      <x:c r="H586" s="20" t="n">
        <x:v>45816</x:v>
      </x:c>
      <x:c r="I586" s="20" t="n">
        <x:v>45819</x:v>
      </x:c>
      <x:c r="J586" t="n">
        <x:v>2969</x:v>
      </x:c>
      <x:c r="K586" t="n">
        <x:v>3113.99</x:v>
      </x:c>
      <x:c r="L586" t="str">
        <x:v>陸運</x:v>
      </x:c>
      <x:c r="M586" t="n">
        <x:v>0</x:v>
      </x:c>
      <x:c r="N586" t="str">
        <x:v>是</x:v>
      </x:c>
      <x:c r="O586" t="n">
        <x:v>0</x:v>
      </x:c>
      <x:c r="P586"/>
    </x:row>
    <x:row r="587" ht="20" customHeight="1">
      <x:c r="A587" t="str">
        <x:v>SH000586</x:v>
      </x:c>
      <x:c r="B587" t="str">
        <x:v>SO00406-01</x:v>
      </x:c>
      <x:c r="C587" t="str">
        <x:v>WO00586</x:v>
      </x:c>
      <x:c r="D587" t="str">
        <x:v>LOT00586</x:v>
      </x:c>
      <x:c r="E587" t="str">
        <x:v>AUT-002</x:v>
      </x:c>
      <x:c r="F587" t="str">
        <x:v>PM-SUS-B</x:v>
      </x:c>
      <x:c r="G587" s="20" t="n">
        <x:v>45827</x:v>
      </x:c>
      <x:c r="H587" s="20" t="n">
        <x:v>45829</x:v>
      </x:c>
      <x:c r="I587" s="20" t="n">
        <x:v>45832</x:v>
      </x:c>
      <x:c r="J587" t="n">
        <x:v>779</x:v>
      </x:c>
      <x:c r="K587" t="n">
        <x:v>15473.07</x:v>
      </x:c>
      <x:c r="L587" t="str">
        <x:v>空運</x:v>
      </x:c>
      <x:c r="M587" t="n">
        <x:v>5</x:v>
      </x:c>
      <x:c r="N587" t="str">
        <x:v>否</x:v>
      </x:c>
      <x:c r="O587" t="n">
        <x:v>0</x:v>
      </x:c>
      <x:c r="P587"/>
    </x:row>
    <x:row r="588" ht="20" customHeight="1">
      <x:c r="A588" t="str">
        <x:v>SH000587</x:v>
      </x:c>
      <x:c r="B588" t="str">
        <x:v>SO00407-01</x:v>
      </x:c>
      <x:c r="C588" t="str">
        <x:v>WO00587</x:v>
      </x:c>
      <x:c r="D588" t="str">
        <x:v>LOT00587</x:v>
      </x:c>
      <x:c r="E588" t="str">
        <x:v>EMS-001</x:v>
      </x:c>
      <x:c r="F588" t="str">
        <x:v>MECH-CON-A</x:v>
      </x:c>
      <x:c r="G588" s="20" t="n">
        <x:v>45833</x:v>
      </x:c>
      <x:c r="H588" s="20" t="n">
        <x:v>45831</x:v>
      </x:c>
      <x:c r="I588" s="20" t="n">
        <x:v>45834</x:v>
      </x:c>
      <x:c r="J588" t="n">
        <x:v>17</x:v>
      </x:c>
      <x:c r="K588" t="n">
        <x:v>115662.19</x:v>
      </x:c>
      <x:c r="L588" t="str">
        <x:v>海運</x:v>
      </x:c>
      <x:c r="M588" t="n">
        <x:v>1</x:v>
      </x:c>
      <x:c r="N588" t="str">
        <x:v>否</x:v>
      </x:c>
      <x:c r="O588" t="n">
        <x:v>0</x:v>
      </x:c>
      <x:c r="P588"/>
    </x:row>
    <x:row r="589" ht="20" customHeight="1">
      <x:c r="A589" t="str">
        <x:v>SH000588</x:v>
      </x:c>
      <x:c r="B589" t="str">
        <x:v>SO00407-01</x:v>
      </x:c>
      <x:c r="C589" t="str">
        <x:v>WO00589</x:v>
      </x:c>
      <x:c r="D589" t="str">
        <x:v>LOT00589</x:v>
      </x:c>
      <x:c r="E589" t="str">
        <x:v>EMS-001</x:v>
      </x:c>
      <x:c r="F589" t="str">
        <x:v>MECH-CON-A</x:v>
      </x:c>
      <x:c r="G589" s="20" t="n">
        <x:v>45833</x:v>
      </x:c>
      <x:c r="H589" s="20" t="n">
        <x:v>45832</x:v>
      </x:c>
      <x:c r="I589" s="20" t="n">
        <x:v>45837</x:v>
      </x:c>
      <x:c r="J589" t="n">
        <x:v>16</x:v>
      </x:c>
      <x:c r="K589" t="n">
        <x:v>115662.19</x:v>
      </x:c>
      <x:c r="L589" t="str">
        <x:v>陸運</x:v>
      </x:c>
      <x:c r="M589" t="n">
        <x:v>4</x:v>
      </x:c>
      <x:c r="N589" t="str">
        <x:v>否</x:v>
      </x:c>
      <x:c r="O589" t="n">
        <x:v>0</x:v>
      </x:c>
      <x:c r="P589"/>
    </x:row>
    <x:row r="590" ht="20" customHeight="1">
      <x:c r="A590" t="str">
        <x:v>SH000589</x:v>
      </x:c>
      <x:c r="B590" t="str">
        <x:v>SO00407-01</x:v>
      </x:c>
      <x:c r="C590" t="str">
        <x:v>WO00588</x:v>
      </x:c>
      <x:c r="D590" t="str">
        <x:v>LOT00588</x:v>
      </x:c>
      <x:c r="E590" t="str">
        <x:v>EMS-001</x:v>
      </x:c>
      <x:c r="F590" t="str">
        <x:v>MECH-CON-A</x:v>
      </x:c>
      <x:c r="G590" s="20" t="n">
        <x:v>45833</x:v>
      </x:c>
      <x:c r="H590" s="20" t="n">
        <x:v>45834</x:v>
      </x:c>
      <x:c r="I590" s="20" t="n">
        <x:v>45838</x:v>
      </x:c>
      <x:c r="J590" t="n">
        <x:v>17</x:v>
      </x:c>
      <x:c r="K590" t="n">
        <x:v>115662.19</x:v>
      </x:c>
      <x:c r="L590" t="str">
        <x:v>海運</x:v>
      </x:c>
      <x:c r="M590" t="n">
        <x:v>5</x:v>
      </x:c>
      <x:c r="N590" t="str">
        <x:v>否</x:v>
      </x:c>
      <x:c r="O590" t="n">
        <x:v>0</x:v>
      </x:c>
      <x:c r="P590"/>
    </x:row>
    <x:row r="591" ht="20" customHeight="1">
      <x:c r="A591" t="str">
        <x:v>SH000590</x:v>
      </x:c>
      <x:c r="B591" t="str">
        <x:v>SO00408-01</x:v>
      </x:c>
      <x:c r="C591" t="str">
        <x:v>WO00590</x:v>
      </x:c>
      <x:c r="D591" t="str">
        <x:v>LOT00590</x:v>
      </x:c>
      <x:c r="E591" t="str">
        <x:v>AUT-012</x:v>
      </x:c>
      <x:c r="F591" t="str">
        <x:v>PM-SUS-B</x:v>
      </x:c>
      <x:c r="G591" s="20" t="n">
        <x:v>45824</x:v>
      </x:c>
      <x:c r="H591" s="20" t="n">
        <x:v>45823</x:v>
      </x:c>
      <x:c r="I591" s="20" t="n">
        <x:v>45827</x:v>
      </x:c>
      <x:c r="J591" t="n">
        <x:v>776</x:v>
      </x:c>
      <x:c r="K591" t="n">
        <x:v>15147.52</x:v>
      </x:c>
      <x:c r="L591" t="str">
        <x:v>海運</x:v>
      </x:c>
      <x:c r="M591" t="n">
        <x:v>3</x:v>
      </x:c>
      <x:c r="N591" t="str">
        <x:v>否</x:v>
      </x:c>
      <x:c r="O591" t="n">
        <x:v>0</x:v>
      </x:c>
      <x:c r="P591"/>
    </x:row>
    <x:row r="592" ht="20" customHeight="1">
      <x:c r="A592" t="str">
        <x:v>SH000591</x:v>
      </x:c>
      <x:c r="B592" t="str">
        <x:v>SO00409-01</x:v>
      </x:c>
      <x:c r="C592" t="str">
        <x:v>WO00591</x:v>
      </x:c>
      <x:c r="D592" t="str">
        <x:v>LOT00591</x:v>
      </x:c>
      <x:c r="E592" t="str">
        <x:v>AUT-013</x:v>
      </x:c>
      <x:c r="F592" t="str">
        <x:v>MECH-STG-B</x:v>
      </x:c>
      <x:c r="G592" s="20" t="n">
        <x:v>45875</x:v>
      </x:c>
      <x:c r="H592" s="20" t="n">
        <x:v>45873</x:v>
      </x:c>
      <x:c r="I592" s="20" t="n">
        <x:v>45877</x:v>
      </x:c>
      <x:c r="J592" t="n">
        <x:v>15</x:v>
      </x:c>
      <x:c r="K592" t="n">
        <x:v>193016.76</x:v>
      </x:c>
      <x:c r="L592" t="str">
        <x:v>空運</x:v>
      </x:c>
      <x:c r="M592" t="n">
        <x:v>2</x:v>
      </x:c>
      <x:c r="N592" t="str">
        <x:v>否</x:v>
      </x:c>
      <x:c r="O592" t="n">
        <x:v>0</x:v>
      </x:c>
      <x:c r="P592"/>
    </x:row>
    <x:row r="593" ht="20" customHeight="1">
      <x:c r="A593" t="str">
        <x:v>SH000592</x:v>
      </x:c>
      <x:c r="B593" t="str">
        <x:v>SO00409-01</x:v>
      </x:c>
      <x:c r="C593" t="str">
        <x:v>WO00592</x:v>
      </x:c>
      <x:c r="D593" t="str">
        <x:v>LOT00592</x:v>
      </x:c>
      <x:c r="E593" t="str">
        <x:v>AUT-013</x:v>
      </x:c>
      <x:c r="F593" t="str">
        <x:v>MECH-STG-B</x:v>
      </x:c>
      <x:c r="G593" s="20" t="n">
        <x:v>45875</x:v>
      </x:c>
      <x:c r="H593" s="20" t="n">
        <x:v>45876</x:v>
      </x:c>
      <x:c r="I593" s="20" t="n">
        <x:v>45881</x:v>
      </x:c>
      <x:c r="J593" t="n">
        <x:v>15</x:v>
      </x:c>
      <x:c r="K593" t="n">
        <x:v>193016.76</x:v>
      </x:c>
      <x:c r="L593" t="str">
        <x:v>海運</x:v>
      </x:c>
      <x:c r="M593" t="n">
        <x:v>6</x:v>
      </x:c>
      <x:c r="N593" t="str">
        <x:v>否</x:v>
      </x:c>
      <x:c r="O593" t="n">
        <x:v>0</x:v>
      </x:c>
      <x:c r="P593"/>
    </x:row>
    <x:row r="594" ht="20" customHeight="1">
      <x:c r="A594" t="str">
        <x:v>SH000593</x:v>
      </x:c>
      <x:c r="B594" t="str">
        <x:v>SO00410-01</x:v>
      </x:c>
      <x:c r="C594" t="str">
        <x:v>WO00593</x:v>
      </x:c>
      <x:c r="D594" t="str">
        <x:v>LOT00593</x:v>
      </x:c>
      <x:c r="E594" t="str">
        <x:v>AFT-005</x:v>
      </x:c>
      <x:c r="F594" t="str">
        <x:v>AUTO-BRK-A</x:v>
      </x:c>
      <x:c r="G594" s="20" t="n">
        <x:v>45845</x:v>
      </x:c>
      <x:c r="H594" s="20" t="n">
        <x:v>45843</x:v>
      </x:c>
      <x:c r="I594" s="20" t="n">
        <x:v>45845</x:v>
      </x:c>
      <x:c r="J594" t="n">
        <x:v>6896</x:v>
      </x:c>
      <x:c r="K594" t="n">
        <x:v>1723.96</x:v>
      </x:c>
      <x:c r="L594" t="str">
        <x:v>空運</x:v>
      </x:c>
      <x:c r="M594" t="n">
        <x:v>0</x:v>
      </x:c>
      <x:c r="N594" t="str">
        <x:v>是</x:v>
      </x:c>
      <x:c r="O594" t="n">
        <x:v>77</x:v>
      </x:c>
      <x:c r="P594" t="str">
        <x:v>尺寸異常</x:v>
      </x:c>
    </x:row>
    <x:row r="595" ht="20" customHeight="1">
      <x:c r="A595" t="str">
        <x:v>SH000594</x:v>
      </x:c>
      <x:c r="B595" t="str">
        <x:v>SO00411-01</x:v>
      </x:c>
      <x:c r="C595" t="str">
        <x:v>WO00594</x:v>
      </x:c>
      <x:c r="D595" t="str">
        <x:v>LOT00594</x:v>
      </x:c>
      <x:c r="E595" t="str">
        <x:v>SEM-001</x:v>
      </x:c>
      <x:c r="F595" t="str">
        <x:v>PM-ALB-A</x:v>
      </x:c>
      <x:c r="G595" s="20" t="n">
        <x:v>45847</x:v>
      </x:c>
      <x:c r="H595" s="20" t="n">
        <x:v>45849</x:v>
      </x:c>
      <x:c r="I595" s="20" t="n">
        <x:v>45850</x:v>
      </x:c>
      <x:c r="J595" t="n">
        <x:v>495</x:v>
      </x:c>
      <x:c r="K595" t="n">
        <x:v>10891.89</x:v>
      </x:c>
      <x:c r="L595" t="str">
        <x:v>海運</x:v>
      </x:c>
      <x:c r="M595" t="n">
        <x:v>3</x:v>
      </x:c>
      <x:c r="N595" t="str">
        <x:v>否</x:v>
      </x:c>
      <x:c r="O595" t="n">
        <x:v>0</x:v>
      </x:c>
      <x:c r="P595"/>
    </x:row>
    <x:row r="596" ht="20" customHeight="1">
      <x:c r="A596" t="str">
        <x:v>SH000595</x:v>
      </x:c>
      <x:c r="B596" t="str">
        <x:v>SO00412-01</x:v>
      </x:c>
      <x:c r="C596" t="str">
        <x:v>WO00595</x:v>
      </x:c>
      <x:c r="D596" t="str">
        <x:v>LOT00595</x:v>
      </x:c>
      <x:c r="E596" t="str">
        <x:v>AFT-006</x:v>
      </x:c>
      <x:c r="F596" t="str">
        <x:v>AUTO-BRK-A</x:v>
      </x:c>
      <x:c r="G596" s="20" t="n">
        <x:v>45833</x:v>
      </x:c>
      <x:c r="H596" s="20" t="n">
        <x:v>45830</x:v>
      </x:c>
      <x:c r="I596" s="20" t="n">
        <x:v>45835</x:v>
      </x:c>
      <x:c r="J596" t="n">
        <x:v>4940</x:v>
      </x:c>
      <x:c r="K596" t="n">
        <x:v>1651.6</x:v>
      </x:c>
      <x:c r="L596" t="str">
        <x:v>海運</x:v>
      </x:c>
      <x:c r="M596" t="n">
        <x:v>2</x:v>
      </x:c>
      <x:c r="N596" t="str">
        <x:v>否</x:v>
      </x:c>
      <x:c r="O596" t="n">
        <x:v>0</x:v>
      </x:c>
      <x:c r="P596"/>
    </x:row>
    <x:row r="597" ht="20" customHeight="1">
      <x:c r="A597" t="str">
        <x:v>SH000596</x:v>
      </x:c>
      <x:c r="B597" t="str">
        <x:v>SO00413-01</x:v>
      </x:c>
      <x:c r="C597" t="str">
        <x:v>WO00597</x:v>
      </x:c>
      <x:c r="D597" t="str">
        <x:v>LOT00597</x:v>
      </x:c>
      <x:c r="E597" t="str">
        <x:v>AUT-014</x:v>
      </x:c>
      <x:c r="F597" t="str">
        <x:v>MECH-CON-B</x:v>
      </x:c>
      <x:c r="G597" s="20" t="n">
        <x:v>45885</x:v>
      </x:c>
      <x:c r="H597" s="20" t="n">
        <x:v>45885</x:v>
      </x:c>
      <x:c r="I597" s="20" t="n">
        <x:v>45887</x:v>
      </x:c>
      <x:c r="J597" t="n">
        <x:v>20</x:v>
      </x:c>
      <x:c r="K597" t="n">
        <x:v>163113.81</x:v>
      </x:c>
      <x:c r="L597" t="str">
        <x:v>海運</x:v>
      </x:c>
      <x:c r="M597" t="n">
        <x:v>2</x:v>
      </x:c>
      <x:c r="N597" t="str">
        <x:v>否</x:v>
      </x:c>
      <x:c r="O597" t="n">
        <x:v>0</x:v>
      </x:c>
      <x:c r="P597"/>
    </x:row>
    <x:row r="598" ht="20" customHeight="1">
      <x:c r="A598" t="str">
        <x:v>SH000597</x:v>
      </x:c>
      <x:c r="B598" t="str">
        <x:v>SO00413-01</x:v>
      </x:c>
      <x:c r="C598" t="str">
        <x:v>WO00596</x:v>
      </x:c>
      <x:c r="D598" t="str">
        <x:v>LOT00596</x:v>
      </x:c>
      <x:c r="E598" t="str">
        <x:v>AUT-014</x:v>
      </x:c>
      <x:c r="F598" t="str">
        <x:v>MECH-CON-B</x:v>
      </x:c>
      <x:c r="G598" s="20" t="n">
        <x:v>45885</x:v>
      </x:c>
      <x:c r="H598" s="20" t="n">
        <x:v>45890</x:v>
      </x:c>
      <x:c r="I598" s="20" t="n">
        <x:v>45891</x:v>
      </x:c>
      <x:c r="J598" t="n">
        <x:v>20</x:v>
      </x:c>
      <x:c r="K598" t="n">
        <x:v>163113.81</x:v>
      </x:c>
      <x:c r="L598" t="str">
        <x:v>空運</x:v>
      </x:c>
      <x:c r="M598" t="n">
        <x:v>6</x:v>
      </x:c>
      <x:c r="N598" t="str">
        <x:v>否</x:v>
      </x:c>
      <x:c r="O598" t="n">
        <x:v>0</x:v>
      </x:c>
      <x:c r="P598"/>
    </x:row>
    <x:row r="599" ht="20" customHeight="1">
      <x:c r="A599" t="str">
        <x:v>SH000598</x:v>
      </x:c>
      <x:c r="B599" t="str">
        <x:v>SO00414-01</x:v>
      </x:c>
      <x:c r="C599" t="str">
        <x:v>WO00599</x:v>
      </x:c>
      <x:c r="D599" t="str">
        <x:v>LOT00599</x:v>
      </x:c>
      <x:c r="E599" t="str">
        <x:v>IAT-009</x:v>
      </x:c>
      <x:c r="F599" t="str">
        <x:v>AUTO-FL-A</x:v>
      </x:c>
      <x:c r="G599" s="20" t="n">
        <x:v>45863</x:v>
      </x:c>
      <x:c r="H599" s="20" t="n">
        <x:v>45859</x:v>
      </x:c>
      <x:c r="I599" s="20" t="n">
        <x:v>45864</x:v>
      </x:c>
      <x:c r="J599" t="n">
        <x:v>4965</x:v>
      </x:c>
      <x:c r="K599" t="n">
        <x:v>1284.43</x:v>
      </x:c>
      <x:c r="L599" t="str">
        <x:v>陸運</x:v>
      </x:c>
      <x:c r="M599" t="n">
        <x:v>1</x:v>
      </x:c>
      <x:c r="N599" t="str">
        <x:v>否</x:v>
      </x:c>
      <x:c r="O599" t="n">
        <x:v>0</x:v>
      </x:c>
      <x:c r="P599"/>
    </x:row>
    <x:row r="600" ht="20" customHeight="1">
      <x:c r="A600" t="str">
        <x:v>SH000599</x:v>
      </x:c>
      <x:c r="B600" t="str">
        <x:v>SO00414-01</x:v>
      </x:c>
      <x:c r="C600" t="str">
        <x:v>WO00598</x:v>
      </x:c>
      <x:c r="D600" t="str">
        <x:v>LOT00598</x:v>
      </x:c>
      <x:c r="E600" t="str">
        <x:v>IAT-009</x:v>
      </x:c>
      <x:c r="F600" t="str">
        <x:v>AUTO-FL-A</x:v>
      </x:c>
      <x:c r="G600" s="20" t="n">
        <x:v>45863</x:v>
      </x:c>
      <x:c r="H600" s="20" t="n">
        <x:v>45862</x:v>
      </x:c>
      <x:c r="I600" s="20" t="n">
        <x:v>45865</x:v>
      </x:c>
      <x:c r="J600" t="n">
        <x:v>4886</x:v>
      </x:c>
      <x:c r="K600" t="n">
        <x:v>1284.43</x:v>
      </x:c>
      <x:c r="L600" t="str">
        <x:v>海運</x:v>
      </x:c>
      <x:c r="M600" t="n">
        <x:v>2</x:v>
      </x:c>
      <x:c r="N600" t="str">
        <x:v>否</x:v>
      </x:c>
      <x:c r="O600" t="n">
        <x:v>0</x:v>
      </x:c>
      <x:c r="P600"/>
    </x:row>
    <x:row r="601" ht="20" customHeight="1">
      <x:c r="A601" t="str">
        <x:v>SH000600</x:v>
      </x:c>
      <x:c r="B601" t="str">
        <x:v>SO00415-01</x:v>
      </x:c>
      <x:c r="C601" t="str">
        <x:v>WO00600</x:v>
      </x:c>
      <x:c r="D601" t="str">
        <x:v>LOT00600</x:v>
      </x:c>
      <x:c r="E601" t="str">
        <x:v>EMS-004</x:v>
      </x:c>
      <x:c r="F601" t="str">
        <x:v>MECH-STG-B</x:v>
      </x:c>
      <x:c r="G601" s="20" t="n">
        <x:v>45897</x:v>
      </x:c>
      <x:c r="H601" s="20" t="n">
        <x:v>45895</x:v>
      </x:c>
      <x:c r="I601" s="20" t="n">
        <x:v>45896</x:v>
      </x:c>
      <x:c r="J601" t="n">
        <x:v>15</x:v>
      </x:c>
      <x:c r="K601" t="n">
        <x:v>185374.06</x:v>
      </x:c>
      <x:c r="L601" t="str">
        <x:v>空運</x:v>
      </x:c>
      <x:c r="M601" t="n">
        <x:v>0</x:v>
      </x:c>
      <x:c r="N601" t="str">
        <x:v>是</x:v>
      </x:c>
      <x:c r="O601" t="n">
        <x:v>0</x:v>
      </x:c>
      <x:c r="P601"/>
    </x:row>
    <x:row r="602" ht="20" customHeight="1">
      <x:c r="A602" t="str">
        <x:v>SH000601</x:v>
      </x:c>
      <x:c r="B602" t="str">
        <x:v>SO00415-01</x:v>
      </x:c>
      <x:c r="C602" t="str">
        <x:v>WO00601</x:v>
      </x:c>
      <x:c r="D602" t="str">
        <x:v>LOT00601</x:v>
      </x:c>
      <x:c r="E602" t="str">
        <x:v>EMS-004</x:v>
      </x:c>
      <x:c r="F602" t="str">
        <x:v>MECH-STG-B</x:v>
      </x:c>
      <x:c r="G602" s="20" t="n">
        <x:v>45897</x:v>
      </x:c>
      <x:c r="H602" s="20" t="n">
        <x:v>45897</x:v>
      </x:c>
      <x:c r="I602" s="20" t="n">
        <x:v>45899</x:v>
      </x:c>
      <x:c r="J602" t="n">
        <x:v>15</x:v>
      </x:c>
      <x:c r="K602" t="n">
        <x:v>185374.06</x:v>
      </x:c>
      <x:c r="L602" t="str">
        <x:v>空運</x:v>
      </x:c>
      <x:c r="M602" t="n">
        <x:v>2</x:v>
      </x:c>
      <x:c r="N602" t="str">
        <x:v>否</x:v>
      </x:c>
      <x:c r="O602" t="n">
        <x:v>0</x:v>
      </x:c>
      <x:c r="P602"/>
    </x:row>
    <x:row r="603" ht="20" customHeight="1">
      <x:c r="A603" t="str">
        <x:v>SH000602</x:v>
      </x:c>
      <x:c r="B603" t="str">
        <x:v>SO00416-01</x:v>
      </x:c>
      <x:c r="C603" t="str">
        <x:v>WO00602</x:v>
      </x:c>
      <x:c r="D603" t="str">
        <x:v>LOT00602</x:v>
      </x:c>
      <x:c r="E603" t="str">
        <x:v>IAT-007</x:v>
      </x:c>
      <x:c r="F603" t="str">
        <x:v>PM-BRG-A</x:v>
      </x:c>
      <x:c r="G603" s="20" t="n">
        <x:v>45870</x:v>
      </x:c>
      <x:c r="H603" s="20" t="n">
        <x:v>45870</x:v>
      </x:c>
      <x:c r="I603" s="20" t="n">
        <x:v>45875</x:v>
      </x:c>
      <x:c r="J603" t="n">
        <x:v>588</x:v>
      </x:c>
      <x:c r="K603" t="n">
        <x:v>6927.95</x:v>
      </x:c>
      <x:c r="L603" t="str">
        <x:v>陸運</x:v>
      </x:c>
      <x:c r="M603" t="n">
        <x:v>5</x:v>
      </x:c>
      <x:c r="N603" t="str">
        <x:v>否</x:v>
      </x:c>
      <x:c r="O603" t="n">
        <x:v>0</x:v>
      </x:c>
      <x:c r="P603"/>
    </x:row>
    <x:row r="604" ht="20" customHeight="1">
      <x:c r="A604" t="str">
        <x:v>SH000603</x:v>
      </x:c>
      <x:c r="B604" t="str">
        <x:v>SO00416-01</x:v>
      </x:c>
      <x:c r="C604" t="str">
        <x:v>WO00603</x:v>
      </x:c>
      <x:c r="D604" t="str">
        <x:v>LOT00603</x:v>
      </x:c>
      <x:c r="E604" t="str">
        <x:v>IAT-007</x:v>
      </x:c>
      <x:c r="F604" t="str">
        <x:v>PM-BRG-A</x:v>
      </x:c>
      <x:c r="G604" s="20" t="n">
        <x:v>45870</x:v>
      </x:c>
      <x:c r="H604" s="20" t="n">
        <x:v>45873</x:v>
      </x:c>
      <x:c r="I604" s="20" t="n">
        <x:v>45876</x:v>
      </x:c>
      <x:c r="J604" t="n">
        <x:v>583</x:v>
      </x:c>
      <x:c r="K604" t="n">
        <x:v>6927.95</x:v>
      </x:c>
      <x:c r="L604" t="str">
        <x:v>陸運</x:v>
      </x:c>
      <x:c r="M604" t="n">
        <x:v>6</x:v>
      </x:c>
      <x:c r="N604" t="str">
        <x:v>否</x:v>
      </x:c>
      <x:c r="O604" t="n">
        <x:v>0</x:v>
      </x:c>
      <x:c r="P604"/>
    </x:row>
    <x:row r="605" ht="20" customHeight="1">
      <x:c r="A605" t="str">
        <x:v>SH000604</x:v>
      </x:c>
      <x:c r="B605" t="str">
        <x:v>SO00417-01</x:v>
      </x:c>
      <x:c r="C605" t="str">
        <x:v>WO00604</x:v>
      </x:c>
      <x:c r="D605" t="str">
        <x:v>LOT00604</x:v>
      </x:c>
      <x:c r="E605" t="str">
        <x:v>IAT-004</x:v>
      </x:c>
      <x:c r="F605" t="str">
        <x:v>PM-SUS-A</x:v>
      </x:c>
      <x:c r="G605" s="20" t="n">
        <x:v>45860</x:v>
      </x:c>
      <x:c r="H605" s="20" t="n">
        <x:v>45857</x:v>
      </x:c>
      <x:c r="I605" s="20" t="n">
        <x:v>45858</x:v>
      </x:c>
      <x:c r="J605" t="n">
        <x:v>791</x:v>
      </x:c>
      <x:c r="K605" t="n">
        <x:v>10459.99</x:v>
      </x:c>
      <x:c r="L605" t="str">
        <x:v>海運</x:v>
      </x:c>
      <x:c r="M605" t="n">
        <x:v>0</x:v>
      </x:c>
      <x:c r="N605" t="str">
        <x:v>是</x:v>
      </x:c>
      <x:c r="O605" t="n">
        <x:v>0</x:v>
      </x:c>
      <x:c r="P605"/>
    </x:row>
    <x:row r="606" ht="20" customHeight="1">
      <x:c r="A606" t="str">
        <x:v>SH000605</x:v>
      </x:c>
      <x:c r="B606" t="str">
        <x:v>SO00418-01</x:v>
      </x:c>
      <x:c r="C606" t="str">
        <x:v>WO00605</x:v>
      </x:c>
      <x:c r="D606" t="str">
        <x:v>LOT00605</x:v>
      </x:c>
      <x:c r="E606" t="str">
        <x:v>IAT-008</x:v>
      </x:c>
      <x:c r="F606" t="str">
        <x:v>SEMI-WH-A</x:v>
      </x:c>
      <x:c r="G606" s="20" t="n">
        <x:v>45880</x:v>
      </x:c>
      <x:c r="H606" s="20" t="n">
        <x:v>45875</x:v>
      </x:c>
      <x:c r="I606" s="20" t="n">
        <x:v>45878</x:v>
      </x:c>
      <x:c r="J606" t="n">
        <x:v>78</x:v>
      </x:c>
      <x:c r="K606" t="n">
        <x:v>115339.63</x:v>
      </x:c>
      <x:c r="L606" t="str">
        <x:v>陸運</x:v>
      </x:c>
      <x:c r="M606" t="n">
        <x:v>0</x:v>
      </x:c>
      <x:c r="N606" t="str">
        <x:v>是</x:v>
      </x:c>
      <x:c r="O606" t="n">
        <x:v>0</x:v>
      </x:c>
      <x:c r="P606"/>
    </x:row>
    <x:row r="607" ht="20" customHeight="1">
      <x:c r="A607" t="str">
        <x:v>SH000606</x:v>
      </x:c>
      <x:c r="B607" t="str">
        <x:v>SO00418-01</x:v>
      </x:c>
      <x:c r="C607" t="str">
        <x:v>WO00606</x:v>
      </x:c>
      <x:c r="D607" t="str">
        <x:v>LOT00606</x:v>
      </x:c>
      <x:c r="E607" t="str">
        <x:v>IAT-008</x:v>
      </x:c>
      <x:c r="F607" t="str">
        <x:v>SEMI-WH-A</x:v>
      </x:c>
      <x:c r="G607" s="20" t="n">
        <x:v>45880</x:v>
      </x:c>
      <x:c r="H607" s="20" t="n">
        <x:v>45876</x:v>
      </x:c>
      <x:c r="I607" s="20" t="n">
        <x:v>45879</x:v>
      </x:c>
      <x:c r="J607" t="n">
        <x:v>79</x:v>
      </x:c>
      <x:c r="K607" t="n">
        <x:v>115339.63</x:v>
      </x:c>
      <x:c r="L607" t="str">
        <x:v>空運</x:v>
      </x:c>
      <x:c r="M607" t="n">
        <x:v>0</x:v>
      </x:c>
      <x:c r="N607" t="str">
        <x:v>是</x:v>
      </x:c>
      <x:c r="O607" t="n">
        <x:v>0</x:v>
      </x:c>
      <x:c r="P607"/>
    </x:row>
    <x:row r="608" ht="20" customHeight="1">
      <x:c r="A608" t="str">
        <x:v>SH000607</x:v>
      </x:c>
      <x:c r="B608" t="str">
        <x:v>SO00419-01</x:v>
      </x:c>
      <x:c r="C608" t="str">
        <x:v>WO00607</x:v>
      </x:c>
      <x:c r="D608" t="str">
        <x:v>LOT00607</x:v>
      </x:c>
      <x:c r="E608" t="str">
        <x:v>IAT-006</x:v>
      </x:c>
      <x:c r="F608" t="str">
        <x:v>PM-ALB-B</x:v>
      </x:c>
      <x:c r="G608" s="20" t="n">
        <x:v>45857</x:v>
      </x:c>
      <x:c r="H608" s="20" t="n">
        <x:v>45857</x:v>
      </x:c>
      <x:c r="I608" s="20" t="n">
        <x:v>45858</x:v>
      </x:c>
      <x:c r="J608" t="n">
        <x:v>491</x:v>
      </x:c>
      <x:c r="K608" t="n">
        <x:v>16166.43</x:v>
      </x:c>
      <x:c r="L608" t="str">
        <x:v>空運</x:v>
      </x:c>
      <x:c r="M608" t="n">
        <x:v>1</x:v>
      </x:c>
      <x:c r="N608" t="str">
        <x:v>否</x:v>
      </x:c>
      <x:c r="O608" t="n">
        <x:v>0</x:v>
      </x:c>
      <x:c r="P608"/>
    </x:row>
    <x:row r="609" ht="20" customHeight="1">
      <x:c r="A609" t="str">
        <x:v>SH000608</x:v>
      </x:c>
      <x:c r="B609" t="str">
        <x:v>SO00420-01</x:v>
      </x:c>
      <x:c r="C609" t="str">
        <x:v>WO00608</x:v>
      </x:c>
      <x:c r="D609" t="str">
        <x:v>LOT00608</x:v>
      </x:c>
      <x:c r="E609" t="str">
        <x:v>EMS-007</x:v>
      </x:c>
      <x:c r="F609" t="str">
        <x:v>AUTO-KN-A</x:v>
      </x:c>
      <x:c r="G609" s="20" t="n">
        <x:v>45841</x:v>
      </x:c>
      <x:c r="H609" s="20" t="n">
        <x:v>45835</x:v>
      </x:c>
      <x:c r="I609" s="20" t="n">
        <x:v>45838</x:v>
      </x:c>
      <x:c r="J609" t="n">
        <x:v>4941</x:v>
      </x:c>
      <x:c r="K609" t="n">
        <x:v>3096.06</x:v>
      </x:c>
      <x:c r="L609" t="str">
        <x:v>陸運</x:v>
      </x:c>
      <x:c r="M609" t="n">
        <x:v>0</x:v>
      </x:c>
      <x:c r="N609" t="str">
        <x:v>是</x:v>
      </x:c>
      <x:c r="O609" t="n">
        <x:v>0</x:v>
      </x:c>
      <x:c r="P609"/>
    </x:row>
    <x:row r="610" ht="20" customHeight="1">
      <x:c r="A610" t="str">
        <x:v>SH000609</x:v>
      </x:c>
      <x:c r="B610" t="str">
        <x:v>SO00420-01</x:v>
      </x:c>
      <x:c r="C610" t="str">
        <x:v>WO00609</x:v>
      </x:c>
      <x:c r="D610" t="str">
        <x:v>LOT00609</x:v>
      </x:c>
      <x:c r="E610" t="str">
        <x:v>EMS-007</x:v>
      </x:c>
      <x:c r="F610" t="str">
        <x:v>AUTO-KN-A</x:v>
      </x:c>
      <x:c r="G610" s="20" t="n">
        <x:v>45841</x:v>
      </x:c>
      <x:c r="H610" s="20" t="n">
        <x:v>45839</x:v>
      </x:c>
      <x:c r="I610" s="20" t="n">
        <x:v>45841</x:v>
      </x:c>
      <x:c r="J610" t="n">
        <x:v>4888</x:v>
      </x:c>
      <x:c r="K610" t="n">
        <x:v>3096.06</x:v>
      </x:c>
      <x:c r="L610" t="str">
        <x:v>空運</x:v>
      </x:c>
      <x:c r="M610" t="n">
        <x:v>0</x:v>
      </x:c>
      <x:c r="N610" t="str">
        <x:v>是</x:v>
      </x:c>
      <x:c r="O610" t="n">
        <x:v>0</x:v>
      </x:c>
      <x:c r="P610"/>
    </x:row>
    <x:row r="611" ht="20" customHeight="1">
      <x:c r="A611" t="str">
        <x:v>SH000610</x:v>
      </x:c>
      <x:c r="B611" t="str">
        <x:v>SO00421-01</x:v>
      </x:c>
      <x:c r="C611" t="str">
        <x:v>WO00612</x:v>
      </x:c>
      <x:c r="D611" t="str">
        <x:v>LOT00612</x:v>
      </x:c>
      <x:c r="E611" t="str">
        <x:v>EMS-008</x:v>
      </x:c>
      <x:c r="F611" t="str">
        <x:v>MECH-CON-A</x:v>
      </x:c>
      <x:c r="G611" s="20" t="n">
        <x:v>45857</x:v>
      </x:c>
      <x:c r="H611" s="20" t="n">
        <x:v>45853</x:v>
      </x:c>
      <x:c r="I611" s="20" t="n">
        <x:v>45858</x:v>
      </x:c>
      <x:c r="J611" t="n">
        <x:v>16</x:v>
      </x:c>
      <x:c r="K611" t="n">
        <x:v>111803.25</x:v>
      </x:c>
      <x:c r="L611" t="str">
        <x:v>空運</x:v>
      </x:c>
      <x:c r="M611" t="n">
        <x:v>1</x:v>
      </x:c>
      <x:c r="N611" t="str">
        <x:v>否</x:v>
      </x:c>
      <x:c r="O611" t="n">
        <x:v>0</x:v>
      </x:c>
      <x:c r="P611"/>
    </x:row>
    <x:row r="612" ht="20" customHeight="1">
      <x:c r="A612" t="str">
        <x:v>SH000611</x:v>
      </x:c>
      <x:c r="B612" t="str">
        <x:v>SO00421-01</x:v>
      </x:c>
      <x:c r="C612" t="str">
        <x:v>WO00611</x:v>
      </x:c>
      <x:c r="D612" t="str">
        <x:v>LOT00611</x:v>
      </x:c>
      <x:c r="E612" t="str">
        <x:v>EMS-008</x:v>
      </x:c>
      <x:c r="F612" t="str">
        <x:v>MECH-CON-A</x:v>
      </x:c>
      <x:c r="G612" s="20" t="n">
        <x:v>45857</x:v>
      </x:c>
      <x:c r="H612" s="20" t="n">
        <x:v>45857</x:v>
      </x:c>
      <x:c r="I612" s="20" t="n">
        <x:v>45860</x:v>
      </x:c>
      <x:c r="J612" t="n">
        <x:v>17</x:v>
      </x:c>
      <x:c r="K612" t="n">
        <x:v>111803.25</x:v>
      </x:c>
      <x:c r="L612" t="str">
        <x:v>海運</x:v>
      </x:c>
      <x:c r="M612" t="n">
        <x:v>3</x:v>
      </x:c>
      <x:c r="N612" t="str">
        <x:v>否</x:v>
      </x:c>
      <x:c r="O612" t="n">
        <x:v>0</x:v>
      </x:c>
      <x:c r="P612"/>
    </x:row>
    <x:row r="613" ht="20" customHeight="1">
      <x:c r="A613" t="str">
        <x:v>SH000612</x:v>
      </x:c>
      <x:c r="B613" t="str">
        <x:v>SO00421-01</x:v>
      </x:c>
      <x:c r="C613" t="str">
        <x:v>WO00610</x:v>
      </x:c>
      <x:c r="D613" t="str">
        <x:v>LOT00610</x:v>
      </x:c>
      <x:c r="E613" t="str">
        <x:v>EMS-008</x:v>
      </x:c>
      <x:c r="F613" t="str">
        <x:v>MECH-CON-A</x:v>
      </x:c>
      <x:c r="G613" s="20" t="n">
        <x:v>45857</x:v>
      </x:c>
      <x:c r="H613" s="20" t="n">
        <x:v>45857</x:v>
      </x:c>
      <x:c r="I613" s="20" t="n">
        <x:v>45859</x:v>
      </x:c>
      <x:c r="J613" t="n">
        <x:v>17</x:v>
      </x:c>
      <x:c r="K613" t="n">
        <x:v>111803.25</x:v>
      </x:c>
      <x:c r="L613" t="str">
        <x:v>空運</x:v>
      </x:c>
      <x:c r="M613" t="n">
        <x:v>2</x:v>
      </x:c>
      <x:c r="N613" t="str">
        <x:v>否</x:v>
      </x:c>
      <x:c r="O613" t="n">
        <x:v>0</x:v>
      </x:c>
      <x:c r="P613"/>
    </x:row>
    <x:row r="614" ht="20" customHeight="1">
      <x:c r="A614" t="str">
        <x:v>SH000613</x:v>
      </x:c>
      <x:c r="B614" t="str">
        <x:v>SO00422-01</x:v>
      </x:c>
      <x:c r="C614" t="str">
        <x:v>WO00613</x:v>
      </x:c>
      <x:c r="D614" t="str">
        <x:v>LOT00613</x:v>
      </x:c>
      <x:c r="E614" t="str">
        <x:v>EMS-005</x:v>
      </x:c>
      <x:c r="F614" t="str">
        <x:v>SEMI-CHB-B</x:v>
      </x:c>
      <x:c r="G614" s="20" t="n">
        <x:v>45873</x:v>
      </x:c>
      <x:c r="H614" s="20" t="n">
        <x:v>45867</x:v>
      </x:c>
      <x:c r="I614" s="20" t="n">
        <x:v>45868</x:v>
      </x:c>
      <x:c r="J614" t="n">
        <x:v>78</x:v>
      </x:c>
      <x:c r="K614" t="n">
        <x:v>128571.78</x:v>
      </x:c>
      <x:c r="L614" t="str">
        <x:v>空運</x:v>
      </x:c>
      <x:c r="M614" t="n">
        <x:v>0</x:v>
      </x:c>
      <x:c r="N614" t="str">
        <x:v>是</x:v>
      </x:c>
      <x:c r="O614" t="n">
        <x:v>0</x:v>
      </x:c>
      <x:c r="P614"/>
    </x:row>
    <x:row r="615" ht="20" customHeight="1">
      <x:c r="A615" t="str">
        <x:v>SH000614</x:v>
      </x:c>
      <x:c r="B615" t="str">
        <x:v>SO00423-01</x:v>
      </x:c>
      <x:c r="C615" t="str">
        <x:v>WO00614</x:v>
      </x:c>
      <x:c r="D615" t="str">
        <x:v>LOT00614</x:v>
      </x:c>
      <x:c r="E615" t="str">
        <x:v>EMS-007</x:v>
      </x:c>
      <x:c r="F615" t="str">
        <x:v>PM-BRG-A</x:v>
      </x:c>
      <x:c r="G615" s="20" t="n">
        <x:v>45849</x:v>
      </x:c>
      <x:c r="H615" s="20" t="n">
        <x:v>45845</x:v>
      </x:c>
      <x:c r="I615" s="20" t="n">
        <x:v>45847</x:v>
      </x:c>
      <x:c r="J615" t="n">
        <x:v>587</x:v>
      </x:c>
      <x:c r="K615" t="n">
        <x:v>6894.66</x:v>
      </x:c>
      <x:c r="L615" t="str">
        <x:v>陸運</x:v>
      </x:c>
      <x:c r="M615" t="n">
        <x:v>0</x:v>
      </x:c>
      <x:c r="N615" t="str">
        <x:v>是</x:v>
      </x:c>
      <x:c r="O615" t="n">
        <x:v>0</x:v>
      </x:c>
      <x:c r="P615"/>
    </x:row>
    <x:row r="616" ht="20" customHeight="1">
      <x:c r="A616" t="str">
        <x:v>SH000615</x:v>
      </x:c>
      <x:c r="B616" t="str">
        <x:v>SO00423-01</x:v>
      </x:c>
      <x:c r="C616" t="str">
        <x:v>WO00615</x:v>
      </x:c>
      <x:c r="D616" t="str">
        <x:v>LOT00615</x:v>
      </x:c>
      <x:c r="E616" t="str">
        <x:v>EMS-007</x:v>
      </x:c>
      <x:c r="F616" t="str">
        <x:v>PM-BRG-A</x:v>
      </x:c>
      <x:c r="G616" s="20" t="n">
        <x:v>45849</x:v>
      </x:c>
      <x:c r="H616" s="20" t="n">
        <x:v>45849</x:v>
      </x:c>
      <x:c r="I616" s="20" t="n">
        <x:v>45851</x:v>
      </x:c>
      <x:c r="J616" t="n">
        <x:v>591</x:v>
      </x:c>
      <x:c r="K616" t="n">
        <x:v>6894.66</x:v>
      </x:c>
      <x:c r="L616" t="str">
        <x:v>海運</x:v>
      </x:c>
      <x:c r="M616" t="n">
        <x:v>2</x:v>
      </x:c>
      <x:c r="N616" t="str">
        <x:v>否</x:v>
      </x:c>
      <x:c r="O616" t="n">
        <x:v>0</x:v>
      </x:c>
      <x:c r="P616"/>
    </x:row>
    <x:row r="617" ht="20" customHeight="1">
      <x:c r="A617" t="str">
        <x:v>SH000616</x:v>
      </x:c>
      <x:c r="B617" t="str">
        <x:v>SO00424-01</x:v>
      </x:c>
      <x:c r="C617" t="str">
        <x:v>WO00616</x:v>
      </x:c>
      <x:c r="D617" t="str">
        <x:v>LOT00616</x:v>
      </x:c>
      <x:c r="E617" t="str">
        <x:v>AFT-008</x:v>
      </x:c>
      <x:c r="F617" t="str">
        <x:v>PM-BRG-A</x:v>
      </x:c>
      <x:c r="G617" s="20" t="n">
        <x:v>45853</x:v>
      </x:c>
      <x:c r="H617" s="20" t="n">
        <x:v>45851</x:v>
      </x:c>
      <x:c r="I617" s="20" t="n">
        <x:v>45852</x:v>
      </x:c>
      <x:c r="J617" t="n">
        <x:v>782</x:v>
      </x:c>
      <x:c r="K617" t="n">
        <x:v>6362.99</x:v>
      </x:c>
      <x:c r="L617" t="str">
        <x:v>海運</x:v>
      </x:c>
      <x:c r="M617" t="n">
        <x:v>0</x:v>
      </x:c>
      <x:c r="N617" t="str">
        <x:v>是</x:v>
      </x:c>
      <x:c r="O617" t="n">
        <x:v>0</x:v>
      </x:c>
      <x:c r="P617"/>
    </x:row>
    <x:row r="618" ht="20" customHeight="1">
      <x:c r="A618" t="str">
        <x:v>SH000617</x:v>
      </x:c>
      <x:c r="B618" t="str">
        <x:v>SO00425-01</x:v>
      </x:c>
      <x:c r="C618" t="str">
        <x:v>WO00617</x:v>
      </x:c>
      <x:c r="D618" t="str">
        <x:v>LOT00617</x:v>
      </x:c>
      <x:c r="E618" t="str">
        <x:v>SEM-001</x:v>
      </x:c>
      <x:c r="F618" t="str">
        <x:v>SEMI-WH-B</x:v>
      </x:c>
      <x:c r="G618" s="20" t="n">
        <x:v>45899</x:v>
      </x:c>
      <x:c r="H618" s="20" t="n">
        <x:v>45898</x:v>
      </x:c>
      <x:c r="I618" s="20" t="n">
        <x:v>45902</x:v>
      </x:c>
      <x:c r="J618" t="n">
        <x:v>58</x:v>
      </x:c>
      <x:c r="K618" t="n">
        <x:v>168374.29</x:v>
      </x:c>
      <x:c r="L618" t="str">
        <x:v>陸運</x:v>
      </x:c>
      <x:c r="M618" t="n">
        <x:v>3</x:v>
      </x:c>
      <x:c r="N618" t="str">
        <x:v>否</x:v>
      </x:c>
      <x:c r="O618" t="n">
        <x:v>0</x:v>
      </x:c>
      <x:c r="P618"/>
    </x:row>
    <x:row r="619" ht="20" customHeight="1">
      <x:c r="A619" t="str">
        <x:v>SH000618</x:v>
      </x:c>
      <x:c r="B619" t="str">
        <x:v>SO00426-01</x:v>
      </x:c>
      <x:c r="C619" t="str">
        <x:v>WO00618</x:v>
      </x:c>
      <x:c r="D619" t="str">
        <x:v>LOT00618</x:v>
      </x:c>
      <x:c r="E619" t="str">
        <x:v>SEM-003</x:v>
      </x:c>
      <x:c r="F619" t="str">
        <x:v>MECH-CON-B</x:v>
      </x:c>
      <x:c r="G619" s="20" t="n">
        <x:v>45879</x:v>
      </x:c>
      <x:c r="H619" s="20" t="n">
        <x:v>45879</x:v>
      </x:c>
      <x:c r="I619" s="20" t="n">
        <x:v>45880</x:v>
      </x:c>
      <x:c r="J619" t="n">
        <x:v>15</x:v>
      </x:c>
      <x:c r="K619" t="n">
        <x:v>158418.6</x:v>
      </x:c>
      <x:c r="L619" t="str">
        <x:v>空運</x:v>
      </x:c>
      <x:c r="M619" t="n">
        <x:v>1</x:v>
      </x:c>
      <x:c r="N619" t="str">
        <x:v>否</x:v>
      </x:c>
      <x:c r="O619" t="n">
        <x:v>0</x:v>
      </x:c>
      <x:c r="P619"/>
    </x:row>
    <x:row r="620" ht="20" customHeight="1">
      <x:c r="A620" t="str">
        <x:v>SH000619</x:v>
      </x:c>
      <x:c r="B620" t="str">
        <x:v>SO00426-01</x:v>
      </x:c>
      <x:c r="C620" t="str">
        <x:v>WO00619</x:v>
      </x:c>
      <x:c r="D620" t="str">
        <x:v>LOT00619</x:v>
      </x:c>
      <x:c r="E620" t="str">
        <x:v>SEM-003</x:v>
      </x:c>
      <x:c r="F620" t="str">
        <x:v>MECH-CON-B</x:v>
      </x:c>
      <x:c r="G620" s="20" t="n">
        <x:v>45879</x:v>
      </x:c>
      <x:c r="H620" s="20" t="n">
        <x:v>45886</x:v>
      </x:c>
      <x:c r="I620" s="20" t="n">
        <x:v>45891</x:v>
      </x:c>
      <x:c r="J620" t="n">
        <x:v>15</x:v>
      </x:c>
      <x:c r="K620" t="n">
        <x:v>158418.6</x:v>
      </x:c>
      <x:c r="L620" t="str">
        <x:v>海運</x:v>
      </x:c>
      <x:c r="M620" t="n">
        <x:v>12</x:v>
      </x:c>
      <x:c r="N620" t="str">
        <x:v>否</x:v>
      </x:c>
      <x:c r="O620" t="n">
        <x:v>0</x:v>
      </x:c>
      <x:c r="P620"/>
    </x:row>
    <x:row r="621" ht="20" customHeight="1">
      <x:c r="A621" t="str">
        <x:v>SH000620</x:v>
      </x:c>
      <x:c r="B621" t="str">
        <x:v>SO00427-01</x:v>
      </x:c>
      <x:c r="C621" t="str">
        <x:v>WO00621</x:v>
      </x:c>
      <x:c r="D621" t="str">
        <x:v>LOT00621</x:v>
      </x:c>
      <x:c r="E621" t="str">
        <x:v>AUT-001</x:v>
      </x:c>
      <x:c r="F621" t="str">
        <x:v>MECH-CON-A</x:v>
      </x:c>
      <x:c r="G621" s="20" t="n">
        <x:v>45904</x:v>
      </x:c>
      <x:c r="H621" s="20" t="n">
        <x:v>45900</x:v>
      </x:c>
      <x:c r="I621" s="20" t="n">
        <x:v>45904</x:v>
      </x:c>
      <x:c r="J621" t="n">
        <x:v>20</x:v>
      </x:c>
      <x:c r="K621" t="n">
        <x:v>117065.89</x:v>
      </x:c>
      <x:c r="L621" t="str">
        <x:v>海運</x:v>
      </x:c>
      <x:c r="M621" t="n">
        <x:v>0</x:v>
      </x:c>
      <x:c r="N621" t="str">
        <x:v>是</x:v>
      </x:c>
      <x:c r="O621" t="n">
        <x:v>0</x:v>
      </x:c>
      <x:c r="P621"/>
    </x:row>
    <x:row r="622" ht="20" customHeight="1">
      <x:c r="A622" t="str">
        <x:v>SH000621</x:v>
      </x:c>
      <x:c r="B622" t="str">
        <x:v>SO00427-01</x:v>
      </x:c>
      <x:c r="C622" t="str">
        <x:v>WO00620</x:v>
      </x:c>
      <x:c r="D622" t="str">
        <x:v>LOT00620</x:v>
      </x:c>
      <x:c r="E622" t="str">
        <x:v>AUT-001</x:v>
      </x:c>
      <x:c r="F622" t="str">
        <x:v>MECH-CON-A</x:v>
      </x:c>
      <x:c r="G622" s="20" t="n">
        <x:v>45904</x:v>
      </x:c>
      <x:c r="H622" s="20" t="n">
        <x:v>45901</x:v>
      </x:c>
      <x:c r="I622" s="20" t="n">
        <x:v>45905</x:v>
      </x:c>
      <x:c r="J622" t="n">
        <x:v>20</x:v>
      </x:c>
      <x:c r="K622" t="n">
        <x:v>117065.89</x:v>
      </x:c>
      <x:c r="L622" t="str">
        <x:v>陸運</x:v>
      </x:c>
      <x:c r="M622" t="n">
        <x:v>1</x:v>
      </x:c>
      <x:c r="N622" t="str">
        <x:v>否</x:v>
      </x:c>
      <x:c r="O622" t="n">
        <x:v>0</x:v>
      </x:c>
      <x:c r="P622"/>
    </x:row>
    <x:row r="623" ht="20" customHeight="1">
      <x:c r="A623" t="str">
        <x:v>SH000622</x:v>
      </x:c>
      <x:c r="B623" t="str">
        <x:v>SO00428-01</x:v>
      </x:c>
      <x:c r="C623" t="str">
        <x:v>WO00622</x:v>
      </x:c>
      <x:c r="D623" t="str">
        <x:v>LOT00622</x:v>
      </x:c>
      <x:c r="E623" t="str">
        <x:v>AUT-011</x:v>
      </x:c>
      <x:c r="F623" t="str">
        <x:v>PM-BRG-A</x:v>
      </x:c>
      <x:c r="G623" s="20" t="n">
        <x:v>45874</x:v>
      </x:c>
      <x:c r="H623" s="20" t="n">
        <x:v>45873</x:v>
      </x:c>
      <x:c r="I623" s="20" t="n">
        <x:v>45877</x:v>
      </x:c>
      <x:c r="J623" t="n">
        <x:v>296</x:v>
      </x:c>
      <x:c r="K623" t="n">
        <x:v>6786.81</x:v>
      </x:c>
      <x:c r="L623" t="str">
        <x:v>空運</x:v>
      </x:c>
      <x:c r="M623" t="n">
        <x:v>3</x:v>
      </x:c>
      <x:c r="N623" t="str">
        <x:v>否</x:v>
      </x:c>
      <x:c r="O623" t="n">
        <x:v>0</x:v>
      </x:c>
      <x:c r="P623"/>
    </x:row>
    <x:row r="624" ht="20" customHeight="1">
      <x:c r="A624" t="str">
        <x:v>SH000623</x:v>
      </x:c>
      <x:c r="B624" t="str">
        <x:v>SO00429-01</x:v>
      </x:c>
      <x:c r="C624" t="str">
        <x:v>WO00623</x:v>
      </x:c>
      <x:c r="D624" t="str">
        <x:v>LOT00623</x:v>
      </x:c>
      <x:c r="E624" t="str">
        <x:v>EMS-007</x:v>
      </x:c>
      <x:c r="F624" t="str">
        <x:v>AUTO-KN-B</x:v>
      </x:c>
      <x:c r="G624" s="20" t="n">
        <x:v>45880</x:v>
      </x:c>
      <x:c r="H624" s="20" t="n">
        <x:v>45879</x:v>
      </x:c>
      <x:c r="I624" s="20" t="n">
        <x:v>45882</x:v>
      </x:c>
      <x:c r="J624" t="n">
        <x:v>2954</x:v>
      </x:c>
      <x:c r="K624" t="n">
        <x:v>3659.54</x:v>
      </x:c>
      <x:c r="L624" t="str">
        <x:v>空運</x:v>
      </x:c>
      <x:c r="M624" t="n">
        <x:v>2</x:v>
      </x:c>
      <x:c r="N624" t="str">
        <x:v>否</x:v>
      </x:c>
      <x:c r="O624" t="n">
        <x:v>0</x:v>
      </x:c>
      <x:c r="P624"/>
    </x:row>
    <x:row r="625" ht="20" customHeight="1">
      <x:c r="A625" t="str">
        <x:v>SH000624</x:v>
      </x:c>
      <x:c r="B625" t="str">
        <x:v>SO00430-01</x:v>
      </x:c>
      <x:c r="C625" t="str">
        <x:v>WO00624</x:v>
      </x:c>
      <x:c r="D625" t="str">
        <x:v>LOT00624</x:v>
      </x:c>
      <x:c r="E625" t="str">
        <x:v>IAT-002</x:v>
      </x:c>
      <x:c r="F625" t="str">
        <x:v>PM-VAC-B</x:v>
      </x:c>
      <x:c r="G625" s="20" t="n">
        <x:v>45892</x:v>
      </x:c>
      <x:c r="H625" s="20" t="n">
        <x:v>45890</x:v>
      </x:c>
      <x:c r="I625" s="20" t="n">
        <x:v>45892</x:v>
      </x:c>
      <x:c r="J625" t="n">
        <x:v>490</x:v>
      </x:c>
      <x:c r="K625" t="n">
        <x:v>23059.2</x:v>
      </x:c>
      <x:c r="L625" t="str">
        <x:v>空運</x:v>
      </x:c>
      <x:c r="M625" t="n">
        <x:v>0</x:v>
      </x:c>
      <x:c r="N625" t="str">
        <x:v>是</x:v>
      </x:c>
      <x:c r="O625" t="n">
        <x:v>0</x:v>
      </x:c>
      <x:c r="P625"/>
    </x:row>
    <x:row r="626" ht="20" customHeight="1">
      <x:c r="A626" t="str">
        <x:v>SH000625</x:v>
      </x:c>
      <x:c r="B626" t="str">
        <x:v>SO00431-01</x:v>
      </x:c>
      <x:c r="C626" t="str">
        <x:v>WO00625</x:v>
      </x:c>
      <x:c r="D626" t="str">
        <x:v>LOT00625</x:v>
      </x:c>
      <x:c r="E626" t="str">
        <x:v>AFT-004</x:v>
      </x:c>
      <x:c r="F626" t="str">
        <x:v>PM-BRG-B</x:v>
      </x:c>
      <x:c r="G626" s="20" t="n">
        <x:v>45888</x:v>
      </x:c>
      <x:c r="H626" s="20" t="n">
        <x:v>45887</x:v>
      </x:c>
      <x:c r="I626" s="20" t="n">
        <x:v>45889</x:v>
      </x:c>
      <x:c r="J626" t="n">
        <x:v>787</x:v>
      </x:c>
      <x:c r="K626" t="n">
        <x:v>7619.72</x:v>
      </x:c>
      <x:c r="L626" t="str">
        <x:v>空運</x:v>
      </x:c>
      <x:c r="M626" t="n">
        <x:v>1</x:v>
      </x:c>
      <x:c r="N626" t="str">
        <x:v>否</x:v>
      </x:c>
      <x:c r="O626" t="n">
        <x:v>0</x:v>
      </x:c>
      <x:c r="P626"/>
    </x:row>
    <x:row r="627" ht="20" customHeight="1">
      <x:c r="A627" t="str">
        <x:v>SH000626</x:v>
      </x:c>
      <x:c r="B627" t="str">
        <x:v>SO00431-01</x:v>
      </x:c>
      <x:c r="C627" t="str">
        <x:v>WO00626</x:v>
      </x:c>
      <x:c r="D627" t="str">
        <x:v>LOT00626</x:v>
      </x:c>
      <x:c r="E627" t="str">
        <x:v>AFT-004</x:v>
      </x:c>
      <x:c r="F627" t="str">
        <x:v>PM-BRG-B</x:v>
      </x:c>
      <x:c r="G627" s="20" t="n">
        <x:v>45888</x:v>
      </x:c>
      <x:c r="H627" s="20" t="n">
        <x:v>45891</x:v>
      </x:c>
      <x:c r="I627" s="20" t="n">
        <x:v>45893</x:v>
      </x:c>
      <x:c r="J627" t="n">
        <x:v>784</x:v>
      </x:c>
      <x:c r="K627" t="n">
        <x:v>7619.72</x:v>
      </x:c>
      <x:c r="L627" t="str">
        <x:v>海運</x:v>
      </x:c>
      <x:c r="M627" t="n">
        <x:v>5</x:v>
      </x:c>
      <x:c r="N627" t="str">
        <x:v>否</x:v>
      </x:c>
      <x:c r="O627" t="n">
        <x:v>0</x:v>
      </x:c>
      <x:c r="P627"/>
    </x:row>
    <x:row r="628" ht="20" customHeight="1">
      <x:c r="A628" t="str">
        <x:v>SH000627</x:v>
      </x:c>
      <x:c r="B628" t="str">
        <x:v>SO00432-01</x:v>
      </x:c>
      <x:c r="C628" t="str">
        <x:v>WO00627</x:v>
      </x:c>
      <x:c r="D628" t="str">
        <x:v>LOT00627</x:v>
      </x:c>
      <x:c r="E628" t="str">
        <x:v>IAT-009</x:v>
      </x:c>
      <x:c r="F628" t="str">
        <x:v>AUTO-BS-A</x:v>
      </x:c>
      <x:c r="G628" s="20" t="n">
        <x:v>45886</x:v>
      </x:c>
      <x:c r="H628" s="20" t="n">
        <x:v>45883</x:v>
      </x:c>
      <x:c r="I628" s="20" t="n">
        <x:v>45888</x:v>
      </x:c>
      <x:c r="J628" t="n">
        <x:v>6419</x:v>
      </x:c>
      <x:c r="K628" t="n">
        <x:v>752.52</x:v>
      </x:c>
      <x:c r="L628" t="str">
        <x:v>海運</x:v>
      </x:c>
      <x:c r="M628" t="n">
        <x:v>2</x:v>
      </x:c>
      <x:c r="N628" t="str">
        <x:v>否</x:v>
      </x:c>
      <x:c r="O628" t="n">
        <x:v>0</x:v>
      </x:c>
      <x:c r="P628"/>
    </x:row>
    <x:row r="629" ht="20" customHeight="1">
      <x:c r="A629" t="str">
        <x:v>SH000628</x:v>
      </x:c>
      <x:c r="B629" t="str">
        <x:v>SO00432-01</x:v>
      </x:c>
      <x:c r="C629" t="str">
        <x:v>WO00628</x:v>
      </x:c>
      <x:c r="D629" t="str">
        <x:v>LOT00628</x:v>
      </x:c>
      <x:c r="E629" t="str">
        <x:v>IAT-009</x:v>
      </x:c>
      <x:c r="F629" t="str">
        <x:v>AUTO-BS-A</x:v>
      </x:c>
      <x:c r="G629" s="20" t="n">
        <x:v>45886</x:v>
      </x:c>
      <x:c r="H629" s="20" t="n">
        <x:v>45887</x:v>
      </x:c>
      <x:c r="I629" s="20" t="n">
        <x:v>45888</x:v>
      </x:c>
      <x:c r="J629" t="n">
        <x:v>6456</x:v>
      </x:c>
      <x:c r="K629" t="n">
        <x:v>752.52</x:v>
      </x:c>
      <x:c r="L629" t="str">
        <x:v>海運</x:v>
      </x:c>
      <x:c r="M629" t="n">
        <x:v>2</x:v>
      </x:c>
      <x:c r="N629" t="str">
        <x:v>否</x:v>
      </x:c>
      <x:c r="O629" t="n">
        <x:v>0</x:v>
      </x:c>
      <x:c r="P629"/>
    </x:row>
    <x:row r="630" ht="20" customHeight="1">
      <x:c r="A630" t="str">
        <x:v>SH000629</x:v>
      </x:c>
      <x:c r="B630" t="str">
        <x:v>SO00433-01</x:v>
      </x:c>
      <x:c r="C630" t="str">
        <x:v>WO00629</x:v>
      </x:c>
      <x:c r="D630" t="str">
        <x:v>LOT00629</x:v>
      </x:c>
      <x:c r="E630" t="str">
        <x:v>AFT-003</x:v>
      </x:c>
      <x:c r="F630" t="str">
        <x:v>AUTO-FL-A</x:v>
      </x:c>
      <x:c r="G630" s="20" t="n">
        <x:v>45870</x:v>
      </x:c>
      <x:c r="H630" s="20" t="n">
        <x:v>45867</x:v>
      </x:c>
      <x:c r="I630" s="20" t="n">
        <x:v>45869</x:v>
      </x:c>
      <x:c r="J630" t="n">
        <x:v>6417</x:v>
      </x:c>
      <x:c r="K630" t="n">
        <x:v>1320.85</x:v>
      </x:c>
      <x:c r="L630" t="str">
        <x:v>陸運</x:v>
      </x:c>
      <x:c r="M630" t="n">
        <x:v>0</x:v>
      </x:c>
      <x:c r="N630" t="str">
        <x:v>是</x:v>
      </x:c>
      <x:c r="O630" t="n">
        <x:v>0</x:v>
      </x:c>
      <x:c r="P630"/>
    </x:row>
    <x:row r="631" ht="20" customHeight="1">
      <x:c r="A631" t="str">
        <x:v>SH000630</x:v>
      </x:c>
      <x:c r="B631" t="str">
        <x:v>SO00433-01</x:v>
      </x:c>
      <x:c r="C631" t="str">
        <x:v>WO00630</x:v>
      </x:c>
      <x:c r="D631" t="str">
        <x:v>LOT00630</x:v>
      </x:c>
      <x:c r="E631" t="str">
        <x:v>AFT-003</x:v>
      </x:c>
      <x:c r="F631" t="str">
        <x:v>AUTO-FL-A</x:v>
      </x:c>
      <x:c r="G631" s="20" t="n">
        <x:v>45870</x:v>
      </x:c>
      <x:c r="H631" s="20" t="n">
        <x:v>45869</x:v>
      </x:c>
      <x:c r="I631" s="20" t="n">
        <x:v>45871</x:v>
      </x:c>
      <x:c r="J631" t="n">
        <x:v>6399</x:v>
      </x:c>
      <x:c r="K631" t="n">
        <x:v>1320.85</x:v>
      </x:c>
      <x:c r="L631" t="str">
        <x:v>陸運</x:v>
      </x:c>
      <x:c r="M631" t="n">
        <x:v>1</x:v>
      </x:c>
      <x:c r="N631" t="str">
        <x:v>否</x:v>
      </x:c>
      <x:c r="O631" t="n">
        <x:v>0</x:v>
      </x:c>
      <x:c r="P631"/>
    </x:row>
    <x:row r="632" ht="20" customHeight="1">
      <x:c r="A632" t="str">
        <x:v>SH000631</x:v>
      </x:c>
      <x:c r="B632" t="str">
        <x:v>SO00434-01</x:v>
      </x:c>
      <x:c r="C632" t="str">
        <x:v>WO00632</x:v>
      </x:c>
      <x:c r="D632" t="str">
        <x:v>LOT00632</x:v>
      </x:c>
      <x:c r="E632" t="str">
        <x:v>SEM-010</x:v>
      </x:c>
      <x:c r="F632" t="str">
        <x:v>PM-VAC-B</x:v>
      </x:c>
      <x:c r="G632" s="20" t="n">
        <x:v>45909</x:v>
      </x:c>
      <x:c r="H632" s="20" t="n">
        <x:v>45905</x:v>
      </x:c>
      <x:c r="I632" s="20" t="n">
        <x:v>45908</x:v>
      </x:c>
      <x:c r="J632" t="n">
        <x:v>784</x:v>
      </x:c>
      <x:c r="K632" t="n">
        <x:v>22541.43</x:v>
      </x:c>
      <x:c r="L632" t="str">
        <x:v>陸運</x:v>
      </x:c>
      <x:c r="M632" t="n">
        <x:v>0</x:v>
      </x:c>
      <x:c r="N632" t="str">
        <x:v>是</x:v>
      </x:c>
      <x:c r="O632" t="n">
        <x:v>3</x:v>
      </x:c>
      <x:c r="P632" t="str">
        <x:v>外觀瑕疵</x:v>
      </x:c>
    </x:row>
    <x:row r="633" ht="20" customHeight="1">
      <x:c r="A633" t="str">
        <x:v>SH000632</x:v>
      </x:c>
      <x:c r="B633" t="str">
        <x:v>SO00434-01</x:v>
      </x:c>
      <x:c r="C633" t="str">
        <x:v>WO00631</x:v>
      </x:c>
      <x:c r="D633" t="str">
        <x:v>LOT00631</x:v>
      </x:c>
      <x:c r="E633" t="str">
        <x:v>SEM-010</x:v>
      </x:c>
      <x:c r="F633" t="str">
        <x:v>PM-VAC-B</x:v>
      </x:c>
      <x:c r="G633" s="20" t="n">
        <x:v>45909</x:v>
      </x:c>
      <x:c r="H633" s="20" t="n">
        <x:v>45905</x:v>
      </x:c>
      <x:c r="I633" s="20" t="n">
        <x:v>45910</x:v>
      </x:c>
      <x:c r="J633" t="n">
        <x:v>785</x:v>
      </x:c>
      <x:c r="K633" t="n">
        <x:v>22541.43</x:v>
      </x:c>
      <x:c r="L633" t="str">
        <x:v>空運</x:v>
      </x:c>
      <x:c r="M633" t="n">
        <x:v>1</x:v>
      </x:c>
      <x:c r="N633" t="str">
        <x:v>否</x:v>
      </x:c>
      <x:c r="O633" t="n">
        <x:v>0</x:v>
      </x:c>
      <x:c r="P633"/>
    </x:row>
    <x:row r="634" ht="20" customHeight="1">
      <x:c r="A634" t="str">
        <x:v>SH000633</x:v>
      </x:c>
      <x:c r="B634" t="str">
        <x:v>SO00435-01</x:v>
      </x:c>
      <x:c r="C634" t="str">
        <x:v>WO00633</x:v>
      </x:c>
      <x:c r="D634" t="str">
        <x:v>LOT00633</x:v>
      </x:c>
      <x:c r="E634" t="str">
        <x:v>IAT-009</x:v>
      </x:c>
      <x:c r="F634" t="str">
        <x:v>MECH-CON-A</x:v>
      </x:c>
      <x:c r="G634" s="20" t="n">
        <x:v>45902</x:v>
      </x:c>
      <x:c r="H634" s="20" t="n">
        <x:v>45902</x:v>
      </x:c>
      <x:c r="I634" s="20" t="n">
        <x:v>45903</x:v>
      </x:c>
      <x:c r="J634" t="n">
        <x:v>10</x:v>
      </x:c>
      <x:c r="K634" t="n">
        <x:v>103964.25</x:v>
      </x:c>
      <x:c r="L634" t="str">
        <x:v>陸運</x:v>
      </x:c>
      <x:c r="M634" t="n">
        <x:v>1</x:v>
      </x:c>
      <x:c r="N634" t="str">
        <x:v>否</x:v>
      </x:c>
      <x:c r="O634" t="n">
        <x:v>0</x:v>
      </x:c>
      <x:c r="P634"/>
    </x:row>
    <x:row r="635" ht="20" customHeight="1">
      <x:c r="A635" t="str">
        <x:v>SH000634</x:v>
      </x:c>
      <x:c r="B635" t="str">
        <x:v>SO00436-01</x:v>
      </x:c>
      <x:c r="C635" t="str">
        <x:v>WO00634</x:v>
      </x:c>
      <x:c r="D635" t="str">
        <x:v>LOT00634</x:v>
      </x:c>
      <x:c r="E635" t="str">
        <x:v>EMS-008</x:v>
      </x:c>
      <x:c r="F635" t="str">
        <x:v>SEMI-WH-A</x:v>
      </x:c>
      <x:c r="G635" s="20" t="n">
        <x:v>45894</x:v>
      </x:c>
      <x:c r="H635" s="20" t="n">
        <x:v>45892</x:v>
      </x:c>
      <x:c r="I635" s="20" t="n">
        <x:v>45896</x:v>
      </x:c>
      <x:c r="J635" t="n">
        <x:v>40</x:v>
      </x:c>
      <x:c r="K635" t="n">
        <x:v>113678.17</x:v>
      </x:c>
      <x:c r="L635" t="str">
        <x:v>空運</x:v>
      </x:c>
      <x:c r="M635" t="n">
        <x:v>2</x:v>
      </x:c>
      <x:c r="N635" t="str">
        <x:v>否</x:v>
      </x:c>
      <x:c r="O635" t="n">
        <x:v>0</x:v>
      </x:c>
      <x:c r="P635"/>
    </x:row>
    <x:row r="636" ht="20" customHeight="1">
      <x:c r="A636" t="str">
        <x:v>SH000635</x:v>
      </x:c>
      <x:c r="B636" t="str">
        <x:v>SO00437-01</x:v>
      </x:c>
      <x:c r="C636" t="str">
        <x:v>WO00635</x:v>
      </x:c>
      <x:c r="D636" t="str">
        <x:v>LOT00635</x:v>
      </x:c>
      <x:c r="E636" t="str">
        <x:v>SEM-002</x:v>
      </x:c>
      <x:c r="F636" t="str">
        <x:v>MECH-CON-B</x:v>
      </x:c>
      <x:c r="G636" s="20" t="n">
        <x:v>45915</x:v>
      </x:c>
      <x:c r="H636" s="20" t="n">
        <x:v>45912</x:v>
      </x:c>
      <x:c r="I636" s="20" t="n">
        <x:v>45917</x:v>
      </x:c>
      <x:c r="J636" t="n">
        <x:v>20</x:v>
      </x:c>
      <x:c r="K636" t="n">
        <x:v>145618.33</x:v>
      </x:c>
      <x:c r="L636" t="str">
        <x:v>陸運</x:v>
      </x:c>
      <x:c r="M636" t="n">
        <x:v>2</x:v>
      </x:c>
      <x:c r="N636" t="str">
        <x:v>否</x:v>
      </x:c>
      <x:c r="O636" t="n">
        <x:v>0</x:v>
      </x:c>
      <x:c r="P636"/>
    </x:row>
    <x:row r="637" ht="20" customHeight="1">
      <x:c r="A637" t="str">
        <x:v>SH000636</x:v>
      </x:c>
      <x:c r="B637" t="str">
        <x:v>SO00438-01</x:v>
      </x:c>
      <x:c r="C637" t="str">
        <x:v>WO00636</x:v>
      </x:c>
      <x:c r="D637" t="str">
        <x:v>LOT00636</x:v>
      </x:c>
      <x:c r="E637" t="str">
        <x:v>AUT-009</x:v>
      </x:c>
      <x:c r="F637" t="str">
        <x:v>MECH-CON-A</x:v>
      </x:c>
      <x:c r="G637" s="20" t="n">
        <x:v>45889</x:v>
      </x:c>
      <x:c r="H637" s="20" t="n">
        <x:v>45886</x:v>
      </x:c>
      <x:c r="I637" s="20" t="n">
        <x:v>45891</x:v>
      </x:c>
      <x:c r="J637" t="n">
        <x:v>10</x:v>
      </x:c>
      <x:c r="K637" t="n">
        <x:v>113647.8</x:v>
      </x:c>
      <x:c r="L637" t="str">
        <x:v>空運</x:v>
      </x:c>
      <x:c r="M637" t="n">
        <x:v>2</x:v>
      </x:c>
      <x:c r="N637" t="str">
        <x:v>否</x:v>
      </x:c>
      <x:c r="O637" t="n">
        <x:v>0</x:v>
      </x:c>
      <x:c r="P637"/>
    </x:row>
    <x:row r="638" ht="20" customHeight="1">
      <x:c r="A638" t="str">
        <x:v>SH000637</x:v>
      </x:c>
      <x:c r="B638" t="str">
        <x:v>SO00439-01</x:v>
      </x:c>
      <x:c r="C638" t="str">
        <x:v>WO00637</x:v>
      </x:c>
      <x:c r="D638" t="str">
        <x:v>LOT00637</x:v>
      </x:c>
      <x:c r="E638" t="str">
        <x:v>EMS-007</x:v>
      </x:c>
      <x:c r="F638" t="str">
        <x:v>MECH-STG-A</x:v>
      </x:c>
      <x:c r="G638" s="20" t="n">
        <x:v>45887</x:v>
      </x:c>
      <x:c r="H638" s="20" t="n">
        <x:v>45887</x:v>
      </x:c>
      <x:c r="I638" s="20" t="n">
        <x:v>45889</x:v>
      </x:c>
      <x:c r="J638" t="n">
        <x:v>10</x:v>
      </x:c>
      <x:c r="K638" t="n">
        <x:v>134380.82</x:v>
      </x:c>
      <x:c r="L638" t="str">
        <x:v>空運</x:v>
      </x:c>
      <x:c r="M638" t="n">
        <x:v>2</x:v>
      </x:c>
      <x:c r="N638" t="str">
        <x:v>否</x:v>
      </x:c>
      <x:c r="O638" t="n">
        <x:v>0</x:v>
      </x:c>
      <x:c r="P638"/>
    </x:row>
    <x:row r="639" ht="20" customHeight="1">
      <x:c r="A639" t="str">
        <x:v>SH000638</x:v>
      </x:c>
      <x:c r="B639" t="str">
        <x:v>SO00440-01</x:v>
      </x:c>
      <x:c r="C639" t="str">
        <x:v>WO00638</x:v>
      </x:c>
      <x:c r="D639" t="str">
        <x:v>LOT00638</x:v>
      </x:c>
      <x:c r="E639" t="str">
        <x:v>AUT-004</x:v>
      </x:c>
      <x:c r="F639" t="str">
        <x:v>AUTO-LG-B</x:v>
      </x:c>
      <x:c r="G639" s="20" t="n">
        <x:v>45883</x:v>
      </x:c>
      <x:c r="H639" s="20" t="n">
        <x:v>45880</x:v>
      </x:c>
      <x:c r="I639" s="20" t="n">
        <x:v>45884</x:v>
      </x:c>
      <x:c r="J639" t="n">
        <x:v>4950</x:v>
      </x:c>
      <x:c r="K639" t="n">
        <x:v>1234.91</x:v>
      </x:c>
      <x:c r="L639" t="str">
        <x:v>空運</x:v>
      </x:c>
      <x:c r="M639" t="n">
        <x:v>1</x:v>
      </x:c>
      <x:c r="N639" t="str">
        <x:v>否</x:v>
      </x:c>
      <x:c r="O639" t="n">
        <x:v>0</x:v>
      </x:c>
      <x:c r="P639"/>
    </x:row>
    <x:row r="640" ht="20" customHeight="1">
      <x:c r="A640" t="str">
        <x:v>SH000639</x:v>
      </x:c>
      <x:c r="B640" t="str">
        <x:v>SO00440-01</x:v>
      </x:c>
      <x:c r="C640" t="str">
        <x:v>WO00639</x:v>
      </x:c>
      <x:c r="D640" t="str">
        <x:v>LOT00639</x:v>
      </x:c>
      <x:c r="E640" t="str">
        <x:v>AUT-004</x:v>
      </x:c>
      <x:c r="F640" t="str">
        <x:v>AUTO-LG-B</x:v>
      </x:c>
      <x:c r="G640" s="20" t="n">
        <x:v>45883</x:v>
      </x:c>
      <x:c r="H640" s="20" t="n">
        <x:v>45883</x:v>
      </x:c>
      <x:c r="I640" s="20" t="n">
        <x:v>45887</x:v>
      </x:c>
      <x:c r="J640" t="n">
        <x:v>4934</x:v>
      </x:c>
      <x:c r="K640" t="n">
        <x:v>1234.91</x:v>
      </x:c>
      <x:c r="L640" t="str">
        <x:v>陸運</x:v>
      </x:c>
      <x:c r="M640" t="n">
        <x:v>4</x:v>
      </x:c>
      <x:c r="N640" t="str">
        <x:v>否</x:v>
      </x:c>
      <x:c r="O640" t="n">
        <x:v>0</x:v>
      </x:c>
      <x:c r="P640"/>
    </x:row>
    <x:row r="641" ht="20" customHeight="1">
      <x:c r="A641" t="str">
        <x:v>SH000640</x:v>
      </x:c>
      <x:c r="B641" t="str">
        <x:v>SO00441-01</x:v>
      </x:c>
      <x:c r="C641" t="str">
        <x:v>WO00641</x:v>
      </x:c>
      <x:c r="D641" t="str">
        <x:v>LOT00641</x:v>
      </x:c>
      <x:c r="E641" t="str">
        <x:v>EMS-003</x:v>
      </x:c>
      <x:c r="F641" t="str">
        <x:v>AUTO-LG-A</x:v>
      </x:c>
      <x:c r="G641" s="20" t="n">
        <x:v>45879</x:v>
      </x:c>
      <x:c r="H641" s="20" t="n">
        <x:v>45877</x:v>
      </x:c>
      <x:c r="I641" s="20" t="n">
        <x:v>45881</x:v>
      </x:c>
      <x:c r="J641" t="n">
        <x:v>4977</x:v>
      </x:c>
      <x:c r="K641" t="n">
        <x:v>1121.13</x:v>
      </x:c>
      <x:c r="L641" t="str">
        <x:v>海運</x:v>
      </x:c>
      <x:c r="M641" t="n">
        <x:v>2</x:v>
      </x:c>
      <x:c r="N641" t="str">
        <x:v>否</x:v>
      </x:c>
      <x:c r="O641" t="n">
        <x:v>0</x:v>
      </x:c>
      <x:c r="P641"/>
    </x:row>
    <x:row r="642" ht="20" customHeight="1">
      <x:c r="A642" t="str">
        <x:v>SH000641</x:v>
      </x:c>
      <x:c r="B642" t="str">
        <x:v>SO00441-01</x:v>
      </x:c>
      <x:c r="C642" t="str">
        <x:v>WO00640</x:v>
      </x:c>
      <x:c r="D642" t="str">
        <x:v>LOT00640</x:v>
      </x:c>
      <x:c r="E642" t="str">
        <x:v>EMS-003</x:v>
      </x:c>
      <x:c r="F642" t="str">
        <x:v>AUTO-LG-A</x:v>
      </x:c>
      <x:c r="G642" s="20" t="n">
        <x:v>45879</x:v>
      </x:c>
      <x:c r="H642" s="20" t="n">
        <x:v>45879</x:v>
      </x:c>
      <x:c r="I642" s="20" t="n">
        <x:v>45882</x:v>
      </x:c>
      <x:c r="J642" t="n">
        <x:v>4925</x:v>
      </x:c>
      <x:c r="K642" t="n">
        <x:v>1121.13</x:v>
      </x:c>
      <x:c r="L642" t="str">
        <x:v>海運</x:v>
      </x:c>
      <x:c r="M642" t="n">
        <x:v>3</x:v>
      </x:c>
      <x:c r="N642" t="str">
        <x:v>否</x:v>
      </x:c>
      <x:c r="O642" t="n">
        <x:v>0</x:v>
      </x:c>
      <x:c r="P642"/>
    </x:row>
    <x:row r="643" ht="20" customHeight="1">
      <x:c r="A643" t="str">
        <x:v>SH000642</x:v>
      </x:c>
      <x:c r="B643" t="str">
        <x:v>SO00442-01</x:v>
      </x:c>
      <x:c r="C643" t="str">
        <x:v>WO00642</x:v>
      </x:c>
      <x:c r="D643" t="str">
        <x:v>LOT00642</x:v>
      </x:c>
      <x:c r="E643" t="str">
        <x:v>AFT-008</x:v>
      </x:c>
      <x:c r="F643" t="str">
        <x:v>PM-BRG-B</x:v>
      </x:c>
      <x:c r="G643" s="20" t="n">
        <x:v>45876</x:v>
      </x:c>
      <x:c r="H643" s="20" t="n">
        <x:v>45875</x:v>
      </x:c>
      <x:c r="I643" s="20" t="n">
        <x:v>45879</x:v>
      </x:c>
      <x:c r="J643" t="n">
        <x:v>590</x:v>
      </x:c>
      <x:c r="K643" t="n">
        <x:v>7726.65</x:v>
      </x:c>
      <x:c r="L643" t="str">
        <x:v>空運</x:v>
      </x:c>
      <x:c r="M643" t="n">
        <x:v>3</x:v>
      </x:c>
      <x:c r="N643" t="str">
        <x:v>否</x:v>
      </x:c>
      <x:c r="O643" t="n">
        <x:v>0</x:v>
      </x:c>
      <x:c r="P643"/>
    </x:row>
    <x:row r="644" ht="20" customHeight="1">
      <x:c r="A644" t="str">
        <x:v>SH000643</x:v>
      </x:c>
      <x:c r="B644" t="str">
        <x:v>SO00442-01</x:v>
      </x:c>
      <x:c r="C644" t="str">
        <x:v>WO00643</x:v>
      </x:c>
      <x:c r="D644" t="str">
        <x:v>LOT00643</x:v>
      </x:c>
      <x:c r="E644" t="str">
        <x:v>AFT-008</x:v>
      </x:c>
      <x:c r="F644" t="str">
        <x:v>PM-BRG-B</x:v>
      </x:c>
      <x:c r="G644" s="20" t="n">
        <x:v>45876</x:v>
      </x:c>
      <x:c r="H644" s="20" t="n">
        <x:v>45876</x:v>
      </x:c>
      <x:c r="I644" s="20" t="n">
        <x:v>45879</x:v>
      </x:c>
      <x:c r="J644" t="n">
        <x:v>586</x:v>
      </x:c>
      <x:c r="K644" t="n">
        <x:v>7726.65</x:v>
      </x:c>
      <x:c r="L644" t="str">
        <x:v>空運</x:v>
      </x:c>
      <x:c r="M644" t="n">
        <x:v>3</x:v>
      </x:c>
      <x:c r="N644" t="str">
        <x:v>否</x:v>
      </x:c>
      <x:c r="O644" t="n">
        <x:v>0</x:v>
      </x:c>
      <x:c r="P644"/>
    </x:row>
    <x:row r="645" ht="20" customHeight="1">
      <x:c r="A645" t="str">
        <x:v>SH000644</x:v>
      </x:c>
      <x:c r="B645" t="str">
        <x:v>SO00443-01</x:v>
      </x:c>
      <x:c r="C645" t="str">
        <x:v>WO00644</x:v>
      </x:c>
      <x:c r="D645" t="str">
        <x:v>LOT00644</x:v>
      </x:c>
      <x:c r="E645" t="str">
        <x:v>AFT-007</x:v>
      </x:c>
      <x:c r="F645" t="str">
        <x:v>PM-SUS-B</x:v>
      </x:c>
      <x:c r="G645" s="20" t="n">
        <x:v>45899</x:v>
      </x:c>
      <x:c r="H645" s="20" t="n">
        <x:v>45898</x:v>
      </x:c>
      <x:c r="I645" s="20" t="n">
        <x:v>45903</x:v>
      </x:c>
      <x:c r="J645" t="n">
        <x:v>771</x:v>
      </x:c>
      <x:c r="K645" t="n">
        <x:v>14135.98</x:v>
      </x:c>
      <x:c r="L645" t="str">
        <x:v>海運</x:v>
      </x:c>
      <x:c r="M645" t="n">
        <x:v>4</x:v>
      </x:c>
      <x:c r="N645" t="str">
        <x:v>否</x:v>
      </x:c>
      <x:c r="O645" t="n">
        <x:v>0</x:v>
      </x:c>
      <x:c r="P645"/>
    </x:row>
    <x:row r="646" ht="20" customHeight="1">
      <x:c r="A646" t="str">
        <x:v>SH000645</x:v>
      </x:c>
      <x:c r="B646" t="str">
        <x:v>SO00444-01</x:v>
      </x:c>
      <x:c r="C646" t="str">
        <x:v>WO00645</x:v>
      </x:c>
      <x:c r="D646" t="str">
        <x:v>LOT00645</x:v>
      </x:c>
      <x:c r="E646" t="str">
        <x:v>SEM-008</x:v>
      </x:c>
      <x:c r="F646" t="str">
        <x:v>SEMI-WH-A</x:v>
      </x:c>
      <x:c r="G646" s="20" t="n">
        <x:v>45919</x:v>
      </x:c>
      <x:c r="H646" s="20" t="n">
        <x:v>45921</x:v>
      </x:c>
      <x:c r="I646" s="20" t="n">
        <x:v>45922</x:v>
      </x:c>
      <x:c r="J646" t="n">
        <x:v>59</x:v>
      </x:c>
      <x:c r="K646" t="n">
        <x:v>110960.61</x:v>
      </x:c>
      <x:c r="L646" t="str">
        <x:v>海運</x:v>
      </x:c>
      <x:c r="M646" t="n">
        <x:v>3</x:v>
      </x:c>
      <x:c r="N646" t="str">
        <x:v>否</x:v>
      </x:c>
      <x:c r="O646" t="n">
        <x:v>0</x:v>
      </x:c>
      <x:c r="P646"/>
    </x:row>
    <x:row r="647" ht="20" customHeight="1">
      <x:c r="A647" t="str">
        <x:v>SH000646</x:v>
      </x:c>
      <x:c r="B647" t="str">
        <x:v>SO00445-01</x:v>
      </x:c>
      <x:c r="C647" t="str">
        <x:v>WO00648</x:v>
      </x:c>
      <x:c r="D647" t="str">
        <x:v>LOT00648</x:v>
      </x:c>
      <x:c r="E647" t="str">
        <x:v>EMS-002</x:v>
      </x:c>
      <x:c r="F647" t="str">
        <x:v>MECH-CON-B</x:v>
      </x:c>
      <x:c r="G647" s="20" t="n">
        <x:v>45916</x:v>
      </x:c>
      <x:c r="H647" s="20" t="n">
        <x:v>45911</x:v>
      </x:c>
      <x:c r="I647" s="20" t="n">
        <x:v>45915</x:v>
      </x:c>
      <x:c r="J647" t="n">
        <x:v>16</x:v>
      </x:c>
      <x:c r="K647" t="n">
        <x:v>154449.35</x:v>
      </x:c>
      <x:c r="L647" t="str">
        <x:v>海運</x:v>
      </x:c>
      <x:c r="M647" t="n">
        <x:v>0</x:v>
      </x:c>
      <x:c r="N647" t="str">
        <x:v>是</x:v>
      </x:c>
      <x:c r="O647" t="n">
        <x:v>0</x:v>
      </x:c>
      <x:c r="P647"/>
    </x:row>
    <x:row r="648" ht="20" customHeight="1">
      <x:c r="A648" t="str">
        <x:v>SH000647</x:v>
      </x:c>
      <x:c r="B648" t="str">
        <x:v>SO00445-01</x:v>
      </x:c>
      <x:c r="C648" t="str">
        <x:v>WO00646</x:v>
      </x:c>
      <x:c r="D648" t="str">
        <x:v>LOT00646</x:v>
      </x:c>
      <x:c r="E648" t="str">
        <x:v>EMS-002</x:v>
      </x:c>
      <x:c r="F648" t="str">
        <x:v>MECH-CON-B</x:v>
      </x:c>
      <x:c r="G648" s="20" t="n">
        <x:v>45916</x:v>
      </x:c>
      <x:c r="H648" s="20" t="n">
        <x:v>45913</x:v>
      </x:c>
      <x:c r="I648" s="20" t="n">
        <x:v>45915</x:v>
      </x:c>
      <x:c r="J648" t="n">
        <x:v>17</x:v>
      </x:c>
      <x:c r="K648" t="n">
        <x:v>154449.35</x:v>
      </x:c>
      <x:c r="L648" t="str">
        <x:v>海運</x:v>
      </x:c>
      <x:c r="M648" t="n">
        <x:v>0</x:v>
      </x:c>
      <x:c r="N648" t="str">
        <x:v>是</x:v>
      </x:c>
      <x:c r="O648" t="n">
        <x:v>0</x:v>
      </x:c>
      <x:c r="P648"/>
    </x:row>
    <x:row r="649" ht="20" customHeight="1">
      <x:c r="A649" t="str">
        <x:v>SH000648</x:v>
      </x:c>
      <x:c r="B649" t="str">
        <x:v>SO00445-01</x:v>
      </x:c>
      <x:c r="C649" t="str">
        <x:v>WO00647</x:v>
      </x:c>
      <x:c r="D649" t="str">
        <x:v>LOT00647</x:v>
      </x:c>
      <x:c r="E649" t="str">
        <x:v>EMS-002</x:v>
      </x:c>
      <x:c r="F649" t="str">
        <x:v>MECH-CON-B</x:v>
      </x:c>
      <x:c r="G649" s="20" t="n">
        <x:v>45916</x:v>
      </x:c>
      <x:c r="H649" s="20" t="n">
        <x:v>45916</x:v>
      </x:c>
      <x:c r="I649" s="20" t="n">
        <x:v>45921</x:v>
      </x:c>
      <x:c r="J649" t="n">
        <x:v>17</x:v>
      </x:c>
      <x:c r="K649" t="n">
        <x:v>154449.35</x:v>
      </x:c>
      <x:c r="L649" t="str">
        <x:v>空運</x:v>
      </x:c>
      <x:c r="M649" t="n">
        <x:v>5</x:v>
      </x:c>
      <x:c r="N649" t="str">
        <x:v>否</x:v>
      </x:c>
      <x:c r="O649" t="n">
        <x:v>0</x:v>
      </x:c>
      <x:c r="P649"/>
    </x:row>
    <x:row r="650" ht="20" customHeight="1">
      <x:c r="A650" t="str">
        <x:v>SH000649</x:v>
      </x:c>
      <x:c r="B650" t="str">
        <x:v>SO00446-01</x:v>
      </x:c>
      <x:c r="C650" t="str">
        <x:v>WO00649</x:v>
      </x:c>
      <x:c r="D650" t="str">
        <x:v>LOT00649</x:v>
      </x:c>
      <x:c r="E650" t="str">
        <x:v>SEM-003</x:v>
      </x:c>
      <x:c r="F650" t="str">
        <x:v>PM-SUS-A</x:v>
      </x:c>
      <x:c r="G650" s="20" t="n">
        <x:v>45898</x:v>
      </x:c>
      <x:c r="H650" s="20" t="n">
        <x:v>45895</x:v>
      </x:c>
      <x:c r="I650" s="20" t="n">
        <x:v>45898</x:v>
      </x:c>
      <x:c r="J650" t="n">
        <x:v>788</x:v>
      </x:c>
      <x:c r="K650" t="n">
        <x:v>10832.4</x:v>
      </x:c>
      <x:c r="L650" t="str">
        <x:v>空運</x:v>
      </x:c>
      <x:c r="M650" t="n">
        <x:v>0</x:v>
      </x:c>
      <x:c r="N650" t="str">
        <x:v>是</x:v>
      </x:c>
      <x:c r="O650" t="n">
        <x:v>0</x:v>
      </x:c>
      <x:c r="P650"/>
    </x:row>
    <x:row r="651" ht="20" customHeight="1">
      <x:c r="A651" t="str">
        <x:v>SH000650</x:v>
      </x:c>
      <x:c r="B651" t="str">
        <x:v>SO00447-01</x:v>
      </x:c>
      <x:c r="C651" t="str">
        <x:v>WO00650</x:v>
      </x:c>
      <x:c r="D651" t="str">
        <x:v>LOT00650</x:v>
      </x:c>
      <x:c r="E651" t="str">
        <x:v>AUT-003</x:v>
      </x:c>
      <x:c r="F651" t="str">
        <x:v>MECH-CON-A</x:v>
      </x:c>
      <x:c r="G651" s="20" t="n">
        <x:v>45928</x:v>
      </x:c>
      <x:c r="H651" s="20" t="n">
        <x:v>45932</x:v>
      </x:c>
      <x:c r="I651" s="20" t="n">
        <x:v>45936</x:v>
      </x:c>
      <x:c r="J651" t="n">
        <x:v>10</x:v>
      </x:c>
      <x:c r="K651" t="n">
        <x:v>110653.04</x:v>
      </x:c>
      <x:c r="L651" t="str">
        <x:v>空運</x:v>
      </x:c>
      <x:c r="M651" t="n">
        <x:v>8</x:v>
      </x:c>
      <x:c r="N651" t="str">
        <x:v>否</x:v>
      </x:c>
      <x:c r="O651" t="n">
        <x:v>0</x:v>
      </x:c>
      <x:c r="P651"/>
    </x:row>
    <x:row r="652" ht="20" customHeight="1">
      <x:c r="A652" t="str">
        <x:v>SH000651</x:v>
      </x:c>
      <x:c r="B652" t="str">
        <x:v>SO00448-01</x:v>
      </x:c>
      <x:c r="C652" t="str">
        <x:v>WO00651</x:v>
      </x:c>
      <x:c r="D652" t="str">
        <x:v>LOT00651</x:v>
      </x:c>
      <x:c r="E652" t="str">
        <x:v>AFT-005</x:v>
      </x:c>
      <x:c r="F652" t="str">
        <x:v>PM-ALB-A</x:v>
      </x:c>
      <x:c r="G652" s="20" t="n">
        <x:v>45930</x:v>
      </x:c>
      <x:c r="H652" s="20" t="n">
        <x:v>45932</x:v>
      </x:c>
      <x:c r="I652" s="20" t="n">
        <x:v>45936</x:v>
      </x:c>
      <x:c r="J652" t="n">
        <x:v>487</x:v>
      </x:c>
      <x:c r="K652" t="n">
        <x:v>11303.44</x:v>
      </x:c>
      <x:c r="L652" t="str">
        <x:v>海運</x:v>
      </x:c>
      <x:c r="M652" t="n">
        <x:v>6</x:v>
      </x:c>
      <x:c r="N652" t="str">
        <x:v>否</x:v>
      </x:c>
      <x:c r="O652" t="n">
        <x:v>0</x:v>
      </x:c>
      <x:c r="P652"/>
    </x:row>
    <x:row r="653" ht="20" customHeight="1">
      <x:c r="A653" t="str">
        <x:v>SH000652</x:v>
      </x:c>
      <x:c r="B653" t="str">
        <x:v>SO00449-01</x:v>
      </x:c>
      <x:c r="C653" t="str">
        <x:v>WO00652</x:v>
      </x:c>
      <x:c r="D653" t="str">
        <x:v>LOT00652</x:v>
      </x:c>
      <x:c r="E653" t="str">
        <x:v>AFT-006</x:v>
      </x:c>
      <x:c r="F653" t="str">
        <x:v>PM-BRG-A</x:v>
      </x:c>
      <x:c r="G653" s="20" t="n">
        <x:v>45914</x:v>
      </x:c>
      <x:c r="H653" s="20" t="n">
        <x:v>45908</x:v>
      </x:c>
      <x:c r="I653" s="20" t="n">
        <x:v>45909</x:v>
      </x:c>
      <x:c r="J653" t="n">
        <x:v>788</x:v>
      </x:c>
      <x:c r="K653" t="n">
        <x:v>6716.63</x:v>
      </x:c>
      <x:c r="L653" t="str">
        <x:v>陸運</x:v>
      </x:c>
      <x:c r="M653" t="n">
        <x:v>0</x:v>
      </x:c>
      <x:c r="N653" t="str">
        <x:v>是</x:v>
      </x:c>
      <x:c r="O653" t="n">
        <x:v>0</x:v>
      </x:c>
      <x:c r="P653"/>
    </x:row>
    <x:row r="654" ht="20" customHeight="1">
      <x:c r="A654" t="str">
        <x:v>SH000653</x:v>
      </x:c>
      <x:c r="B654" t="str">
        <x:v>SO00450-01</x:v>
      </x:c>
      <x:c r="C654" t="str">
        <x:v>WO00653</x:v>
      </x:c>
      <x:c r="D654" t="str">
        <x:v>LOT00653</x:v>
      </x:c>
      <x:c r="E654" t="str">
        <x:v>AUT-010</x:v>
      </x:c>
      <x:c r="F654" t="str">
        <x:v>AUTO-BRK-B</x:v>
      </x:c>
      <x:c r="G654" s="20" t="n">
        <x:v>45903</x:v>
      </x:c>
      <x:c r="H654" s="20" t="n">
        <x:v>45897</x:v>
      </x:c>
      <x:c r="I654" s="20" t="n">
        <x:v>45902</x:v>
      </x:c>
      <x:c r="J654" t="n">
        <x:v>4962</x:v>
      </x:c>
      <x:c r="K654" t="n">
        <x:v>2062.26</x:v>
      </x:c>
      <x:c r="L654" t="str">
        <x:v>海運</x:v>
      </x:c>
      <x:c r="M654" t="n">
        <x:v>0</x:v>
      </x:c>
      <x:c r="N654" t="str">
        <x:v>是</x:v>
      </x:c>
      <x:c r="O654" t="n">
        <x:v>0</x:v>
      </x:c>
      <x:c r="P654"/>
    </x:row>
    <x:row r="655" ht="20" customHeight="1">
      <x:c r="A655" t="str">
        <x:v>SH000654</x:v>
      </x:c>
      <x:c r="B655" t="str">
        <x:v>SO00450-01</x:v>
      </x:c>
      <x:c r="C655" t="str">
        <x:v>WO00654</x:v>
      </x:c>
      <x:c r="D655" t="str">
        <x:v>LOT00654</x:v>
      </x:c>
      <x:c r="E655" t="str">
        <x:v>AUT-010</x:v>
      </x:c>
      <x:c r="F655" t="str">
        <x:v>AUTO-BRK-B</x:v>
      </x:c>
      <x:c r="G655" s="20" t="n">
        <x:v>45903</x:v>
      </x:c>
      <x:c r="H655" s="20" t="n">
        <x:v>45906</x:v>
      </x:c>
      <x:c r="I655" s="20" t="n">
        <x:v>45907</x:v>
      </x:c>
      <x:c r="J655" t="n">
        <x:v>4912</x:v>
      </x:c>
      <x:c r="K655" t="n">
        <x:v>2062.26</x:v>
      </x:c>
      <x:c r="L655" t="str">
        <x:v>陸運</x:v>
      </x:c>
      <x:c r="M655" t="n">
        <x:v>4</x:v>
      </x:c>
      <x:c r="N655" t="str">
        <x:v>否</x:v>
      </x:c>
      <x:c r="O655" t="n">
        <x:v>0</x:v>
      </x:c>
      <x:c r="P655"/>
    </x:row>
    <x:row r="656" ht="20" customHeight="1">
      <x:c r="A656" t="str">
        <x:v>SH000655</x:v>
      </x:c>
      <x:c r="B656" t="str">
        <x:v>SO00451-01</x:v>
      </x:c>
      <x:c r="C656" t="str">
        <x:v>WO00655</x:v>
      </x:c>
      <x:c r="D656" t="str">
        <x:v>LOT00655</x:v>
      </x:c>
      <x:c r="E656" t="str">
        <x:v>EMS-007</x:v>
      </x:c>
      <x:c r="F656" t="str">
        <x:v>MECH-CON-A</x:v>
      </x:c>
      <x:c r="G656" s="20" t="n">
        <x:v>45930</x:v>
      </x:c>
      <x:c r="H656" s="20" t="n">
        <x:v>45926</x:v>
      </x:c>
      <x:c r="I656" s="20" t="n">
        <x:v>45931</x:v>
      </x:c>
      <x:c r="J656" t="n">
        <x:v>10</x:v>
      </x:c>
      <x:c r="K656" t="n">
        <x:v>113617.68</x:v>
      </x:c>
      <x:c r="L656" t="str">
        <x:v>海運</x:v>
      </x:c>
      <x:c r="M656" t="n">
        <x:v>1</x:v>
      </x:c>
      <x:c r="N656" t="str">
        <x:v>否</x:v>
      </x:c>
      <x:c r="O656" t="n">
        <x:v>0</x:v>
      </x:c>
      <x:c r="P656"/>
    </x:row>
    <x:row r="657" ht="20" customHeight="1">
      <x:c r="A657" t="str">
        <x:v>SH000656</x:v>
      </x:c>
      <x:c r="B657" t="str">
        <x:v>SO00452-01</x:v>
      </x:c>
      <x:c r="C657" t="str">
        <x:v>WO00656</x:v>
      </x:c>
      <x:c r="D657" t="str">
        <x:v>LOT00656</x:v>
      </x:c>
      <x:c r="E657" t="str">
        <x:v>AUT-006</x:v>
      </x:c>
      <x:c r="F657" t="str">
        <x:v>PM-VAC-B</x:v>
      </x:c>
      <x:c r="G657" s="20" t="n">
        <x:v>45935</x:v>
      </x:c>
      <x:c r="H657" s="20" t="n">
        <x:v>45932</x:v>
      </x:c>
      <x:c r="I657" s="20" t="n">
        <x:v>45937</x:v>
      </x:c>
      <x:c r="J657" t="n">
        <x:v>295</x:v>
      </x:c>
      <x:c r="K657" t="n">
        <x:v>21764.3</x:v>
      </x:c>
      <x:c r="L657" t="str">
        <x:v>空運</x:v>
      </x:c>
      <x:c r="M657" t="n">
        <x:v>2</x:v>
      </x:c>
      <x:c r="N657" t="str">
        <x:v>否</x:v>
      </x:c>
      <x:c r="O657" t="n">
        <x:v>2</x:v>
      </x:c>
      <x:c r="P657" t="str">
        <x:v>尺寸異常</x:v>
      </x:c>
    </x:row>
    <x:row r="658" ht="20" customHeight="1">
      <x:c r="A658" t="str">
        <x:v>SH000657</x:v>
      </x:c>
      <x:c r="B658" t="str">
        <x:v>SO00453-01</x:v>
      </x:c>
      <x:c r="C658" t="str">
        <x:v>WO00657</x:v>
      </x:c>
      <x:c r="D658" t="str">
        <x:v>LOT00657</x:v>
      </x:c>
      <x:c r="E658" t="str">
        <x:v>AFT-002</x:v>
      </x:c>
      <x:c r="F658" t="str">
        <x:v>AUTO-BRK-A</x:v>
      </x:c>
      <x:c r="G658" s="20" t="n">
        <x:v>45905</x:v>
      </x:c>
      <x:c r="H658" s="20" t="n">
        <x:v>45903</x:v>
      </x:c>
      <x:c r="I658" s="20" t="n">
        <x:v>45908</x:v>
      </x:c>
      <x:c r="J658" t="n">
        <x:v>7000</x:v>
      </x:c>
      <x:c r="K658" t="n">
        <x:v>1587.43</x:v>
      </x:c>
      <x:c r="L658" t="str">
        <x:v>海運</x:v>
      </x:c>
      <x:c r="M658" t="n">
        <x:v>3</x:v>
      </x:c>
      <x:c r="N658" t="str">
        <x:v>否</x:v>
      </x:c>
      <x:c r="O658" t="n">
        <x:v>0</x:v>
      </x:c>
      <x:c r="P658"/>
    </x:row>
    <x:row r="659" ht="20" customHeight="1">
      <x:c r="A659" t="str">
        <x:v>SH000658</x:v>
      </x:c>
      <x:c r="B659" t="str">
        <x:v>SO00454-01</x:v>
      </x:c>
      <x:c r="C659" t="str">
        <x:v>WO00659</x:v>
      </x:c>
      <x:c r="D659" t="str">
        <x:v>LOT00659</x:v>
      </x:c>
      <x:c r="E659" t="str">
        <x:v>EMS-007</x:v>
      </x:c>
      <x:c r="F659" t="str">
        <x:v>AUTO-BS-B</x:v>
      </x:c>
      <x:c r="G659" s="20" t="n">
        <x:v>45928</x:v>
      </x:c>
      <x:c r="H659" s="20" t="n">
        <x:v>45930</x:v>
      </x:c>
      <x:c r="I659" s="20" t="n">
        <x:v>45931</x:v>
      </x:c>
      <x:c r="J659" t="n">
        <x:v>6401</x:v>
      </x:c>
      <x:c r="K659" t="n">
        <x:v>859.55</x:v>
      </x:c>
      <x:c r="L659" t="str">
        <x:v>陸運</x:v>
      </x:c>
      <x:c r="M659" t="n">
        <x:v>3</x:v>
      </x:c>
      <x:c r="N659" t="str">
        <x:v>否</x:v>
      </x:c>
      <x:c r="O659" t="n">
        <x:v>0</x:v>
      </x:c>
      <x:c r="P659"/>
    </x:row>
    <x:row r="660" ht="20" customHeight="1">
      <x:c r="A660" t="str">
        <x:v>SH000659</x:v>
      </x:c>
      <x:c r="B660" t="str">
        <x:v>SO00454-01</x:v>
      </x:c>
      <x:c r="C660" t="str">
        <x:v>WO00658</x:v>
      </x:c>
      <x:c r="D660" t="str">
        <x:v>LOT00658</x:v>
      </x:c>
      <x:c r="E660" t="str">
        <x:v>EMS-007</x:v>
      </x:c>
      <x:c r="F660" t="str">
        <x:v>AUTO-BS-B</x:v>
      </x:c>
      <x:c r="G660" s="20" t="n">
        <x:v>45928</x:v>
      </x:c>
      <x:c r="H660" s="20" t="n">
        <x:v>45929</x:v>
      </x:c>
      <x:c r="I660" s="20" t="n">
        <x:v>45933</x:v>
      </x:c>
      <x:c r="J660" t="n">
        <x:v>6433</x:v>
      </x:c>
      <x:c r="K660" t="n">
        <x:v>859.55</x:v>
      </x:c>
      <x:c r="L660" t="str">
        <x:v>陸運</x:v>
      </x:c>
      <x:c r="M660" t="n">
        <x:v>5</x:v>
      </x:c>
      <x:c r="N660" t="str">
        <x:v>否</x:v>
      </x:c>
      <x:c r="O660" t="n">
        <x:v>0</x:v>
      </x:c>
      <x:c r="P660"/>
    </x:row>
    <x:row r="661" ht="20" customHeight="1">
      <x:c r="A661" t="str">
        <x:v>SH000660</x:v>
      </x:c>
      <x:c r="B661" t="str">
        <x:v>SO00455-01</x:v>
      </x:c>
      <x:c r="C661" t="str">
        <x:v>WO00660</x:v>
      </x:c>
      <x:c r="D661" t="str">
        <x:v>LOT00660</x:v>
      </x:c>
      <x:c r="E661" t="str">
        <x:v>AFT-006</x:v>
      </x:c>
      <x:c r="F661" t="str">
        <x:v>AUTO-MH-B</x:v>
      </x:c>
      <x:c r="G661" s="20" t="n">
        <x:v>45907</x:v>
      </x:c>
      <x:c r="H661" s="20" t="n">
        <x:v>45905</x:v>
      </x:c>
      <x:c r="I661" s="20" t="n">
        <x:v>45906</x:v>
      </x:c>
      <x:c r="J661" t="n">
        <x:v>4914</x:v>
      </x:c>
      <x:c r="K661" t="n">
        <x:v>2916.4</x:v>
      </x:c>
      <x:c r="L661" t="str">
        <x:v>陸運</x:v>
      </x:c>
      <x:c r="M661" t="n">
        <x:v>0</x:v>
      </x:c>
      <x:c r="N661" t="str">
        <x:v>是</x:v>
      </x:c>
      <x:c r="O661" t="n">
        <x:v>0</x:v>
      </x:c>
      <x:c r="P661"/>
    </x:row>
    <x:row r="662" ht="20" customHeight="1">
      <x:c r="A662" t="str">
        <x:v>SH000661</x:v>
      </x:c>
      <x:c r="B662" t="str">
        <x:v>SO00456-01</x:v>
      </x:c>
      <x:c r="C662" t="str">
        <x:v>WO00662</x:v>
      </x:c>
      <x:c r="D662" t="str">
        <x:v>LOT00662</x:v>
      </x:c>
      <x:c r="E662" t="str">
        <x:v>SEM-010</x:v>
      </x:c>
      <x:c r="F662" t="str">
        <x:v>MECH-STG-A</x:v>
      </x:c>
      <x:c r="G662" s="20" t="n">
        <x:v>45919</x:v>
      </x:c>
      <x:c r="H662" s="20" t="n">
        <x:v>45916</x:v>
      </x:c>
      <x:c r="I662" s="20" t="n">
        <x:v>45920</x:v>
      </x:c>
      <x:c r="J662" t="n">
        <x:v>15</x:v>
      </x:c>
      <x:c r="K662" t="n">
        <x:v>139195.56</x:v>
      </x:c>
      <x:c r="L662" t="str">
        <x:v>海運</x:v>
      </x:c>
      <x:c r="M662" t="n">
        <x:v>1</x:v>
      </x:c>
      <x:c r="N662" t="str">
        <x:v>否</x:v>
      </x:c>
      <x:c r="O662" t="n">
        <x:v>0</x:v>
      </x:c>
      <x:c r="P662"/>
    </x:row>
    <x:row r="663" ht="20" customHeight="1">
      <x:c r="A663" t="str">
        <x:v>SH000662</x:v>
      </x:c>
      <x:c r="B663" t="str">
        <x:v>SO00456-01</x:v>
      </x:c>
      <x:c r="C663" t="str">
        <x:v>WO00661</x:v>
      </x:c>
      <x:c r="D663" t="str">
        <x:v>LOT00661</x:v>
      </x:c>
      <x:c r="E663" t="str">
        <x:v>SEM-010</x:v>
      </x:c>
      <x:c r="F663" t="str">
        <x:v>MECH-STG-A</x:v>
      </x:c>
      <x:c r="G663" s="20" t="n">
        <x:v>45919</x:v>
      </x:c>
      <x:c r="H663" s="20" t="n">
        <x:v>45919</x:v>
      </x:c>
      <x:c r="I663" s="20" t="n">
        <x:v>45923</x:v>
      </x:c>
      <x:c r="J663" t="n">
        <x:v>15</x:v>
      </x:c>
      <x:c r="K663" t="n">
        <x:v>139195.56</x:v>
      </x:c>
      <x:c r="L663" t="str">
        <x:v>海運</x:v>
      </x:c>
      <x:c r="M663" t="n">
        <x:v>4</x:v>
      </x:c>
      <x:c r="N663" t="str">
        <x:v>否</x:v>
      </x:c>
      <x:c r="O663" t="n">
        <x:v>0</x:v>
      </x:c>
      <x:c r="P663"/>
    </x:row>
    <x:row r="664" ht="20" customHeight="1">
      <x:c r="A664" t="str">
        <x:v>SH000663</x:v>
      </x:c>
      <x:c r="B664" t="str">
        <x:v>SO00457-01</x:v>
      </x:c>
      <x:c r="C664" t="str">
        <x:v>WO00663</x:v>
      </x:c>
      <x:c r="D664" t="str">
        <x:v>LOT00663</x:v>
      </x:c>
      <x:c r="E664" t="str">
        <x:v>AFT-002</x:v>
      </x:c>
      <x:c r="F664" t="str">
        <x:v>AUTO-LG-A</x:v>
      </x:c>
      <x:c r="G664" s="20" t="n">
        <x:v>45910</x:v>
      </x:c>
      <x:c r="H664" s="20" t="n">
        <x:v>45909</x:v>
      </x:c>
      <x:c r="I664" s="20" t="n">
        <x:v>45910</x:v>
      </x:c>
      <x:c r="J664" t="n">
        <x:v>4928</x:v>
      </x:c>
      <x:c r="K664" t="n">
        <x:v>1122.03</x:v>
      </x:c>
      <x:c r="L664" t="str">
        <x:v>空運</x:v>
      </x:c>
      <x:c r="M664" t="n">
        <x:v>0</x:v>
      </x:c>
      <x:c r="N664" t="str">
        <x:v>是</x:v>
      </x:c>
      <x:c r="O664" t="n">
        <x:v>0</x:v>
      </x:c>
      <x:c r="P664"/>
    </x:row>
    <x:row r="665" ht="20" customHeight="1">
      <x:c r="A665" t="str">
        <x:v>SH000664</x:v>
      </x:c>
      <x:c r="B665" t="str">
        <x:v>SO00458-01</x:v>
      </x:c>
      <x:c r="C665" t="str">
        <x:v>WO00664</x:v>
      </x:c>
      <x:c r="D665" t="str">
        <x:v>LOT00664</x:v>
      </x:c>
      <x:c r="E665" t="str">
        <x:v>AUT-001</x:v>
      </x:c>
      <x:c r="F665" t="str">
        <x:v>AUTO-BRK-B</x:v>
      </x:c>
      <x:c r="G665" s="20" t="n">
        <x:v>45915</x:v>
      </x:c>
      <x:c r="H665" s="20" t="n">
        <x:v>45910</x:v>
      </x:c>
      <x:c r="I665" s="20" t="n">
        <x:v>45912</x:v>
      </x:c>
      <x:c r="J665" t="n">
        <x:v>4971</x:v>
      </x:c>
      <x:c r="K665" t="n">
        <x:v>2175.72</x:v>
      </x:c>
      <x:c r="L665" t="str">
        <x:v>空運</x:v>
      </x:c>
      <x:c r="M665" t="n">
        <x:v>0</x:v>
      </x:c>
      <x:c r="N665" t="str">
        <x:v>是</x:v>
      </x:c>
      <x:c r="O665" t="n">
        <x:v>0</x:v>
      </x:c>
      <x:c r="P665"/>
    </x:row>
    <x:row r="666" ht="20" customHeight="1">
      <x:c r="A666" t="str">
        <x:v>SH000665</x:v>
      </x:c>
      <x:c r="B666" t="str">
        <x:v>SO00459-01</x:v>
      </x:c>
      <x:c r="C666" t="str">
        <x:v>WO00666</x:v>
      </x:c>
      <x:c r="D666" t="str">
        <x:v>LOT00666</x:v>
      </x:c>
      <x:c r="E666" t="str">
        <x:v>AUT-003</x:v>
      </x:c>
      <x:c r="F666" t="str">
        <x:v>AUTO-KN-B</x:v>
      </x:c>
      <x:c r="G666" s="20" t="n">
        <x:v>45906</x:v>
      </x:c>
      <x:c r="H666" s="20" t="n">
        <x:v>45904</x:v>
      </x:c>
      <x:c r="I666" s="20" t="n">
        <x:v>45906</x:v>
      </x:c>
      <x:c r="J666" t="n">
        <x:v>4936</x:v>
      </x:c>
      <x:c r="K666" t="n">
        <x:v>3814.66</x:v>
      </x:c>
      <x:c r="L666" t="str">
        <x:v>海運</x:v>
      </x:c>
      <x:c r="M666" t="n">
        <x:v>0</x:v>
      </x:c>
      <x:c r="N666" t="str">
        <x:v>是</x:v>
      </x:c>
      <x:c r="O666" t="n">
        <x:v>0</x:v>
      </x:c>
      <x:c r="P666"/>
    </x:row>
    <x:row r="667" ht="20" customHeight="1">
      <x:c r="A667" t="str">
        <x:v>SH000666</x:v>
      </x:c>
      <x:c r="B667" t="str">
        <x:v>SO00459-01</x:v>
      </x:c>
      <x:c r="C667" t="str">
        <x:v>WO00665</x:v>
      </x:c>
      <x:c r="D667" t="str">
        <x:v>LOT00665</x:v>
      </x:c>
      <x:c r="E667" t="str">
        <x:v>AUT-003</x:v>
      </x:c>
      <x:c r="F667" t="str">
        <x:v>AUTO-KN-B</x:v>
      </x:c>
      <x:c r="G667" s="20" t="n">
        <x:v>45906</x:v>
      </x:c>
      <x:c r="H667" s="20" t="n">
        <x:v>45909</x:v>
      </x:c>
      <x:c r="I667" s="20" t="n">
        <x:v>45910</x:v>
      </x:c>
      <x:c r="J667" t="n">
        <x:v>4970</x:v>
      </x:c>
      <x:c r="K667" t="n">
        <x:v>3814.66</x:v>
      </x:c>
      <x:c r="L667" t="str">
        <x:v>海運</x:v>
      </x:c>
      <x:c r="M667" t="n">
        <x:v>4</x:v>
      </x:c>
      <x:c r="N667" t="str">
        <x:v>否</x:v>
      </x:c>
      <x:c r="O667" t="n">
        <x:v>0</x:v>
      </x:c>
      <x:c r="P667"/>
    </x:row>
    <x:row r="668" ht="20" customHeight="1">
      <x:c r="A668" t="str">
        <x:v>SH000667</x:v>
      </x:c>
      <x:c r="B668" t="str">
        <x:v>SO00460-01</x:v>
      </x:c>
      <x:c r="C668" t="str">
        <x:v>WO00668</x:v>
      </x:c>
      <x:c r="D668" t="str">
        <x:v>LOT00668</x:v>
      </x:c>
      <x:c r="E668" t="str">
        <x:v>AUT-011</x:v>
      </x:c>
      <x:c r="F668" t="str">
        <x:v>MECH-CON-B</x:v>
      </x:c>
      <x:c r="G668" s="20" t="n">
        <x:v>45949</x:v>
      </x:c>
      <x:c r="H668" s="20" t="n">
        <x:v>45951</x:v>
      </x:c>
      <x:c r="I668" s="20" t="n">
        <x:v>45952</x:v>
      </x:c>
      <x:c r="J668" t="n">
        <x:v>20</x:v>
      </x:c>
      <x:c r="K668" t="n">
        <x:v>157223.7</x:v>
      </x:c>
      <x:c r="L668" t="str">
        <x:v>陸運</x:v>
      </x:c>
      <x:c r="M668" t="n">
        <x:v>3</x:v>
      </x:c>
      <x:c r="N668" t="str">
        <x:v>否</x:v>
      </x:c>
      <x:c r="O668" t="n">
        <x:v>0</x:v>
      </x:c>
      <x:c r="P668"/>
    </x:row>
    <x:row r="669" ht="20" customHeight="1">
      <x:c r="A669" t="str">
        <x:v>SH000668</x:v>
      </x:c>
      <x:c r="B669" t="str">
        <x:v>SO00460-01</x:v>
      </x:c>
      <x:c r="C669" t="str">
        <x:v>WO00667</x:v>
      </x:c>
      <x:c r="D669" t="str">
        <x:v>LOT00667</x:v>
      </x:c>
      <x:c r="E669" t="str">
        <x:v>AUT-011</x:v>
      </x:c>
      <x:c r="F669" t="str">
        <x:v>MECH-CON-B</x:v>
      </x:c>
      <x:c r="G669" s="20" t="n">
        <x:v>45949</x:v>
      </x:c>
      <x:c r="H669" s="20" t="n">
        <x:v>45956</x:v>
      </x:c>
      <x:c r="I669" s="20" t="n">
        <x:v>45961</x:v>
      </x:c>
      <x:c r="J669" t="n">
        <x:v>20</x:v>
      </x:c>
      <x:c r="K669" t="n">
        <x:v>157223.7</x:v>
      </x:c>
      <x:c r="L669" t="str">
        <x:v>空運</x:v>
      </x:c>
      <x:c r="M669" t="n">
        <x:v>12</x:v>
      </x:c>
      <x:c r="N669" t="str">
        <x:v>否</x:v>
      </x:c>
      <x:c r="O669" t="n">
        <x:v>0</x:v>
      </x:c>
      <x:c r="P669"/>
    </x:row>
    <x:row r="670" ht="20" customHeight="1">
      <x:c r="A670" t="str">
        <x:v>SH000669</x:v>
      </x:c>
      <x:c r="B670" t="str">
        <x:v>SO00461-01</x:v>
      </x:c>
      <x:c r="C670" t="str">
        <x:v>WO00670</x:v>
      </x:c>
      <x:c r="D670" t="str">
        <x:v>LOT00670</x:v>
      </x:c>
      <x:c r="E670" t="str">
        <x:v>IAT-007</x:v>
      </x:c>
      <x:c r="F670" t="str">
        <x:v>MECH-CON-A</x:v>
      </x:c>
      <x:c r="G670" s="20" t="n">
        <x:v>45937</x:v>
      </x:c>
      <x:c r="H670" s="20" t="n">
        <x:v>45933</x:v>
      </x:c>
      <x:c r="I670" s="20" t="n">
        <x:v>45938</x:v>
      </x:c>
      <x:c r="J670" t="n">
        <x:v>17</x:v>
      </x:c>
      <x:c r="K670" t="n">
        <x:v>111383.55</x:v>
      </x:c>
      <x:c r="L670" t="str">
        <x:v>空運</x:v>
      </x:c>
      <x:c r="M670" t="n">
        <x:v>1</x:v>
      </x:c>
      <x:c r="N670" t="str">
        <x:v>否</x:v>
      </x:c>
      <x:c r="O670" t="n">
        <x:v>0</x:v>
      </x:c>
      <x:c r="P670"/>
    </x:row>
    <x:row r="671" ht="20" customHeight="1">
      <x:c r="A671" t="str">
        <x:v>SH000670</x:v>
      </x:c>
      <x:c r="B671" t="str">
        <x:v>SO00461-01</x:v>
      </x:c>
      <x:c r="C671" t="str">
        <x:v>WO00669</x:v>
      </x:c>
      <x:c r="D671" t="str">
        <x:v>LOT00669</x:v>
      </x:c>
      <x:c r="E671" t="str">
        <x:v>IAT-007</x:v>
      </x:c>
      <x:c r="F671" t="str">
        <x:v>MECH-CON-A</x:v>
      </x:c>
      <x:c r="G671" s="20" t="n">
        <x:v>45937</x:v>
      </x:c>
      <x:c r="H671" s="20" t="n">
        <x:v>45933</x:v>
      </x:c>
      <x:c r="I671" s="20" t="n">
        <x:v>45938</x:v>
      </x:c>
      <x:c r="J671" t="n">
        <x:v>17</x:v>
      </x:c>
      <x:c r="K671" t="n">
        <x:v>111383.55</x:v>
      </x:c>
      <x:c r="L671" t="str">
        <x:v>空運</x:v>
      </x:c>
      <x:c r="M671" t="n">
        <x:v>1</x:v>
      </x:c>
      <x:c r="N671" t="str">
        <x:v>否</x:v>
      </x:c>
      <x:c r="O671" t="n">
        <x:v>0</x:v>
      </x:c>
      <x:c r="P671"/>
    </x:row>
    <x:row r="672" ht="20" customHeight="1">
      <x:c r="A672" t="str">
        <x:v>SH000671</x:v>
      </x:c>
      <x:c r="B672" t="str">
        <x:v>SO00461-01</x:v>
      </x:c>
      <x:c r="C672" t="str">
        <x:v>WO00671</x:v>
      </x:c>
      <x:c r="D672" t="str">
        <x:v>LOT00671</x:v>
      </x:c>
      <x:c r="E672" t="str">
        <x:v>IAT-007</x:v>
      </x:c>
      <x:c r="F672" t="str">
        <x:v>MECH-CON-A</x:v>
      </x:c>
      <x:c r="G672" s="20" t="n">
        <x:v>45937</x:v>
      </x:c>
      <x:c r="H672" s="20" t="n">
        <x:v>45934</x:v>
      </x:c>
      <x:c r="I672" s="20" t="n">
        <x:v>45935</x:v>
      </x:c>
      <x:c r="J672" t="n">
        <x:v>16</x:v>
      </x:c>
      <x:c r="K672" t="n">
        <x:v>111383.55</x:v>
      </x:c>
      <x:c r="L672" t="str">
        <x:v>陸運</x:v>
      </x:c>
      <x:c r="M672" t="n">
        <x:v>0</x:v>
      </x:c>
      <x:c r="N672" t="str">
        <x:v>是</x:v>
      </x:c>
      <x:c r="O672" t="n">
        <x:v>0</x:v>
      </x:c>
      <x:c r="P672"/>
    </x:row>
    <x:row r="673" ht="20" customHeight="1">
      <x:c r="A673" t="str">
        <x:v>SH000672</x:v>
      </x:c>
      <x:c r="B673" t="str">
        <x:v>SO00462-01</x:v>
      </x:c>
      <x:c r="C673" t="str">
        <x:v>WO00672</x:v>
      </x:c>
      <x:c r="D673" t="str">
        <x:v>LOT00672</x:v>
      </x:c>
      <x:c r="E673" t="str">
        <x:v>IAT-002</x:v>
      </x:c>
      <x:c r="F673" t="str">
        <x:v>AUTO-LG-B</x:v>
      </x:c>
      <x:c r="G673" s="20" t="n">
        <x:v>45917</x:v>
      </x:c>
      <x:c r="H673" s="20" t="n">
        <x:v>45914</x:v>
      </x:c>
      <x:c r="I673" s="20" t="n">
        <x:v>45915</x:v>
      </x:c>
      <x:c r="J673" t="n">
        <x:v>4892</x:v>
      </x:c>
      <x:c r="K673" t="n">
        <x:v>1209.87</x:v>
      </x:c>
      <x:c r="L673" t="str">
        <x:v>空運</x:v>
      </x:c>
      <x:c r="M673" t="n">
        <x:v>0</x:v>
      </x:c>
      <x:c r="N673" t="str">
        <x:v>是</x:v>
      </x:c>
      <x:c r="O673" t="n">
        <x:v>0</x:v>
      </x:c>
      <x:c r="P673"/>
    </x:row>
    <x:row r="674" ht="20" customHeight="1">
      <x:c r="A674" t="str">
        <x:v>SH000673</x:v>
      </x:c>
      <x:c r="B674" t="str">
        <x:v>SO00463-01</x:v>
      </x:c>
      <x:c r="C674" t="str">
        <x:v>WO00673</x:v>
      </x:c>
      <x:c r="D674" t="str">
        <x:v>LOT00673</x:v>
      </x:c>
      <x:c r="E674" t="str">
        <x:v>EMS-002</x:v>
      </x:c>
      <x:c r="F674" t="str">
        <x:v>AUTO-LG-A</x:v>
      </x:c>
      <x:c r="G674" s="20" t="n">
        <x:v>45946</x:v>
      </x:c>
      <x:c r="H674" s="20" t="n">
        <x:v>45951</x:v>
      </x:c>
      <x:c r="I674" s="20" t="n">
        <x:v>45953</x:v>
      </x:c>
      <x:c r="J674" t="n">
        <x:v>6900</x:v>
      </x:c>
      <x:c r="K674" t="n">
        <x:v>1159.82</x:v>
      </x:c>
      <x:c r="L674" t="str">
        <x:v>海運</x:v>
      </x:c>
      <x:c r="M674" t="n">
        <x:v>7</x:v>
      </x:c>
      <x:c r="N674" t="str">
        <x:v>否</x:v>
      </x:c>
      <x:c r="O674" t="n">
        <x:v>0</x:v>
      </x:c>
      <x:c r="P674"/>
    </x:row>
    <x:row r="675" ht="20" customHeight="1">
      <x:c r="A675" t="str">
        <x:v>SH000674</x:v>
      </x:c>
      <x:c r="B675" t="str">
        <x:v>SO00464-01</x:v>
      </x:c>
      <x:c r="C675" t="str">
        <x:v>WO00674</x:v>
      </x:c>
      <x:c r="D675" t="str">
        <x:v>LOT00674</x:v>
      </x:c>
      <x:c r="E675" t="str">
        <x:v>AUT-001</x:v>
      </x:c>
      <x:c r="F675" t="str">
        <x:v>PM-BRG-B</x:v>
      </x:c>
      <x:c r="G675" s="20" t="n">
        <x:v>45942</x:v>
      </x:c>
      <x:c r="H675" s="20" t="n">
        <x:v>45938</x:v>
      </x:c>
      <x:c r="I675" s="20" t="n">
        <x:v>45939</x:v>
      </x:c>
      <x:c r="J675" t="n">
        <x:v>293</x:v>
      </x:c>
      <x:c r="K675" t="n">
        <x:v>8170.9</x:v>
      </x:c>
      <x:c r="L675" t="str">
        <x:v>海運</x:v>
      </x:c>
      <x:c r="M675" t="n">
        <x:v>0</x:v>
      </x:c>
      <x:c r="N675" t="str">
        <x:v>是</x:v>
      </x:c>
      <x:c r="O675" t="n">
        <x:v>0</x:v>
      </x:c>
      <x:c r="P675"/>
    </x:row>
    <x:row r="676" ht="20" customHeight="1">
      <x:c r="A676" t="str">
        <x:v>SH000675</x:v>
      </x:c>
      <x:c r="B676" t="str">
        <x:v>SO00465-01</x:v>
      </x:c>
      <x:c r="C676" t="str">
        <x:v>WO00676</x:v>
      </x:c>
      <x:c r="D676" t="str">
        <x:v>LOT00676</x:v>
      </x:c>
      <x:c r="E676" t="str">
        <x:v>SEM-005</x:v>
      </x:c>
      <x:c r="F676" t="str">
        <x:v>PM-BRG-A</x:v>
      </x:c>
      <x:c r="G676" s="20" t="n">
        <x:v>45934</x:v>
      </x:c>
      <x:c r="H676" s="20" t="n">
        <x:v>45930</x:v>
      </x:c>
      <x:c r="I676" s="20" t="n">
        <x:v>45932</x:v>
      </x:c>
      <x:c r="J676" t="n">
        <x:v>785</x:v>
      </x:c>
      <x:c r="K676" t="n">
        <x:v>6766.31</x:v>
      </x:c>
      <x:c r="L676" t="str">
        <x:v>空運</x:v>
      </x:c>
      <x:c r="M676" t="n">
        <x:v>0</x:v>
      </x:c>
      <x:c r="N676" t="str">
        <x:v>是</x:v>
      </x:c>
      <x:c r="O676" t="n">
        <x:v>0</x:v>
      </x:c>
      <x:c r="P676"/>
    </x:row>
    <x:row r="677" ht="20" customHeight="1">
      <x:c r="A677" t="str">
        <x:v>SH000676</x:v>
      </x:c>
      <x:c r="B677" t="str">
        <x:v>SO00465-01</x:v>
      </x:c>
      <x:c r="C677" t="str">
        <x:v>WO00675</x:v>
      </x:c>
      <x:c r="D677" t="str">
        <x:v>LOT00675</x:v>
      </x:c>
      <x:c r="E677" t="str">
        <x:v>SEM-005</x:v>
      </x:c>
      <x:c r="F677" t="str">
        <x:v>PM-BRG-A</x:v>
      </x:c>
      <x:c r="G677" s="20" t="n">
        <x:v>45934</x:v>
      </x:c>
      <x:c r="H677" s="20" t="n">
        <x:v>45938</x:v>
      </x:c>
      <x:c r="I677" s="20" t="n">
        <x:v>45939</x:v>
      </x:c>
      <x:c r="J677" t="n">
        <x:v>793</x:v>
      </x:c>
      <x:c r="K677" t="n">
        <x:v>6766.31</x:v>
      </x:c>
      <x:c r="L677" t="str">
        <x:v>空運</x:v>
      </x:c>
      <x:c r="M677" t="n">
        <x:v>5</x:v>
      </x:c>
      <x:c r="N677" t="str">
        <x:v>否</x:v>
      </x:c>
      <x:c r="O677" t="n">
        <x:v>0</x:v>
      </x:c>
      <x:c r="P677"/>
    </x:row>
    <x:row r="678" ht="20" customHeight="1">
      <x:c r="A678" t="str">
        <x:v>SH000677</x:v>
      </x:c>
      <x:c r="B678" t="str">
        <x:v>SO00466-01</x:v>
      </x:c>
      <x:c r="C678" t="str">
        <x:v>WO00677</x:v>
      </x:c>
      <x:c r="D678" t="str">
        <x:v>LOT00677</x:v>
      </x:c>
      <x:c r="E678" t="str">
        <x:v>IAT-009</x:v>
      </x:c>
      <x:c r="F678" t="str">
        <x:v>AUTO-MH-B</x:v>
      </x:c>
      <x:c r="G678" s="20" t="n">
        <x:v>45950</x:v>
      </x:c>
      <x:c r="H678" s="20" t="n">
        <x:v>45945</x:v>
      </x:c>
      <x:c r="I678" s="20" t="n">
        <x:v>45947</x:v>
      </x:c>
      <x:c r="J678" t="n">
        <x:v>6368</x:v>
      </x:c>
      <x:c r="K678" t="n">
        <x:v>2976.85</x:v>
      </x:c>
      <x:c r="L678" t="str">
        <x:v>陸運</x:v>
      </x:c>
      <x:c r="M678" t="n">
        <x:v>0</x:v>
      </x:c>
      <x:c r="N678" t="str">
        <x:v>是</x:v>
      </x:c>
      <x:c r="O678" t="n">
        <x:v>0</x:v>
      </x:c>
      <x:c r="P678"/>
    </x:row>
    <x:row r="679" ht="20" customHeight="1">
      <x:c r="A679" t="str">
        <x:v>SH000678</x:v>
      </x:c>
      <x:c r="B679" t="str">
        <x:v>SO00466-01</x:v>
      </x:c>
      <x:c r="C679" t="str">
        <x:v>WO00678</x:v>
      </x:c>
      <x:c r="D679" t="str">
        <x:v>LOT00678</x:v>
      </x:c>
      <x:c r="E679" t="str">
        <x:v>IAT-009</x:v>
      </x:c>
      <x:c r="F679" t="str">
        <x:v>AUTO-MH-B</x:v>
      </x:c>
      <x:c r="G679" s="20" t="n">
        <x:v>45950</x:v>
      </x:c>
      <x:c r="H679" s="20" t="n">
        <x:v>45948</x:v>
      </x:c>
      <x:c r="I679" s="20" t="n">
        <x:v>45949</x:v>
      </x:c>
      <x:c r="J679" t="n">
        <x:v>6440</x:v>
      </x:c>
      <x:c r="K679" t="n">
        <x:v>2976.85</x:v>
      </x:c>
      <x:c r="L679" t="str">
        <x:v>陸運</x:v>
      </x:c>
      <x:c r="M679" t="n">
        <x:v>0</x:v>
      </x:c>
      <x:c r="N679" t="str">
        <x:v>是</x:v>
      </x:c>
      <x:c r="O679" t="n">
        <x:v>0</x:v>
      </x:c>
      <x:c r="P679"/>
    </x:row>
    <x:row r="680" ht="20" customHeight="1">
      <x:c r="A680" t="str">
        <x:v>SH000679</x:v>
      </x:c>
      <x:c r="B680" t="str">
        <x:v>SO00467-01</x:v>
      </x:c>
      <x:c r="C680" t="str">
        <x:v>WO00679</x:v>
      </x:c>
      <x:c r="D680" t="str">
        <x:v>LOT00679</x:v>
      </x:c>
      <x:c r="E680" t="str">
        <x:v>IAT-003</x:v>
      </x:c>
      <x:c r="F680" t="str">
        <x:v>SEMI-CHB-A</x:v>
      </x:c>
      <x:c r="G680" s="20" t="n">
        <x:v>45973</x:v>
      </x:c>
      <x:c r="H680" s="20" t="n">
        <x:v>45967</x:v>
      </x:c>
      <x:c r="I680" s="20" t="n">
        <x:v>45972</x:v>
      </x:c>
      <x:c r="J680" t="n">
        <x:v>58</x:v>
      </x:c>
      <x:c r="K680" t="n">
        <x:v>95175.77</x:v>
      </x:c>
      <x:c r="L680" t="str">
        <x:v>空運</x:v>
      </x:c>
      <x:c r="M680" t="n">
        <x:v>0</x:v>
      </x:c>
      <x:c r="N680" t="str">
        <x:v>是</x:v>
      </x:c>
      <x:c r="O680" t="n">
        <x:v>0</x:v>
      </x:c>
      <x:c r="P680"/>
    </x:row>
    <x:row r="681" ht="20" customHeight="1">
      <x:c r="A681" t="str">
        <x:v>SH000680</x:v>
      </x:c>
      <x:c r="B681" t="str">
        <x:v>SO00468-01</x:v>
      </x:c>
      <x:c r="C681" t="str">
        <x:v>WO00680</x:v>
      </x:c>
      <x:c r="D681" t="str">
        <x:v>LOT00680</x:v>
      </x:c>
      <x:c r="E681" t="str">
        <x:v>SEM-003</x:v>
      </x:c>
      <x:c r="F681" t="str">
        <x:v>MECH-STG-B</x:v>
      </x:c>
      <x:c r="G681" s="20" t="n">
        <x:v>45967</x:v>
      </x:c>
      <x:c r="H681" s="20" t="n">
        <x:v>45965</x:v>
      </x:c>
      <x:c r="I681" s="20" t="n">
        <x:v>45970</x:v>
      </x:c>
      <x:c r="J681" t="n">
        <x:v>20</x:v>
      </x:c>
      <x:c r="K681" t="n">
        <x:v>197537.76</x:v>
      </x:c>
      <x:c r="L681" t="str">
        <x:v>空運</x:v>
      </x:c>
      <x:c r="M681" t="n">
        <x:v>3</x:v>
      </x:c>
      <x:c r="N681" t="str">
        <x:v>否</x:v>
      </x:c>
      <x:c r="O681" t="n">
        <x:v>0</x:v>
      </x:c>
      <x:c r="P681"/>
    </x:row>
    <x:row r="682" ht="20" customHeight="1">
      <x:c r="A682" t="str">
        <x:v>SH000681</x:v>
      </x:c>
      <x:c r="B682" t="str">
        <x:v>SO00469-01</x:v>
      </x:c>
      <x:c r="C682" t="str">
        <x:v>WO00681</x:v>
      </x:c>
      <x:c r="D682" t="str">
        <x:v>LOT00681</x:v>
      </x:c>
      <x:c r="E682" t="str">
        <x:v>AUT-012</x:v>
      </x:c>
      <x:c r="F682" t="str">
        <x:v>MECH-STG-A</x:v>
      </x:c>
      <x:c r="G682" s="20" t="n">
        <x:v>45950</x:v>
      </x:c>
      <x:c r="H682" s="20" t="n">
        <x:v>45946</x:v>
      </x:c>
      <x:c r="I682" s="20" t="n">
        <x:v>45949</x:v>
      </x:c>
      <x:c r="J682" t="n">
        <x:v>15</x:v>
      </x:c>
      <x:c r="K682" t="n">
        <x:v>134901.38</x:v>
      </x:c>
      <x:c r="L682" t="str">
        <x:v>空運</x:v>
      </x:c>
      <x:c r="M682" t="n">
        <x:v>0</x:v>
      </x:c>
      <x:c r="N682" t="str">
        <x:v>是</x:v>
      </x:c>
      <x:c r="O682" t="n">
        <x:v>0</x:v>
      </x:c>
      <x:c r="P682"/>
    </x:row>
    <x:row r="683" ht="20" customHeight="1">
      <x:c r="A683" t="str">
        <x:v>SH000682</x:v>
      </x:c>
      <x:c r="B683" t="str">
        <x:v>SO00469-01</x:v>
      </x:c>
      <x:c r="C683" t="str">
        <x:v>WO00682</x:v>
      </x:c>
      <x:c r="D683" t="str">
        <x:v>LOT00682</x:v>
      </x:c>
      <x:c r="E683" t="str">
        <x:v>AUT-012</x:v>
      </x:c>
      <x:c r="F683" t="str">
        <x:v>MECH-STG-A</x:v>
      </x:c>
      <x:c r="G683" s="20" t="n">
        <x:v>45950</x:v>
      </x:c>
      <x:c r="H683" s="20" t="n">
        <x:v>45950</x:v>
      </x:c>
      <x:c r="I683" s="20" t="n">
        <x:v>45953</x:v>
      </x:c>
      <x:c r="J683" t="n">
        <x:v>15</x:v>
      </x:c>
      <x:c r="K683" t="n">
        <x:v>134901.38</x:v>
      </x:c>
      <x:c r="L683" t="str">
        <x:v>海運</x:v>
      </x:c>
      <x:c r="M683" t="n">
        <x:v>3</x:v>
      </x:c>
      <x:c r="N683" t="str">
        <x:v>否</x:v>
      </x:c>
      <x:c r="O683" t="n">
        <x:v>0</x:v>
      </x:c>
      <x:c r="P683"/>
    </x:row>
    <x:row r="684" ht="20" customHeight="1">
      <x:c r="A684" t="str">
        <x:v>SH000683</x:v>
      </x:c>
      <x:c r="B684" t="str">
        <x:v>SO00470-01</x:v>
      </x:c>
      <x:c r="C684" t="str">
        <x:v>WO00683</x:v>
      </x:c>
      <x:c r="D684" t="str">
        <x:v>LOT00683</x:v>
      </x:c>
      <x:c r="E684" t="str">
        <x:v>AUT-010</x:v>
      </x:c>
      <x:c r="F684" t="str">
        <x:v>AUTO-FL-A</x:v>
      </x:c>
      <x:c r="G684" s="20" t="n">
        <x:v>45931</x:v>
      </x:c>
      <x:c r="H684" s="20" t="n">
        <x:v>45928</x:v>
      </x:c>
      <x:c r="I684" s="20" t="n">
        <x:v>45929</x:v>
      </x:c>
      <x:c r="J684" t="n">
        <x:v>2935</x:v>
      </x:c>
      <x:c r="K684" t="n">
        <x:v>1247.28</x:v>
      </x:c>
      <x:c r="L684" t="str">
        <x:v>空運</x:v>
      </x:c>
      <x:c r="M684" t="n">
        <x:v>0</x:v>
      </x:c>
      <x:c r="N684" t="str">
        <x:v>是</x:v>
      </x:c>
      <x:c r="O684" t="n">
        <x:v>0</x:v>
      </x:c>
      <x:c r="P684"/>
    </x:row>
    <x:row r="685" ht="20" customHeight="1">
      <x:c r="A685" t="str">
        <x:v>SH000684</x:v>
      </x:c>
      <x:c r="B685" t="str">
        <x:v>SO00471-01</x:v>
      </x:c>
      <x:c r="C685" t="str">
        <x:v>WO00684</x:v>
      </x:c>
      <x:c r="D685" t="str">
        <x:v>LOT00684</x:v>
      </x:c>
      <x:c r="E685" t="str">
        <x:v>AFT-004</x:v>
      </x:c>
      <x:c r="F685" t="str">
        <x:v>PM-SUS-A</x:v>
      </x:c>
      <x:c r="G685" s="20" t="n">
        <x:v>45964</x:v>
      </x:c>
      <x:c r="H685" s="20" t="n">
        <x:v>45964</x:v>
      </x:c>
      <x:c r="I685" s="20" t="n">
        <x:v>45966</x:v>
      </x:c>
      <x:c r="J685" t="n">
        <x:v>487</x:v>
      </x:c>
      <x:c r="K685" t="n">
        <x:v>10746.93</x:v>
      </x:c>
      <x:c r="L685" t="str">
        <x:v>陸運</x:v>
      </x:c>
      <x:c r="M685" t="n">
        <x:v>2</x:v>
      </x:c>
      <x:c r="N685" t="str">
        <x:v>否</x:v>
      </x:c>
      <x:c r="O685" t="n">
        <x:v>0</x:v>
      </x:c>
      <x:c r="P685"/>
    </x:row>
    <x:row r="686" ht="20" customHeight="1">
      <x:c r="A686" t="str">
        <x:v>SH000685</x:v>
      </x:c>
      <x:c r="B686" t="str">
        <x:v>SO00472-01</x:v>
      </x:c>
      <x:c r="C686" t="str">
        <x:v>WO00685</x:v>
      </x:c>
      <x:c r="D686" t="str">
        <x:v>LOT00685</x:v>
      </x:c>
      <x:c r="E686" t="str">
        <x:v>AUT-009</x:v>
      </x:c>
      <x:c r="F686" t="str">
        <x:v>MECH-CON-A</x:v>
      </x:c>
      <x:c r="G686" s="20" t="n">
        <x:v>45942</x:v>
      </x:c>
      <x:c r="H686" s="20" t="n">
        <x:v>45938</x:v>
      </x:c>
      <x:c r="I686" s="20" t="n">
        <x:v>45943</x:v>
      </x:c>
      <x:c r="J686" t="n">
        <x:v>10</x:v>
      </x:c>
      <x:c r="K686" t="n">
        <x:v>113417.57</x:v>
      </x:c>
      <x:c r="L686" t="str">
        <x:v>海運</x:v>
      </x:c>
      <x:c r="M686" t="n">
        <x:v>1</x:v>
      </x:c>
      <x:c r="N686" t="str">
        <x:v>否</x:v>
      </x:c>
      <x:c r="O686" t="n">
        <x:v>0</x:v>
      </x:c>
      <x:c r="P686"/>
    </x:row>
    <x:row r="687" ht="20" customHeight="1">
      <x:c r="A687" t="str">
        <x:v>SH000686</x:v>
      </x:c>
      <x:c r="B687" t="str">
        <x:v>SO00473-01</x:v>
      </x:c>
      <x:c r="C687" t="str">
        <x:v>WO00686</x:v>
      </x:c>
      <x:c r="D687" t="str">
        <x:v>LOT00686</x:v>
      </x:c>
      <x:c r="E687" t="str">
        <x:v>AFT-005</x:v>
      </x:c>
      <x:c r="F687" t="str">
        <x:v>PM-VAC-A</x:v>
      </x:c>
      <x:c r="G687" s="20" t="n">
        <x:v>45958</x:v>
      </x:c>
      <x:c r="H687" s="20" t="n">
        <x:v>45956</x:v>
      </x:c>
      <x:c r="I687" s="20" t="n">
        <x:v>45960</x:v>
      </x:c>
      <x:c r="J687" t="n">
        <x:v>590</x:v>
      </x:c>
      <x:c r="K687" t="n">
        <x:v>15495.1</x:v>
      </x:c>
      <x:c r="L687" t="str">
        <x:v>海運</x:v>
      </x:c>
      <x:c r="M687" t="n">
        <x:v>2</x:v>
      </x:c>
      <x:c r="N687" t="str">
        <x:v>否</x:v>
      </x:c>
      <x:c r="O687" t="n">
        <x:v>0</x:v>
      </x:c>
      <x:c r="P687"/>
    </x:row>
    <x:row r="688" ht="20" customHeight="1">
      <x:c r="A688" t="str">
        <x:v>SH000687</x:v>
      </x:c>
      <x:c r="B688" t="str">
        <x:v>SO00473-01</x:v>
      </x:c>
      <x:c r="C688" t="str">
        <x:v>WO00687</x:v>
      </x:c>
      <x:c r="D688" t="str">
        <x:v>LOT00687</x:v>
      </x:c>
      <x:c r="E688" t="str">
        <x:v>AFT-005</x:v>
      </x:c>
      <x:c r="F688" t="str">
        <x:v>PM-VAC-A</x:v>
      </x:c>
      <x:c r="G688" s="20" t="n">
        <x:v>45958</x:v>
      </x:c>
      <x:c r="H688" s="20" t="n">
        <x:v>45956</x:v>
      </x:c>
      <x:c r="I688" s="20" t="n">
        <x:v>45960</x:v>
      </x:c>
      <x:c r="J688" t="n">
        <x:v>594</x:v>
      </x:c>
      <x:c r="K688" t="n">
        <x:v>15495.1</x:v>
      </x:c>
      <x:c r="L688" t="str">
        <x:v>空運</x:v>
      </x:c>
      <x:c r="M688" t="n">
        <x:v>2</x:v>
      </x:c>
      <x:c r="N688" t="str">
        <x:v>否</x:v>
      </x:c>
      <x:c r="O688" t="n">
        <x:v>0</x:v>
      </x:c>
      <x:c r="P688"/>
    </x:row>
    <x:row r="689" ht="20" customHeight="1">
      <x:c r="A689" t="str">
        <x:v>SH000688</x:v>
      </x:c>
      <x:c r="B689" t="str">
        <x:v>SO00474-01</x:v>
      </x:c>
      <x:c r="C689" t="str">
        <x:v>WO00688</x:v>
      </x:c>
      <x:c r="D689" t="str">
        <x:v>LOT00688</x:v>
      </x:c>
      <x:c r="E689" t="str">
        <x:v>EMS-005</x:v>
      </x:c>
      <x:c r="F689" t="str">
        <x:v>AUTO-BRK-A</x:v>
      </x:c>
      <x:c r="G689" s="20" t="n">
        <x:v>45939</x:v>
      </x:c>
      <x:c r="H689" s="20" t="n">
        <x:v>45938</x:v>
      </x:c>
      <x:c r="I689" s="20" t="n">
        <x:v>45941</x:v>
      </x:c>
      <x:c r="J689" t="n">
        <x:v>4990</x:v>
      </x:c>
      <x:c r="K689" t="n">
        <x:v>1763.37</x:v>
      </x:c>
      <x:c r="L689" t="str">
        <x:v>空運</x:v>
      </x:c>
      <x:c r="M689" t="n">
        <x:v>2</x:v>
      </x:c>
      <x:c r="N689" t="str">
        <x:v>否</x:v>
      </x:c>
      <x:c r="O689" t="n">
        <x:v>0</x:v>
      </x:c>
      <x:c r="P689"/>
    </x:row>
    <x:row r="690" ht="20" customHeight="1">
      <x:c r="A690" t="str">
        <x:v>SH000689</x:v>
      </x:c>
      <x:c r="B690" t="str">
        <x:v>SO00475-01</x:v>
      </x:c>
      <x:c r="C690" t="str">
        <x:v>WO00689</x:v>
      </x:c>
      <x:c r="D690" t="str">
        <x:v>LOT00689</x:v>
      </x:c>
      <x:c r="E690" t="str">
        <x:v>EMS-007</x:v>
      </x:c>
      <x:c r="F690" t="str">
        <x:v>PM-ALB-A</x:v>
      </x:c>
      <x:c r="G690" s="20" t="n">
        <x:v>45940</x:v>
      </x:c>
      <x:c r="H690" s="20" t="n">
        <x:v>45941</x:v>
      </x:c>
      <x:c r="I690" s="20" t="n">
        <x:v>45945</x:v>
      </x:c>
      <x:c r="J690" t="n">
        <x:v>292</x:v>
      </x:c>
      <x:c r="K690" t="n">
        <x:v>10209.9</x:v>
      </x:c>
      <x:c r="L690" t="str">
        <x:v>海運</x:v>
      </x:c>
      <x:c r="M690" t="n">
        <x:v>5</x:v>
      </x:c>
      <x:c r="N690" t="str">
        <x:v>否</x:v>
      </x:c>
      <x:c r="O690" t="n">
        <x:v>0</x:v>
      </x:c>
      <x:c r="P690"/>
    </x:row>
    <x:row r="691" ht="20" customHeight="1">
      <x:c r="A691" t="str">
        <x:v>SH000690</x:v>
      </x:c>
      <x:c r="B691" t="str">
        <x:v>SO00476-01</x:v>
      </x:c>
      <x:c r="C691" t="str">
        <x:v>WO00690</x:v>
      </x:c>
      <x:c r="D691" t="str">
        <x:v>LOT00690</x:v>
      </x:c>
      <x:c r="E691" t="str">
        <x:v>AUT-012</x:v>
      </x:c>
      <x:c r="F691" t="str">
        <x:v>AUTO-LG-A</x:v>
      </x:c>
      <x:c r="G691" s="20" t="n">
        <x:v>45931</x:v>
      </x:c>
      <x:c r="H691" s="20" t="n">
        <x:v>45931</x:v>
      </x:c>
      <x:c r="I691" s="20" t="n">
        <x:v>45936</x:v>
      </x:c>
      <x:c r="J691" t="n">
        <x:v>4968</x:v>
      </x:c>
      <x:c r="K691" t="n">
        <x:v>1121.33</x:v>
      </x:c>
      <x:c r="L691" t="str">
        <x:v>陸運</x:v>
      </x:c>
      <x:c r="M691" t="n">
        <x:v>5</x:v>
      </x:c>
      <x:c r="N691" t="str">
        <x:v>否</x:v>
      </x:c>
      <x:c r="O691" t="n">
        <x:v>0</x:v>
      </x:c>
      <x:c r="P691"/>
    </x:row>
    <x:row r="692" ht="20" customHeight="1">
      <x:c r="A692" t="str">
        <x:v>SH000691</x:v>
      </x:c>
      <x:c r="B692" t="str">
        <x:v>SO00477-01</x:v>
      </x:c>
      <x:c r="C692" t="str">
        <x:v>WO00691</x:v>
      </x:c>
      <x:c r="D692" t="str">
        <x:v>LOT00691</x:v>
      </x:c>
      <x:c r="E692" t="str">
        <x:v>IAT-002</x:v>
      </x:c>
      <x:c r="F692" t="str">
        <x:v>AUTO-LG-A</x:v>
      </x:c>
      <x:c r="G692" s="20" t="n">
        <x:v>45933</x:v>
      </x:c>
      <x:c r="H692" s="20" t="n">
        <x:v>45931</x:v>
      </x:c>
      <x:c r="I692" s="20" t="n">
        <x:v>45933</x:v>
      </x:c>
      <x:c r="J692" t="n">
        <x:v>6878</x:v>
      </x:c>
      <x:c r="K692" t="n">
        <x:v>1086.16</x:v>
      </x:c>
      <x:c r="L692" t="str">
        <x:v>陸運</x:v>
      </x:c>
      <x:c r="M692" t="n">
        <x:v>0</x:v>
      </x:c>
      <x:c r="N692" t="str">
        <x:v>是</x:v>
      </x:c>
      <x:c r="O692" t="n">
        <x:v>0</x:v>
      </x:c>
      <x:c r="P692"/>
    </x:row>
    <x:row r="693" ht="20" customHeight="1">
      <x:c r="A693" t="str">
        <x:v>SH000692</x:v>
      </x:c>
      <x:c r="B693" t="str">
        <x:v>SO00478-01</x:v>
      </x:c>
      <x:c r="C693" t="str">
        <x:v>WO00692</x:v>
      </x:c>
      <x:c r="D693" t="str">
        <x:v>LOT00692</x:v>
      </x:c>
      <x:c r="E693" t="str">
        <x:v>SEM-007</x:v>
      </x:c>
      <x:c r="F693" t="str">
        <x:v>PM-BRG-B</x:v>
      </x:c>
      <x:c r="G693" s="20" t="n">
        <x:v>45944</x:v>
      </x:c>
      <x:c r="H693" s="20" t="n">
        <x:v>45942</x:v>
      </x:c>
      <x:c r="I693" s="20" t="n">
        <x:v>45946</x:v>
      </x:c>
      <x:c r="J693" t="n">
        <x:v>779</x:v>
      </x:c>
      <x:c r="K693" t="n">
        <x:v>7423.67</x:v>
      </x:c>
      <x:c r="L693" t="str">
        <x:v>陸運</x:v>
      </x:c>
      <x:c r="M693" t="n">
        <x:v>2</x:v>
      </x:c>
      <x:c r="N693" t="str">
        <x:v>否</x:v>
      </x:c>
      <x:c r="O693" t="n">
        <x:v>0</x:v>
      </x:c>
      <x:c r="P693"/>
    </x:row>
    <x:row r="694" ht="20" customHeight="1">
      <x:c r="A694" t="str">
        <x:v>SH000693</x:v>
      </x:c>
      <x:c r="B694" t="str">
        <x:v>SO00478-01</x:v>
      </x:c>
      <x:c r="C694" t="str">
        <x:v>WO00693</x:v>
      </x:c>
      <x:c r="D694" t="str">
        <x:v>LOT00693</x:v>
      </x:c>
      <x:c r="E694" t="str">
        <x:v>SEM-007</x:v>
      </x:c>
      <x:c r="F694" t="str">
        <x:v>PM-BRG-B</x:v>
      </x:c>
      <x:c r="G694" s="20" t="n">
        <x:v>45944</x:v>
      </x:c>
      <x:c r="H694" s="20" t="n">
        <x:v>45944</x:v>
      </x:c>
      <x:c r="I694" s="20" t="n">
        <x:v>45947</x:v>
      </x:c>
      <x:c r="J694" t="n">
        <x:v>775</x:v>
      </x:c>
      <x:c r="K694" t="n">
        <x:v>7423.67</x:v>
      </x:c>
      <x:c r="L694" t="str">
        <x:v>海運</x:v>
      </x:c>
      <x:c r="M694" t="n">
        <x:v>3</x:v>
      </x:c>
      <x:c r="N694" t="str">
        <x:v>否</x:v>
      </x:c>
      <x:c r="O694" t="n">
        <x:v>0</x:v>
      </x:c>
      <x:c r="P694"/>
    </x:row>
    <x:row r="695" ht="20" customHeight="1">
      <x:c r="A695" t="str">
        <x:v>SH000694</x:v>
      </x:c>
      <x:c r="B695" t="str">
        <x:v>SO00479-01</x:v>
      </x:c>
      <x:c r="C695" t="str">
        <x:v>WO00695</x:v>
      </x:c>
      <x:c r="D695" t="str">
        <x:v>LOT00695</x:v>
      </x:c>
      <x:c r="E695" t="str">
        <x:v>AUT-014</x:v>
      </x:c>
      <x:c r="F695" t="str">
        <x:v>PM-ALB-A</x:v>
      </x:c>
      <x:c r="G695" s="20" t="n">
        <x:v>45968</x:v>
      </x:c>
      <x:c r="H695" s="20" t="n">
        <x:v>45967</x:v>
      </x:c>
      <x:c r="I695" s="20" t="n">
        <x:v>45971</x:v>
      </x:c>
      <x:c r="J695" t="n">
        <x:v>782</x:v>
      </x:c>
      <x:c r="K695" t="n">
        <x:v>11033.97</x:v>
      </x:c>
      <x:c r="L695" t="str">
        <x:v>海運</x:v>
      </x:c>
      <x:c r="M695" t="n">
        <x:v>3</x:v>
      </x:c>
      <x:c r="N695" t="str">
        <x:v>否</x:v>
      </x:c>
      <x:c r="O695" t="n">
        <x:v>0</x:v>
      </x:c>
      <x:c r="P695"/>
    </x:row>
    <x:row r="696" ht="20" customHeight="1">
      <x:c r="A696" t="str">
        <x:v>SH000695</x:v>
      </x:c>
      <x:c r="B696" t="str">
        <x:v>SO00479-01</x:v>
      </x:c>
      <x:c r="C696" t="str">
        <x:v>WO00694</x:v>
      </x:c>
      <x:c r="D696" t="str">
        <x:v>LOT00694</x:v>
      </x:c>
      <x:c r="E696" t="str">
        <x:v>AUT-014</x:v>
      </x:c>
      <x:c r="F696" t="str">
        <x:v>PM-ALB-A</x:v>
      </x:c>
      <x:c r="G696" s="20" t="n">
        <x:v>45968</x:v>
      </x:c>
      <x:c r="H696" s="20" t="n">
        <x:v>45969</x:v>
      </x:c>
      <x:c r="I696" s="20" t="n">
        <x:v>45970</x:v>
      </x:c>
      <x:c r="J696" t="n">
        <x:v>786</x:v>
      </x:c>
      <x:c r="K696" t="n">
        <x:v>11033.97</x:v>
      </x:c>
      <x:c r="L696" t="str">
        <x:v>海運</x:v>
      </x:c>
      <x:c r="M696" t="n">
        <x:v>2</x:v>
      </x:c>
      <x:c r="N696" t="str">
        <x:v>否</x:v>
      </x:c>
      <x:c r="O696" t="n">
        <x:v>0</x:v>
      </x:c>
      <x:c r="P696"/>
    </x:row>
    <x:row r="697" ht="20" customHeight="1">
      <x:c r="A697" t="str">
        <x:v>SH000696</x:v>
      </x:c>
      <x:c r="B697" t="str">
        <x:v>SO00480-01</x:v>
      </x:c>
      <x:c r="C697" t="str">
        <x:v>WO00697</x:v>
      </x:c>
      <x:c r="D697" t="str">
        <x:v>LOT00697</x:v>
      </x:c>
      <x:c r="E697" t="str">
        <x:v>IAT-006</x:v>
      </x:c>
      <x:c r="F697" t="str">
        <x:v>MECH-CON-A</x:v>
      </x:c>
      <x:c r="G697" s="20" t="n">
        <x:v>45985</x:v>
      </x:c>
      <x:c r="H697" s="20" t="n">
        <x:v>45985</x:v>
      </x:c>
      <x:c r="I697" s="20" t="n">
        <x:v>45989</x:v>
      </x:c>
      <x:c r="J697" t="n">
        <x:v>20</x:v>
      </x:c>
      <x:c r="K697" t="n">
        <x:v>108881.16</x:v>
      </x:c>
      <x:c r="L697" t="str">
        <x:v>空運</x:v>
      </x:c>
      <x:c r="M697" t="n">
        <x:v>4</x:v>
      </x:c>
      <x:c r="N697" t="str">
        <x:v>否</x:v>
      </x:c>
      <x:c r="O697" t="n">
        <x:v>0</x:v>
      </x:c>
      <x:c r="P697"/>
    </x:row>
    <x:row r="698" ht="20" customHeight="1">
      <x:c r="A698" t="str">
        <x:v>SH000697</x:v>
      </x:c>
      <x:c r="B698" t="str">
        <x:v>SO00480-01</x:v>
      </x:c>
      <x:c r="C698" t="str">
        <x:v>WO00696</x:v>
      </x:c>
      <x:c r="D698" t="str">
        <x:v>LOT00696</x:v>
      </x:c>
      <x:c r="E698" t="str">
        <x:v>IAT-006</x:v>
      </x:c>
      <x:c r="F698" t="str">
        <x:v>MECH-CON-A</x:v>
      </x:c>
      <x:c r="G698" s="20" t="n">
        <x:v>45985</x:v>
      </x:c>
      <x:c r="H698" s="20" t="n">
        <x:v>45986</x:v>
      </x:c>
      <x:c r="I698" s="20" t="n">
        <x:v>45987</x:v>
      </x:c>
      <x:c r="J698" t="n">
        <x:v>20</x:v>
      </x:c>
      <x:c r="K698" t="n">
        <x:v>108881.16</x:v>
      </x:c>
      <x:c r="L698" t="str">
        <x:v>海運</x:v>
      </x:c>
      <x:c r="M698" t="n">
        <x:v>2</x:v>
      </x:c>
      <x:c r="N698" t="str">
        <x:v>否</x:v>
      </x:c>
      <x:c r="O698" t="n">
        <x:v>0</x:v>
      </x:c>
      <x:c r="P698"/>
    </x:row>
    <x:row r="699" ht="20" customHeight="1">
      <x:c r="A699" t="str">
        <x:v>SH000698</x:v>
      </x:c>
      <x:c r="B699" t="str">
        <x:v>SO00481-01</x:v>
      </x:c>
      <x:c r="C699" t="str">
        <x:v>WO00699</x:v>
      </x:c>
      <x:c r="D699" t="str">
        <x:v>LOT00699</x:v>
      </x:c>
      <x:c r="E699" t="str">
        <x:v>IAT-010</x:v>
      </x:c>
      <x:c r="F699" t="str">
        <x:v>MECH-STG-B</x:v>
      </x:c>
      <x:c r="G699" s="20" t="n">
        <x:v>45999</x:v>
      </x:c>
      <x:c r="H699" s="20" t="n">
        <x:v>45995</x:v>
      </x:c>
      <x:c r="I699" s="20" t="n">
        <x:v>45997</x:v>
      </x:c>
      <x:c r="J699" t="n">
        <x:v>16</x:v>
      </x:c>
      <x:c r="K699" t="n">
        <x:v>199902.17</x:v>
      </x:c>
      <x:c r="L699" t="str">
        <x:v>空運</x:v>
      </x:c>
      <x:c r="M699" t="n">
        <x:v>0</x:v>
      </x:c>
      <x:c r="N699" t="str">
        <x:v>是</x:v>
      </x:c>
      <x:c r="O699" t="n">
        <x:v>0</x:v>
      </x:c>
      <x:c r="P699"/>
    </x:row>
    <x:row r="700" ht="20" customHeight="1">
      <x:c r="A700" t="str">
        <x:v>SH000699</x:v>
      </x:c>
      <x:c r="B700" t="str">
        <x:v>SO00481-01</x:v>
      </x:c>
      <x:c r="C700" t="str">
        <x:v>WO00700</x:v>
      </x:c>
      <x:c r="D700" t="str">
        <x:v>LOT00700</x:v>
      </x:c>
      <x:c r="E700" t="str">
        <x:v>IAT-010</x:v>
      </x:c>
      <x:c r="F700" t="str">
        <x:v>MECH-STG-B</x:v>
      </x:c>
      <x:c r="G700" s="20" t="n">
        <x:v>45999</x:v>
      </x:c>
      <x:c r="H700" s="20" t="n">
        <x:v>45994</x:v>
      </x:c>
      <x:c r="I700" s="20" t="n">
        <x:v>45999</x:v>
      </x:c>
      <x:c r="J700" t="n">
        <x:v>16</x:v>
      </x:c>
      <x:c r="K700" t="n">
        <x:v>199902.17</x:v>
      </x:c>
      <x:c r="L700" t="str">
        <x:v>陸運</x:v>
      </x:c>
      <x:c r="M700" t="n">
        <x:v>0</x:v>
      </x:c>
      <x:c r="N700" t="str">
        <x:v>是</x:v>
      </x:c>
      <x:c r="O700" t="n">
        <x:v>0</x:v>
      </x:c>
      <x:c r="P700"/>
    </x:row>
    <x:row r="701" ht="20" customHeight="1">
      <x:c r="A701" t="str">
        <x:v>SH000700</x:v>
      </x:c>
      <x:c r="B701" t="str">
        <x:v>SO00481-01</x:v>
      </x:c>
      <x:c r="C701" t="str">
        <x:v>WO00698</x:v>
      </x:c>
      <x:c r="D701" t="str">
        <x:v>LOT00698</x:v>
      </x:c>
      <x:c r="E701" t="str">
        <x:v>IAT-010</x:v>
      </x:c>
      <x:c r="F701" t="str">
        <x:v>MECH-STG-B</x:v>
      </x:c>
      <x:c r="G701" s="20" t="n">
        <x:v>45999</x:v>
      </x:c>
      <x:c r="H701" s="20" t="n">
        <x:v>46001</x:v>
      </x:c>
      <x:c r="I701" s="20" t="n">
        <x:v>46002</x:v>
      </x:c>
      <x:c r="J701" t="n">
        <x:v>16</x:v>
      </x:c>
      <x:c r="K701" t="n">
        <x:v>199902.17</x:v>
      </x:c>
      <x:c r="L701" t="str">
        <x:v>海運</x:v>
      </x:c>
      <x:c r="M701" t="n">
        <x:v>3</x:v>
      </x:c>
      <x:c r="N701" t="str">
        <x:v>否</x:v>
      </x:c>
      <x:c r="O701" t="n">
        <x:v>0</x:v>
      </x:c>
      <x:c r="P701"/>
    </x:row>
    <x:row r="702" ht="20" customHeight="1">
      <x:c r="A702" t="str">
        <x:v>SH000701</x:v>
      </x:c>
      <x:c r="B702" t="str">
        <x:v>SO00482-01</x:v>
      </x:c>
      <x:c r="C702" t="str">
        <x:v>WO00701</x:v>
      </x:c>
      <x:c r="D702" t="str">
        <x:v>LOT00701</x:v>
      </x:c>
      <x:c r="E702" t="str">
        <x:v>SEM-001</x:v>
      </x:c>
      <x:c r="F702" t="str">
        <x:v>MECH-STG-B</x:v>
      </x:c>
      <x:c r="G702" s="20" t="n">
        <x:v>45998</x:v>
      </x:c>
      <x:c r="H702" s="20" t="n">
        <x:v>46006</x:v>
      </x:c>
      <x:c r="I702" s="20" t="n">
        <x:v>46007</x:v>
      </x:c>
      <x:c r="J702" t="n">
        <x:v>10</x:v>
      </x:c>
      <x:c r="K702" t="n">
        <x:v>197327.79</x:v>
      </x:c>
      <x:c r="L702" t="str">
        <x:v>空運</x:v>
      </x:c>
      <x:c r="M702" t="n">
        <x:v>9</x:v>
      </x:c>
      <x:c r="N702" t="str">
        <x:v>否</x:v>
      </x:c>
      <x:c r="O702" t="n">
        <x:v>0</x:v>
      </x:c>
      <x:c r="P702"/>
    </x:row>
    <x:row r="703" ht="20" customHeight="1">
      <x:c r="A703" t="str">
        <x:v>SH000702</x:v>
      </x:c>
      <x:c r="B703" t="str">
        <x:v>SO00483-01</x:v>
      </x:c>
      <x:c r="C703" t="str">
        <x:v>WO00703</x:v>
      </x:c>
      <x:c r="D703" t="str">
        <x:v>LOT00703</x:v>
      </x:c>
      <x:c r="E703" t="str">
        <x:v>EMS-003</x:v>
      </x:c>
      <x:c r="F703" t="str">
        <x:v>MECH-STG-B</x:v>
      </x:c>
      <x:c r="G703" s="20" t="n">
        <x:v>46014</x:v>
      </x:c>
      <x:c r="H703" s="20" t="n">
        <x:v>46012</x:v>
      </x:c>
      <x:c r="I703" s="20" t="n">
        <x:v>46017</x:v>
      </x:c>
      <x:c r="J703" t="n">
        <x:v>17</x:v>
      </x:c>
      <x:c r="K703" t="n">
        <x:v>187996.19</x:v>
      </x:c>
      <x:c r="L703" t="str">
        <x:v>海運</x:v>
      </x:c>
      <x:c r="M703" t="n">
        <x:v>3</x:v>
      </x:c>
      <x:c r="N703" t="str">
        <x:v>否</x:v>
      </x:c>
      <x:c r="O703" t="n">
        <x:v>0</x:v>
      </x:c>
      <x:c r="P703"/>
    </x:row>
    <x:row r="704" ht="20" customHeight="1">
      <x:c r="A704" t="str">
        <x:v>SH000703</x:v>
      </x:c>
      <x:c r="B704" t="str">
        <x:v>SO00483-01</x:v>
      </x:c>
      <x:c r="C704" t="str">
        <x:v>WO00704</x:v>
      </x:c>
      <x:c r="D704" t="str">
        <x:v>LOT00704</x:v>
      </x:c>
      <x:c r="E704" t="str">
        <x:v>EMS-003</x:v>
      </x:c>
      <x:c r="F704" t="str">
        <x:v>MECH-STG-B</x:v>
      </x:c>
      <x:c r="G704" s="20" t="n">
        <x:v>46014</x:v>
      </x:c>
      <x:c r="H704" s="20" t="n">
        <x:v>46013</x:v>
      </x:c>
      <x:c r="I704" s="20" t="n">
        <x:v>46017</x:v>
      </x:c>
      <x:c r="J704" t="n">
        <x:v>16</x:v>
      </x:c>
      <x:c r="K704" t="n">
        <x:v>187996.19</x:v>
      </x:c>
      <x:c r="L704" t="str">
        <x:v>陸運</x:v>
      </x:c>
      <x:c r="M704" t="n">
        <x:v>3</x:v>
      </x:c>
      <x:c r="N704" t="str">
        <x:v>否</x:v>
      </x:c>
      <x:c r="O704" t="n">
        <x:v>0</x:v>
      </x:c>
      <x:c r="P704"/>
    </x:row>
    <x:row r="705" ht="20" customHeight="1">
      <x:c r="A705" t="str">
        <x:v>SH000704</x:v>
      </x:c>
      <x:c r="B705" t="str">
        <x:v>SO00483-01</x:v>
      </x:c>
      <x:c r="C705" t="str">
        <x:v>WO00702</x:v>
      </x:c>
      <x:c r="D705" t="str">
        <x:v>LOT00702</x:v>
      </x:c>
      <x:c r="E705" t="str">
        <x:v>EMS-003</x:v>
      </x:c>
      <x:c r="F705" t="str">
        <x:v>MECH-STG-B</x:v>
      </x:c>
      <x:c r="G705" s="20" t="n">
        <x:v>46014</x:v>
      </x:c>
      <x:c r="H705" s="20" t="n">
        <x:v>46015</x:v>
      </x:c>
      <x:c r="I705" s="20" t="n">
        <x:v>46020</x:v>
      </x:c>
      <x:c r="J705" t="n">
        <x:v>17</x:v>
      </x:c>
      <x:c r="K705" t="n">
        <x:v>187996.19</x:v>
      </x:c>
      <x:c r="L705" t="str">
        <x:v>空運</x:v>
      </x:c>
      <x:c r="M705" t="n">
        <x:v>6</x:v>
      </x:c>
      <x:c r="N705" t="str">
        <x:v>否</x:v>
      </x:c>
      <x:c r="O705" t="n">
        <x:v>0</x:v>
      </x:c>
      <x:c r="P705"/>
    </x:row>
    <x:row r="706" ht="20" customHeight="1">
      <x:c r="A706" t="str">
        <x:v>SH000705</x:v>
      </x:c>
      <x:c r="B706" t="str">
        <x:v>SO00484-01</x:v>
      </x:c>
      <x:c r="C706" t="str">
        <x:v>WO00705</x:v>
      </x:c>
      <x:c r="D706" t="str">
        <x:v>LOT00705</x:v>
      </x:c>
      <x:c r="E706" t="str">
        <x:v>SEM-004</x:v>
      </x:c>
      <x:c r="F706" t="str">
        <x:v>SEMI-CHB-B</x:v>
      </x:c>
      <x:c r="G706" s="20" t="n">
        <x:v>46017</x:v>
      </x:c>
      <x:c r="H706" s="20" t="n">
        <x:v>46017</x:v>
      </x:c>
      <x:c r="I706" s="20" t="n">
        <x:v>46022</x:v>
      </x:c>
      <x:c r="J706" t="n">
        <x:v>59</x:v>
      </x:c>
      <x:c r="K706" t="n">
        <x:v>139416.65</x:v>
      </x:c>
      <x:c r="L706" t="str">
        <x:v>海運</x:v>
      </x:c>
      <x:c r="M706" t="n">
        <x:v>5</x:v>
      </x:c>
      <x:c r="N706" t="str">
        <x:v>否</x:v>
      </x:c>
      <x:c r="O706" t="n">
        <x:v>0</x:v>
      </x:c>
      <x:c r="P706"/>
    </x:row>
    <x:row r="707" ht="20" customHeight="1">
      <x:c r="A707" t="str">
        <x:v>SH000706</x:v>
      </x:c>
      <x:c r="B707" t="str">
        <x:v>SO00485-01</x:v>
      </x:c>
      <x:c r="C707" t="str">
        <x:v>WO00706</x:v>
      </x:c>
      <x:c r="D707" t="str">
        <x:v>LOT00706</x:v>
      </x:c>
      <x:c r="E707" t="str">
        <x:v>AFT-007</x:v>
      </x:c>
      <x:c r="F707" t="str">
        <x:v>PM-VAC-B</x:v>
      </x:c>
      <x:c r="G707" s="20" t="n">
        <x:v>46004</x:v>
      </x:c>
      <x:c r="H707" s="20" t="n">
        <x:v>46001</x:v>
      </x:c>
      <x:c r="I707" s="20" t="n">
        <x:v>46005</x:v>
      </x:c>
      <x:c r="J707" t="n">
        <x:v>488</x:v>
      </x:c>
      <x:c r="K707" t="n">
        <x:v>20522.76</x:v>
      </x:c>
      <x:c r="L707" t="str">
        <x:v>海運</x:v>
      </x:c>
      <x:c r="M707" t="n">
        <x:v>1</x:v>
      </x:c>
      <x:c r="N707" t="str">
        <x:v>否</x:v>
      </x:c>
      <x:c r="O707" t="n">
        <x:v>0</x:v>
      </x:c>
      <x:c r="P707"/>
    </x:row>
    <x:row r="708" ht="20" customHeight="1">
      <x:c r="A708" t="str">
        <x:v>SH000707</x:v>
      </x:c>
      <x:c r="B708" t="str">
        <x:v>SO00486-01</x:v>
      </x:c>
      <x:c r="C708" t="str">
        <x:v>WO00708</x:v>
      </x:c>
      <x:c r="D708" t="str">
        <x:v>LOT00708</x:v>
      </x:c>
      <x:c r="E708" t="str">
        <x:v>EMS-007</x:v>
      </x:c>
      <x:c r="F708" t="str">
        <x:v>AUTO-MH-B</x:v>
      </x:c>
      <x:c r="G708" s="20" t="n">
        <x:v>45992</x:v>
      </x:c>
      <x:c r="H708" s="20" t="n">
        <x:v>45992</x:v>
      </x:c>
      <x:c r="I708" s="20" t="n">
        <x:v>45994</x:v>
      </x:c>
      <x:c r="J708" t="n">
        <x:v>4973</x:v>
      </x:c>
      <x:c r="K708" t="n">
        <x:v>3068.46</x:v>
      </x:c>
      <x:c r="L708" t="str">
        <x:v>海運</x:v>
      </x:c>
      <x:c r="M708" t="n">
        <x:v>2</x:v>
      </x:c>
      <x:c r="N708" t="str">
        <x:v>否</x:v>
      </x:c>
      <x:c r="O708" t="n">
        <x:v>0</x:v>
      </x:c>
      <x:c r="P708"/>
    </x:row>
    <x:row r="709" ht="20" customHeight="1">
      <x:c r="A709" t="str">
        <x:v>SH000708</x:v>
      </x:c>
      <x:c r="B709" t="str">
        <x:v>SO00486-01</x:v>
      </x:c>
      <x:c r="C709" t="str">
        <x:v>WO00707</x:v>
      </x:c>
      <x:c r="D709" t="str">
        <x:v>LOT00707</x:v>
      </x:c>
      <x:c r="E709" t="str">
        <x:v>EMS-007</x:v>
      </x:c>
      <x:c r="F709" t="str">
        <x:v>AUTO-MH-B</x:v>
      </x:c>
      <x:c r="G709" s="20" t="n">
        <x:v>45992</x:v>
      </x:c>
      <x:c r="H709" s="20" t="n">
        <x:v>45994</x:v>
      </x:c>
      <x:c r="I709" s="20" t="n">
        <x:v>45997</x:v>
      </x:c>
      <x:c r="J709" t="n">
        <x:v>4968</x:v>
      </x:c>
      <x:c r="K709" t="n">
        <x:v>3068.46</x:v>
      </x:c>
      <x:c r="L709" t="str">
        <x:v>陸運</x:v>
      </x:c>
      <x:c r="M709" t="n">
        <x:v>5</x:v>
      </x:c>
      <x:c r="N709" t="str">
        <x:v>否</x:v>
      </x:c>
      <x:c r="O709" t="n">
        <x:v>0</x:v>
      </x:c>
      <x:c r="P709"/>
    </x:row>
    <x:row r="710" ht="20" customHeight="1">
      <x:c r="A710" t="str">
        <x:v>SH000709</x:v>
      </x:c>
      <x:c r="B710" t="str">
        <x:v>SO00487-01</x:v>
      </x:c>
      <x:c r="C710" t="str">
        <x:v>WO00709</x:v>
      </x:c>
      <x:c r="D710" t="str">
        <x:v>LOT00709</x:v>
      </x:c>
      <x:c r="E710" t="str">
        <x:v>AFT-008</x:v>
      </x:c>
      <x:c r="F710" t="str">
        <x:v>AUTO-BRK-A</x:v>
      </x:c>
      <x:c r="G710" s="20" t="n">
        <x:v>45970</x:v>
      </x:c>
      <x:c r="H710" s="20" t="n">
        <x:v>45968</x:v>
      </x:c>
      <x:c r="I710" s="20" t="n">
        <x:v>45969</x:v>
      </x:c>
      <x:c r="J710" t="n">
        <x:v>4919</x:v>
      </x:c>
      <x:c r="K710" t="n">
        <x:v>1756.68</x:v>
      </x:c>
      <x:c r="L710" t="str">
        <x:v>海運</x:v>
      </x:c>
      <x:c r="M710" t="n">
        <x:v>0</x:v>
      </x:c>
      <x:c r="N710" t="str">
        <x:v>是</x:v>
      </x:c>
      <x:c r="O710" t="n">
        <x:v>0</x:v>
      </x:c>
      <x:c r="P710"/>
    </x:row>
    <x:row r="711" ht="20" customHeight="1">
      <x:c r="A711" t="str">
        <x:v>SH000710</x:v>
      </x:c>
      <x:c r="B711" t="str">
        <x:v>SO00488-01</x:v>
      </x:c>
      <x:c r="C711" t="str">
        <x:v>WO00710</x:v>
      </x:c>
      <x:c r="D711" t="str">
        <x:v>LOT00710</x:v>
      </x:c>
      <x:c r="E711" t="str">
        <x:v>EMS-003</x:v>
      </x:c>
      <x:c r="F711" t="str">
        <x:v>AUTO-BS-B</x:v>
      </x:c>
      <x:c r="G711" s="20" t="n">
        <x:v>45956</x:v>
      </x:c>
      <x:c r="H711" s="20" t="n">
        <x:v>45957</x:v>
      </x:c>
      <x:c r="I711" s="20" t="n">
        <x:v>45962</x:v>
      </x:c>
      <x:c r="J711" t="n">
        <x:v>4900</x:v>
      </x:c>
      <x:c r="K711" t="n">
        <x:v>952.39</x:v>
      </x:c>
      <x:c r="L711" t="str">
        <x:v>空運</x:v>
      </x:c>
      <x:c r="M711" t="n">
        <x:v>6</x:v>
      </x:c>
      <x:c r="N711" t="str">
        <x:v>否</x:v>
      </x:c>
      <x:c r="O711" t="n">
        <x:v>0</x:v>
      </x:c>
      <x:c r="P711"/>
    </x:row>
    <x:row r="712" ht="20" customHeight="1">
      <x:c r="A712" t="str">
        <x:v>SH000711</x:v>
      </x:c>
      <x:c r="B712" t="str">
        <x:v>SO00489-01</x:v>
      </x:c>
      <x:c r="C712" t="str">
        <x:v>WO00711</x:v>
      </x:c>
      <x:c r="D712" t="str">
        <x:v>LOT00711</x:v>
      </x:c>
      <x:c r="E712" t="str">
        <x:v>IAT-001</x:v>
      </x:c>
      <x:c r="F712" t="str">
        <x:v>PM-VAC-A</x:v>
      </x:c>
      <x:c r="G712" s="20" t="n">
        <x:v>46001</x:v>
      </x:c>
      <x:c r="H712" s="20" t="n">
        <x:v>45997</x:v>
      </x:c>
      <x:c r="I712" s="20" t="n">
        <x:v>45998</x:v>
      </x:c>
      <x:c r="J712" t="n">
        <x:v>592</x:v>
      </x:c>
      <x:c r="K712" t="n">
        <x:v>15575.89</x:v>
      </x:c>
      <x:c r="L712" t="str">
        <x:v>海運</x:v>
      </x:c>
      <x:c r="M712" t="n">
        <x:v>0</x:v>
      </x:c>
      <x:c r="N712" t="str">
        <x:v>是</x:v>
      </x:c>
      <x:c r="O712" t="n">
        <x:v>0</x:v>
      </x:c>
      <x:c r="P712"/>
    </x:row>
    <x:row r="713" ht="20" customHeight="1">
      <x:c r="A713" t="str">
        <x:v>SH000712</x:v>
      </x:c>
      <x:c r="B713" t="str">
        <x:v>SO00489-01</x:v>
      </x:c>
      <x:c r="C713" t="str">
        <x:v>WO00712</x:v>
      </x:c>
      <x:c r="D713" t="str">
        <x:v>LOT00712</x:v>
      </x:c>
      <x:c r="E713" t="str">
        <x:v>IAT-001</x:v>
      </x:c>
      <x:c r="F713" t="str">
        <x:v>PM-VAC-A</x:v>
      </x:c>
      <x:c r="G713" s="20" t="n">
        <x:v>46001</x:v>
      </x:c>
      <x:c r="H713" s="20" t="n">
        <x:v>45999</x:v>
      </x:c>
      <x:c r="I713" s="20" t="n">
        <x:v>46004</x:v>
      </x:c>
      <x:c r="J713" t="n">
        <x:v>583</x:v>
      </x:c>
      <x:c r="K713" t="n">
        <x:v>15575.89</x:v>
      </x:c>
      <x:c r="L713" t="str">
        <x:v>海運</x:v>
      </x:c>
      <x:c r="M713" t="n">
        <x:v>3</x:v>
      </x:c>
      <x:c r="N713" t="str">
        <x:v>否</x:v>
      </x:c>
      <x:c r="O713" t="n">
        <x:v>0</x:v>
      </x:c>
      <x:c r="P713"/>
    </x:row>
    <x:row r="714" ht="20" customHeight="1">
      <x:c r="A714" t="str">
        <x:v>SH000713</x:v>
      </x:c>
      <x:c r="B714" t="str">
        <x:v>SO00490-01</x:v>
      </x:c>
      <x:c r="C714" t="str">
        <x:v>WO00713</x:v>
      </x:c>
      <x:c r="D714" t="str">
        <x:v>LOT00713</x:v>
      </x:c>
      <x:c r="E714" t="str">
        <x:v>AFT-004</x:v>
      </x:c>
      <x:c r="F714" t="str">
        <x:v>AUTO-MH-A</x:v>
      </x:c>
      <x:c r="G714" s="20" t="n">
        <x:v>45976</x:v>
      </x:c>
      <x:c r="H714" s="20" t="n">
        <x:v>45982</x:v>
      </x:c>
      <x:c r="I714" s="20" t="n">
        <x:v>45985</x:v>
      </x:c>
      <x:c r="J714" t="n">
        <x:v>6919</x:v>
      </x:c>
      <x:c r="K714" t="n">
        <x:v>2514.51</x:v>
      </x:c>
      <x:c r="L714" t="str">
        <x:v>空運</x:v>
      </x:c>
      <x:c r="M714" t="n">
        <x:v>9</x:v>
      </x:c>
      <x:c r="N714" t="str">
        <x:v>否</x:v>
      </x:c>
      <x:c r="O714" t="n">
        <x:v>0</x:v>
      </x:c>
      <x:c r="P714"/>
    </x:row>
    <x:row r="715" ht="20" customHeight="1">
      <x:c r="A715" t="str">
        <x:v>SH000714</x:v>
      </x:c>
      <x:c r="B715" t="str">
        <x:v>SO00491-01</x:v>
      </x:c>
      <x:c r="C715" t="str">
        <x:v>WO00714</x:v>
      </x:c>
      <x:c r="D715" t="str">
        <x:v>LOT00714</x:v>
      </x:c>
      <x:c r="E715" t="str">
        <x:v>AUT-008</x:v>
      </x:c>
      <x:c r="F715" t="str">
        <x:v>PM-BRG-B</x:v>
      </x:c>
      <x:c r="G715" s="20" t="n">
        <x:v>45981</x:v>
      </x:c>
      <x:c r="H715" s="20" t="n">
        <x:v>45979</x:v>
      </x:c>
      <x:c r="I715" s="20" t="n">
        <x:v>45981</x:v>
      </x:c>
      <x:c r="J715" t="n">
        <x:v>287</x:v>
      </x:c>
      <x:c r="K715" t="n">
        <x:v>7629.68</x:v>
      </x:c>
      <x:c r="L715" t="str">
        <x:v>海運</x:v>
      </x:c>
      <x:c r="M715" t="n">
        <x:v>0</x:v>
      </x:c>
      <x:c r="N715" t="str">
        <x:v>是</x:v>
      </x:c>
      <x:c r="O715" t="n">
        <x:v>0</x:v>
      </x:c>
      <x:c r="P715"/>
    </x:row>
    <x:row r="716" ht="20" customHeight="1">
      <x:c r="A716" t="str">
        <x:v>SH000715</x:v>
      </x:c>
      <x:c r="B716" t="str">
        <x:v>SO00492-01</x:v>
      </x:c>
      <x:c r="C716" t="str">
        <x:v>WO00715</x:v>
      </x:c>
      <x:c r="D716" t="str">
        <x:v>LOT00715</x:v>
      </x:c>
      <x:c r="E716" t="str">
        <x:v>EMS-002</x:v>
      </x:c>
      <x:c r="F716" t="str">
        <x:v>MECH-CON-A</x:v>
      </x:c>
      <x:c r="G716" s="20" t="n">
        <x:v>45993</x:v>
      </x:c>
      <x:c r="H716" s="20" t="n">
        <x:v>45993</x:v>
      </x:c>
      <x:c r="I716" s="20" t="n">
        <x:v>45995</x:v>
      </x:c>
      <x:c r="J716" t="n">
        <x:v>10</x:v>
      </x:c>
      <x:c r="K716" t="n">
        <x:v>102248.46</x:v>
      </x:c>
      <x:c r="L716" t="str">
        <x:v>空運</x:v>
      </x:c>
      <x:c r="M716" t="n">
        <x:v>2</x:v>
      </x:c>
      <x:c r="N716" t="str">
        <x:v>否</x:v>
      </x:c>
      <x:c r="O716" t="n">
        <x:v>0</x:v>
      </x:c>
      <x:c r="P716"/>
    </x:row>
    <x:row r="717" ht="20" customHeight="1">
      <x:c r="A717" t="str">
        <x:v>SH000716</x:v>
      </x:c>
      <x:c r="B717" t="str">
        <x:v>SO00493-01</x:v>
      </x:c>
      <x:c r="C717" t="str">
        <x:v>WO00716</x:v>
      </x:c>
      <x:c r="D717" t="str">
        <x:v>LOT00716</x:v>
      </x:c>
      <x:c r="E717" t="str">
        <x:v>EMS-001</x:v>
      </x:c>
      <x:c r="F717" t="str">
        <x:v>AUTO-BS-B</x:v>
      </x:c>
      <x:c r="G717" s="20" t="n">
        <x:v>45983</x:v>
      </x:c>
      <x:c r="H717" s="20" t="n">
        <x:v>45977</x:v>
      </x:c>
      <x:c r="I717" s="20" t="n">
        <x:v>45982</x:v>
      </x:c>
      <x:c r="J717" t="n">
        <x:v>6992</x:v>
      </x:c>
      <x:c r="K717" t="n">
        <x:v>893.02</x:v>
      </x:c>
      <x:c r="L717" t="str">
        <x:v>海運</x:v>
      </x:c>
      <x:c r="M717" t="n">
        <x:v>0</x:v>
      </x:c>
      <x:c r="N717" t="str">
        <x:v>是</x:v>
      </x:c>
      <x:c r="O717" t="n">
        <x:v>0</x:v>
      </x:c>
      <x:c r="P717"/>
    </x:row>
    <x:row r="718" ht="20" customHeight="1">
      <x:c r="A718" t="str">
        <x:v>SH000717</x:v>
      </x:c>
      <x:c r="B718" t="str">
        <x:v>SO00494-01</x:v>
      </x:c>
      <x:c r="C718" t="str">
        <x:v>WO00717</x:v>
      </x:c>
      <x:c r="D718" t="str">
        <x:v>LOT00717</x:v>
      </x:c>
      <x:c r="E718" t="str">
        <x:v>AFT-001</x:v>
      </x:c>
      <x:c r="F718" t="str">
        <x:v>PM-VAC-B</x:v>
      </x:c>
      <x:c r="G718" s="20" t="n">
        <x:v>45995</x:v>
      </x:c>
      <x:c r="H718" s="20" t="n">
        <x:v>45992</x:v>
      </x:c>
      <x:c r="I718" s="20" t="n">
        <x:v>45997</x:v>
      </x:c>
      <x:c r="J718" t="n">
        <x:v>293</x:v>
      </x:c>
      <x:c r="K718" t="n">
        <x:v>23354.67</x:v>
      </x:c>
      <x:c r="L718" t="str">
        <x:v>空運</x:v>
      </x:c>
      <x:c r="M718" t="n">
        <x:v>2</x:v>
      </x:c>
      <x:c r="N718" t="str">
        <x:v>否</x:v>
      </x:c>
      <x:c r="O718" t="n">
        <x:v>0</x:v>
      </x:c>
      <x:c r="P718"/>
    </x:row>
    <x:row r="719" ht="20" customHeight="1">
      <x:c r="A719" t="str">
        <x:v>SH000718</x:v>
      </x:c>
      <x:c r="B719" t="str">
        <x:v>SO00495-01</x:v>
      </x:c>
      <x:c r="C719" t="str">
        <x:v>WO00720</x:v>
      </x:c>
      <x:c r="D719" t="str">
        <x:v>LOT00720</x:v>
      </x:c>
      <x:c r="E719" t="str">
        <x:v>IAT-002</x:v>
      </x:c>
      <x:c r="F719" t="str">
        <x:v>MECH-STG-A</x:v>
      </x:c>
      <x:c r="G719" s="20" t="n">
        <x:v>45980</x:v>
      </x:c>
      <x:c r="H719" s="20" t="n">
        <x:v>45975</x:v>
      </x:c>
      <x:c r="I719" s="20" t="n">
        <x:v>45976</x:v>
      </x:c>
      <x:c r="J719" t="n">
        <x:v>16</x:v>
      </x:c>
      <x:c r="K719" t="n">
        <x:v>125595.47</x:v>
      </x:c>
      <x:c r="L719" t="str">
        <x:v>空運</x:v>
      </x:c>
      <x:c r="M719" t="n">
        <x:v>0</x:v>
      </x:c>
      <x:c r="N719" t="str">
        <x:v>是</x:v>
      </x:c>
      <x:c r="O719" t="n">
        <x:v>0</x:v>
      </x:c>
      <x:c r="P719"/>
    </x:row>
    <x:row r="720" ht="20" customHeight="1">
      <x:c r="A720" t="str">
        <x:v>SH000719</x:v>
      </x:c>
      <x:c r="B720" t="str">
        <x:v>SO00495-01</x:v>
      </x:c>
      <x:c r="C720" t="str">
        <x:v>WO00719</x:v>
      </x:c>
      <x:c r="D720" t="str">
        <x:v>LOT00719</x:v>
      </x:c>
      <x:c r="E720" t="str">
        <x:v>IAT-002</x:v>
      </x:c>
      <x:c r="F720" t="str">
        <x:v>MECH-STG-A</x:v>
      </x:c>
      <x:c r="G720" s="20" t="n">
        <x:v>45980</x:v>
      </x:c>
      <x:c r="H720" s="20" t="n">
        <x:v>45976</x:v>
      </x:c>
      <x:c r="I720" s="20" t="n">
        <x:v>45981</x:v>
      </x:c>
      <x:c r="J720" t="n">
        <x:v>17</x:v>
      </x:c>
      <x:c r="K720" t="n">
        <x:v>125595.47</x:v>
      </x:c>
      <x:c r="L720" t="str">
        <x:v>陸運</x:v>
      </x:c>
      <x:c r="M720" t="n">
        <x:v>1</x:v>
      </x:c>
      <x:c r="N720" t="str">
        <x:v>否</x:v>
      </x:c>
      <x:c r="O720" t="n">
        <x:v>0</x:v>
      </x:c>
      <x:c r="P720"/>
    </x:row>
    <x:row r="721" ht="20" customHeight="1">
      <x:c r="A721" t="str">
        <x:v>SH000720</x:v>
      </x:c>
      <x:c r="B721" t="str">
        <x:v>SO00495-01</x:v>
      </x:c>
      <x:c r="C721" t="str">
        <x:v>WO00718</x:v>
      </x:c>
      <x:c r="D721" t="str">
        <x:v>LOT00718</x:v>
      </x:c>
      <x:c r="E721" t="str">
        <x:v>IAT-002</x:v>
      </x:c>
      <x:c r="F721" t="str">
        <x:v>MECH-STG-A</x:v>
      </x:c>
      <x:c r="G721" s="20" t="n">
        <x:v>45980</x:v>
      </x:c>
      <x:c r="H721" s="20" t="n">
        <x:v>45981</x:v>
      </x:c>
      <x:c r="I721" s="20" t="n">
        <x:v>45984</x:v>
      </x:c>
      <x:c r="J721" t="n">
        <x:v>17</x:v>
      </x:c>
      <x:c r="K721" t="n">
        <x:v>125595.47</x:v>
      </x:c>
      <x:c r="L721" t="str">
        <x:v>空運</x:v>
      </x:c>
      <x:c r="M721" t="n">
        <x:v>4</x:v>
      </x:c>
      <x:c r="N721" t="str">
        <x:v>否</x:v>
      </x:c>
      <x:c r="O721" t="n">
        <x:v>0</x:v>
      </x:c>
      <x:c r="P721"/>
    </x:row>
    <x:row r="722" ht="20" customHeight="1">
      <x:c r="A722" t="str">
        <x:v>SH000721</x:v>
      </x:c>
      <x:c r="B722" t="str">
        <x:v>SO00496-01</x:v>
      </x:c>
      <x:c r="C722" t="str">
        <x:v>WO00721</x:v>
      </x:c>
      <x:c r="D722" t="str">
        <x:v>LOT00721</x:v>
      </x:c>
      <x:c r="E722" t="str">
        <x:v>IAT-007</x:v>
      </x:c>
      <x:c r="F722" t="str">
        <x:v>PM-ALB-B</x:v>
      </x:c>
      <x:c r="G722" s="20" t="n">
        <x:v>46014</x:v>
      </x:c>
      <x:c r="H722" s="20" t="n">
        <x:v>46013</x:v>
      </x:c>
      <x:c r="I722" s="20" t="n">
        <x:v>46018</x:v>
      </x:c>
      <x:c r="J722" t="n">
        <x:v>293</x:v>
      </x:c>
      <x:c r="K722" t="n">
        <x:v>15338.69</x:v>
      </x:c>
      <x:c r="L722" t="str">
        <x:v>陸運</x:v>
      </x:c>
      <x:c r="M722" t="n">
        <x:v>4</x:v>
      </x:c>
      <x:c r="N722" t="str">
        <x:v>否</x:v>
      </x:c>
      <x:c r="O722" t="n">
        <x:v>0</x:v>
      </x:c>
      <x:c r="P722"/>
    </x:row>
    <x:row r="723" ht="20" customHeight="1">
      <x:c r="A723" t="str">
        <x:v>SH000722</x:v>
      </x:c>
      <x:c r="B723" t="str">
        <x:v>SO00497-01</x:v>
      </x:c>
      <x:c r="C723" t="str">
        <x:v>WO00722</x:v>
      </x:c>
      <x:c r="D723" t="str">
        <x:v>LOT00722</x:v>
      </x:c>
      <x:c r="E723" t="str">
        <x:v>AFT-001</x:v>
      </x:c>
      <x:c r="F723" t="str">
        <x:v>PM-VAC-A</x:v>
      </x:c>
      <x:c r="G723" s="20" t="n">
        <x:v>46019</x:v>
      </x:c>
      <x:c r="H723" s="20" t="n">
        <x:v>46013</x:v>
      </x:c>
      <x:c r="I723" s="20" t="n">
        <x:v>46018</x:v>
      </x:c>
      <x:c r="J723" t="n">
        <x:v>489</x:v>
      </x:c>
      <x:c r="K723" t="n">
        <x:v>16363.61</x:v>
      </x:c>
      <x:c r="L723" t="str">
        <x:v>海運</x:v>
      </x:c>
      <x:c r="M723" t="n">
        <x:v>0</x:v>
      </x:c>
      <x:c r="N723" t="str">
        <x:v>是</x:v>
      </x:c>
      <x:c r="O723" t="n">
        <x:v>0</x:v>
      </x:c>
      <x:c r="P723"/>
    </x:row>
    <x:row r="724" ht="20" customHeight="1">
      <x:c r="A724" t="str">
        <x:v>SH000723</x:v>
      </x:c>
      <x:c r="B724" t="str">
        <x:v>SO00498-01</x:v>
      </x:c>
      <x:c r="C724" t="str">
        <x:v>WO00723</x:v>
      </x:c>
      <x:c r="D724" t="str">
        <x:v>LOT00723</x:v>
      </x:c>
      <x:c r="E724" t="str">
        <x:v>IAT-010</x:v>
      </x:c>
      <x:c r="F724" t="str">
        <x:v>SEMI-CHB-A</x:v>
      </x:c>
      <x:c r="G724" s="20" t="n">
        <x:v>46037</x:v>
      </x:c>
      <x:c r="H724" s="20" t="n">
        <x:v>46037</x:v>
      </x:c>
      <x:c r="I724" s="20" t="n">
        <x:v>46042</x:v>
      </x:c>
      <x:c r="J724" t="n">
        <x:v>79</x:v>
      </x:c>
      <x:c r="K724" t="n">
        <x:v>96056.32</x:v>
      </x:c>
      <x:c r="L724" t="str">
        <x:v>陸運</x:v>
      </x:c>
      <x:c r="M724" t="n">
        <x:v>5</x:v>
      </x:c>
      <x:c r="N724" t="str">
        <x:v>否</x:v>
      </x:c>
      <x:c r="O724" t="n">
        <x:v>0</x:v>
      </x:c>
      <x:c r="P724"/>
    </x:row>
    <x:row r="725" ht="20" customHeight="1">
      <x:c r="A725" t="str">
        <x:v>SH000724</x:v>
      </x:c>
      <x:c r="B725" t="str">
        <x:v>SO00498-01</x:v>
      </x:c>
      <x:c r="C725" t="str">
        <x:v>WO00724</x:v>
      </x:c>
      <x:c r="D725" t="str">
        <x:v>LOT00724</x:v>
      </x:c>
      <x:c r="E725" t="str">
        <x:v>IAT-010</x:v>
      </x:c>
      <x:c r="F725" t="str">
        <x:v>SEMI-CHB-A</x:v>
      </x:c>
      <x:c r="G725" s="20" t="n">
        <x:v>46037</x:v>
      </x:c>
      <x:c r="H725" s="20" t="n">
        <x:v>46039</x:v>
      </x:c>
      <x:c r="I725" s="20" t="n">
        <x:v>46041</x:v>
      </x:c>
      <x:c r="J725" t="n">
        <x:v>78</x:v>
      </x:c>
      <x:c r="K725" t="n">
        <x:v>96056.32</x:v>
      </x:c>
      <x:c r="L725" t="str">
        <x:v>陸運</x:v>
      </x:c>
      <x:c r="M725" t="n">
        <x:v>4</x:v>
      </x:c>
      <x:c r="N725" t="str">
        <x:v>否</x:v>
      </x:c>
      <x:c r="O725" t="n">
        <x:v>0</x:v>
      </x:c>
      <x:c r="P725"/>
    </x:row>
    <x:row r="726" ht="20" customHeight="1">
      <x:c r="A726" t="str">
        <x:v>SH000725</x:v>
      </x:c>
      <x:c r="B726" t="str">
        <x:v>SO00499-01</x:v>
      </x:c>
      <x:c r="C726" t="str">
        <x:v>WO00725</x:v>
      </x:c>
      <x:c r="D726" t="str">
        <x:v>LOT00725</x:v>
      </x:c>
      <x:c r="E726" t="str">
        <x:v>EMS-004</x:v>
      </x:c>
      <x:c r="F726" t="str">
        <x:v>AUTO-LG-A</x:v>
      </x:c>
      <x:c r="G726" s="20" t="n">
        <x:v>46011</x:v>
      </x:c>
      <x:c r="H726" s="20" t="n">
        <x:v>46008</x:v>
      </x:c>
      <x:c r="I726" s="20" t="n">
        <x:v>46010</x:v>
      </x:c>
      <x:c r="J726" t="n">
        <x:v>2976</x:v>
      </x:c>
      <x:c r="K726" t="n">
        <x:v>1047.68</x:v>
      </x:c>
      <x:c r="L726" t="str">
        <x:v>空運</x:v>
      </x:c>
      <x:c r="M726" t="n">
        <x:v>0</x:v>
      </x:c>
      <x:c r="N726" t="str">
        <x:v>是</x:v>
      </x:c>
      <x:c r="O726" t="n">
        <x:v>0</x:v>
      </x:c>
      <x:c r="P726"/>
    </x:row>
    <x:row r="727" ht="20" customHeight="1">
      <x:c r="A727" t="str">
        <x:v>SH000726</x:v>
      </x:c>
      <x:c r="B727" t="str">
        <x:v>SO00500-01</x:v>
      </x:c>
      <x:c r="C727" t="str">
        <x:v>WO00726</x:v>
      </x:c>
      <x:c r="D727" t="str">
        <x:v>LOT00726</x:v>
      </x:c>
      <x:c r="E727" t="str">
        <x:v>IAT-002</x:v>
      </x:c>
      <x:c r="F727" t="str">
        <x:v>AUTO-BRK-B</x:v>
      </x:c>
      <x:c r="G727" s="20" t="n">
        <x:v>46007</x:v>
      </x:c>
      <x:c r="H727" s="20" t="n">
        <x:v>46005</x:v>
      </x:c>
      <x:c r="I727" s="20" t="n">
        <x:v>46006</x:v>
      </x:c>
      <x:c r="J727" t="n">
        <x:v>4945</x:v>
      </x:c>
      <x:c r="K727" t="n">
        <x:v>2099.76</x:v>
      </x:c>
      <x:c r="L727" t="str">
        <x:v>海運</x:v>
      </x:c>
      <x:c r="M727" t="n">
        <x:v>0</x:v>
      </x:c>
      <x:c r="N727" t="str">
        <x:v>是</x:v>
      </x:c>
      <x:c r="O727" t="n">
        <x:v>0</x:v>
      </x:c>
      <x:c r="P727"/>
    </x:row>
    <x:row r="728" ht="20" customHeight="1">
      <x:c r="A728" t="str">
        <x:v>SH000727</x:v>
      </x:c>
      <x:c r="B728" t="str">
        <x:v>SO00501-01</x:v>
      </x:c>
      <x:c r="C728" t="str">
        <x:v>WO00727</x:v>
      </x:c>
      <x:c r="D728" t="str">
        <x:v>LOT00727</x:v>
      </x:c>
      <x:c r="E728" t="str">
        <x:v>IAT-010</x:v>
      </x:c>
      <x:c r="F728" t="str">
        <x:v>PM-ALB-A</x:v>
      </x:c>
      <x:c r="G728" s="20" t="n">
        <x:v>46003</x:v>
      </x:c>
      <x:c r="H728" s="20" t="n">
        <x:v>46002</x:v>
      </x:c>
      <x:c r="I728" s="20" t="n">
        <x:v>46004</x:v>
      </x:c>
      <x:c r="J728" t="n">
        <x:v>786</x:v>
      </x:c>
      <x:c r="K728" t="n">
        <x:v>11067.96</x:v>
      </x:c>
      <x:c r="L728" t="str">
        <x:v>陸運</x:v>
      </x:c>
      <x:c r="M728" t="n">
        <x:v>1</x:v>
      </x:c>
      <x:c r="N728" t="str">
        <x:v>否</x:v>
      </x:c>
      <x:c r="O728" t="n">
        <x:v>0</x:v>
      </x:c>
      <x:c r="P728"/>
    </x:row>
    <x:row r="729" ht="20" customHeight="1">
      <x:c r="A729" t="str">
        <x:v>SH000728</x:v>
      </x:c>
      <x:c r="B729" t="str">
        <x:v>SO00501-01</x:v>
      </x:c>
      <x:c r="C729" t="str">
        <x:v>WO00728</x:v>
      </x:c>
      <x:c r="D729" t="str">
        <x:v>LOT00728</x:v>
      </x:c>
      <x:c r="E729" t="str">
        <x:v>IAT-010</x:v>
      </x:c>
      <x:c r="F729" t="str">
        <x:v>PM-ALB-A</x:v>
      </x:c>
      <x:c r="G729" s="20" t="n">
        <x:v>46003</x:v>
      </x:c>
      <x:c r="H729" s="20" t="n">
        <x:v>46009</x:v>
      </x:c>
      <x:c r="I729" s="20" t="n">
        <x:v>46013</x:v>
      </x:c>
      <x:c r="J729" t="n">
        <x:v>777</x:v>
      </x:c>
      <x:c r="K729" t="n">
        <x:v>11067.96</x:v>
      </x:c>
      <x:c r="L729" t="str">
        <x:v>空運</x:v>
      </x:c>
      <x:c r="M729" t="n">
        <x:v>10</x:v>
      </x:c>
      <x:c r="N729" t="str">
        <x:v>否</x:v>
      </x:c>
      <x:c r="O729" t="n">
        <x:v>0</x:v>
      </x:c>
      <x:c r="P729"/>
    </x:row>
    <x:row r="730" ht="20" customHeight="1">
      <x:c r="A730" t="str">
        <x:v>SH000729</x:v>
      </x:c>
      <x:c r="B730" t="str">
        <x:v>SO00502-01</x:v>
      </x:c>
      <x:c r="C730" t="str">
        <x:v>WO00729</x:v>
      </x:c>
      <x:c r="D730" t="str">
        <x:v>LOT00729</x:v>
      </x:c>
      <x:c r="E730" t="str">
        <x:v>AUT-004</x:v>
      </x:c>
      <x:c r="F730" t="str">
        <x:v>PM-BRG-B</x:v>
      </x:c>
      <x:c r="G730" s="20" t="n">
        <x:v>45991</x:v>
      </x:c>
      <x:c r="H730" s="20" t="n">
        <x:v>45986</x:v>
      </x:c>
      <x:c r="I730" s="20" t="n">
        <x:v>45990</x:v>
      </x:c>
      <x:c r="J730" t="n">
        <x:v>295</x:v>
      </x:c>
      <x:c r="K730" t="n">
        <x:v>8093.43</x:v>
      </x:c>
      <x:c r="L730" t="str">
        <x:v>海運</x:v>
      </x:c>
      <x:c r="M730" t="n">
        <x:v>0</x:v>
      </x:c>
      <x:c r="N730" t="str">
        <x:v>是</x:v>
      </x:c>
      <x:c r="O730" t="n">
        <x:v>0</x:v>
      </x:c>
      <x:c r="P730"/>
    </x:row>
    <x:row r="731" ht="20" customHeight="1">
      <x:c r="A731" t="str">
        <x:v>SH000730</x:v>
      </x:c>
      <x:c r="B731" t="str">
        <x:v>SO00503-01</x:v>
      </x:c>
      <x:c r="C731" t="str">
        <x:v>WO00730</x:v>
      </x:c>
      <x:c r="D731" t="str">
        <x:v>LOT00730</x:v>
      </x:c>
      <x:c r="E731" t="str">
        <x:v>AFT-004</x:v>
      </x:c>
      <x:c r="F731" t="str">
        <x:v>AUTO-BS-A</x:v>
      </x:c>
      <x:c r="G731" s="20" t="n">
        <x:v>45990</x:v>
      </x:c>
      <x:c r="H731" s="20" t="n">
        <x:v>45992</x:v>
      </x:c>
      <x:c r="I731" s="20" t="n">
        <x:v>45996</x:v>
      </x:c>
      <x:c r="J731" t="n">
        <x:v>4959</x:v>
      </x:c>
      <x:c r="K731" t="n">
        <x:v>809</x:v>
      </x:c>
      <x:c r="L731" t="str">
        <x:v>空運</x:v>
      </x:c>
      <x:c r="M731" t="n">
        <x:v>6</x:v>
      </x:c>
      <x:c r="N731" t="str">
        <x:v>否</x:v>
      </x:c>
      <x:c r="O731" t="n">
        <x:v>0</x:v>
      </x:c>
      <x:c r="P731"/>
    </x:row>
    <x:row r="732" ht="20" customHeight="1">
      <x:c r="A732" t="str">
        <x:v>SH000731</x:v>
      </x:c>
      <x:c r="B732" t="str">
        <x:v>SO00504-01</x:v>
      </x:c>
      <x:c r="C732" t="str">
        <x:v>WO00731</x:v>
      </x:c>
      <x:c r="D732" t="str">
        <x:v>LOT00731</x:v>
      </x:c>
      <x:c r="E732" t="str">
        <x:v>AFT-005</x:v>
      </x:c>
      <x:c r="F732" t="str">
        <x:v>AUTO-MH-A</x:v>
      </x:c>
      <x:c r="G732" s="20" t="n">
        <x:v>46011</x:v>
      </x:c>
      <x:c r="H732" s="20" t="n">
        <x:v>46008</x:v>
      </x:c>
      <x:c r="I732" s="20" t="n">
        <x:v>46010</x:v>
      </x:c>
      <x:c r="J732" t="n">
        <x:v>2971</x:v>
      </x:c>
      <x:c r="K732" t="n">
        <x:v>2360.6</x:v>
      </x:c>
      <x:c r="L732" t="str">
        <x:v>海運</x:v>
      </x:c>
      <x:c r="M732" t="n">
        <x:v>0</x:v>
      </x:c>
      <x:c r="N732" t="str">
        <x:v>是</x:v>
      </x:c>
      <x:c r="O732" t="n">
        <x:v>0</x:v>
      </x:c>
      <x:c r="P732"/>
    </x:row>
    <x:row r="733" ht="20" customHeight="1">
      <x:c r="A733" t="str">
        <x:v>SH000732</x:v>
      </x:c>
      <x:c r="B733" t="str">
        <x:v>SO00505-01</x:v>
      </x:c>
      <x:c r="C733" t="str">
        <x:v>WO00732</x:v>
      </x:c>
      <x:c r="D733" t="str">
        <x:v>LOT00732</x:v>
      </x:c>
      <x:c r="E733" t="str">
        <x:v>AUT-011</x:v>
      </x:c>
      <x:c r="F733" t="str">
        <x:v>MECH-CON-A</x:v>
      </x:c>
      <x:c r="G733" s="20" t="n">
        <x:v>46009</x:v>
      </x:c>
      <x:c r="H733" s="20" t="n">
        <x:v>46009</x:v>
      </x:c>
      <x:c r="I733" s="20" t="n">
        <x:v>46014</x:v>
      </x:c>
      <x:c r="J733" t="n">
        <x:v>10</x:v>
      </x:c>
      <x:c r="K733" t="n">
        <x:v>109920.56</x:v>
      </x:c>
      <x:c r="L733" t="str">
        <x:v>陸運</x:v>
      </x:c>
      <x:c r="M733" t="n">
        <x:v>5</x:v>
      </x:c>
      <x:c r="N733" t="str">
        <x:v>否</x:v>
      </x:c>
      <x:c r="O733" t="n">
        <x:v>0</x:v>
      </x:c>
      <x:c r="P733"/>
    </x:row>
    <x:row r="734" ht="20" customHeight="1">
      <x:c r="A734" t="str">
        <x:v>SH000733</x:v>
      </x:c>
      <x:c r="B734" t="str">
        <x:v>SO00506-01</x:v>
      </x:c>
      <x:c r="C734" t="str">
        <x:v>WO00734</x:v>
      </x:c>
      <x:c r="D734" t="str">
        <x:v>LOT00734</x:v>
      </x:c>
      <x:c r="E734" t="str">
        <x:v>EMS-005</x:v>
      </x:c>
      <x:c r="F734" t="str">
        <x:v>MECH-STG-B</x:v>
      </x:c>
      <x:c r="G734" s="20" t="n">
        <x:v>46035</x:v>
      </x:c>
      <x:c r="H734" s="20" t="n">
        <x:v>46031</x:v>
      </x:c>
      <x:c r="I734" s="20" t="n">
        <x:v>46035</x:v>
      </x:c>
      <x:c r="J734" t="n">
        <x:v>17</x:v>
      </x:c>
      <x:c r="K734" t="n">
        <x:v>196207.07</x:v>
      </x:c>
      <x:c r="L734" t="str">
        <x:v>陸運</x:v>
      </x:c>
      <x:c r="M734" t="n">
        <x:v>0</x:v>
      </x:c>
      <x:c r="N734" t="str">
        <x:v>是</x:v>
      </x:c>
      <x:c r="O734" t="n">
        <x:v>0</x:v>
      </x:c>
      <x:c r="P734"/>
    </x:row>
    <x:row r="735" ht="20" customHeight="1">
      <x:c r="A735" t="str">
        <x:v>SH000734</x:v>
      </x:c>
      <x:c r="B735" t="str">
        <x:v>SO00506-01</x:v>
      </x:c>
      <x:c r="C735" t="str">
        <x:v>WO00735</x:v>
      </x:c>
      <x:c r="D735" t="str">
        <x:v>LOT00735</x:v>
      </x:c>
      <x:c r="E735" t="str">
        <x:v>EMS-005</x:v>
      </x:c>
      <x:c r="F735" t="str">
        <x:v>MECH-STG-B</x:v>
      </x:c>
      <x:c r="G735" s="20" t="n">
        <x:v>46035</x:v>
      </x:c>
      <x:c r="H735" s="20" t="n">
        <x:v>46032</x:v>
      </x:c>
      <x:c r="I735" s="20" t="n">
        <x:v>46034</x:v>
      </x:c>
      <x:c r="J735" t="n">
        <x:v>16</x:v>
      </x:c>
      <x:c r="K735" t="n">
        <x:v>196207.07</x:v>
      </x:c>
      <x:c r="L735" t="str">
        <x:v>海運</x:v>
      </x:c>
      <x:c r="M735" t="n">
        <x:v>0</x:v>
      </x:c>
      <x:c r="N735" t="str">
        <x:v>是</x:v>
      </x:c>
      <x:c r="O735" t="n">
        <x:v>0</x:v>
      </x:c>
      <x:c r="P735"/>
    </x:row>
    <x:row r="736" ht="20" customHeight="1">
      <x:c r="A736" t="str">
        <x:v>SH000735</x:v>
      </x:c>
      <x:c r="B736" t="str">
        <x:v>SO00506-01</x:v>
      </x:c>
      <x:c r="C736" t="str">
        <x:v>WO00733</x:v>
      </x:c>
      <x:c r="D736" t="str">
        <x:v>LOT00733</x:v>
      </x:c>
      <x:c r="E736" t="str">
        <x:v>EMS-005</x:v>
      </x:c>
      <x:c r="F736" t="str">
        <x:v>MECH-STG-B</x:v>
      </x:c>
      <x:c r="G736" s="20" t="n">
        <x:v>46035</x:v>
      </x:c>
      <x:c r="H736" s="20" t="n">
        <x:v>46039</x:v>
      </x:c>
      <x:c r="I736" s="20" t="n">
        <x:v>46044</x:v>
      </x:c>
      <x:c r="J736" t="n">
        <x:v>17</x:v>
      </x:c>
      <x:c r="K736" t="n">
        <x:v>196207.07</x:v>
      </x:c>
      <x:c r="L736" t="str">
        <x:v>空運</x:v>
      </x:c>
      <x:c r="M736" t="n">
        <x:v>9</x:v>
      </x:c>
      <x:c r="N736" t="str">
        <x:v>否</x:v>
      </x:c>
      <x:c r="O736" t="n">
        <x:v>0</x:v>
      </x:c>
      <x:c r="P736"/>
    </x:row>
    <x:row r="737" ht="20" customHeight="1">
      <x:c r="A737" t="str">
        <x:v>SH000736</x:v>
      </x:c>
      <x:c r="B737" t="str">
        <x:v>SO00507-01</x:v>
      </x:c>
      <x:c r="C737" t="str">
        <x:v>WO00736</x:v>
      </x:c>
      <x:c r="D737" t="str">
        <x:v>LOT00736</x:v>
      </x:c>
      <x:c r="E737" t="str">
        <x:v>IAT-010</x:v>
      </x:c>
      <x:c r="F737" t="str">
        <x:v>SEMI-WH-A</x:v>
      </x:c>
      <x:c r="G737" s="20" t="n">
        <x:v>46041</x:v>
      </x:c>
      <x:c r="H737" s="20" t="n">
        <x:v>46040</x:v>
      </x:c>
      <x:c r="I737" s="20" t="n">
        <x:v>46045</x:v>
      </x:c>
      <x:c r="J737" t="n">
        <x:v>58</x:v>
      </x:c>
      <x:c r="K737" t="n">
        <x:v>116269.37</x:v>
      </x:c>
      <x:c r="L737" t="str">
        <x:v>空運</x:v>
      </x:c>
      <x:c r="M737" t="n">
        <x:v>4</x:v>
      </x:c>
      <x:c r="N737" t="str">
        <x:v>否</x:v>
      </x:c>
      <x:c r="O737" t="n">
        <x:v>0</x:v>
      </x:c>
      <x:c r="P737"/>
    </x:row>
    <x:row r="738" ht="20" customHeight="1">
      <x:c r="A738" t="str">
        <x:v>SH000737</x:v>
      </x:c>
      <x:c r="B738" t="str">
        <x:v>SO00508-01</x:v>
      </x:c>
      <x:c r="C738" t="str">
        <x:v>WO00738</x:v>
      </x:c>
      <x:c r="D738" t="str">
        <x:v>LOT00738</x:v>
      </x:c>
      <x:c r="E738" t="str">
        <x:v>AUT-001</x:v>
      </x:c>
      <x:c r="F738" t="str">
        <x:v>AUTO-LG-A</x:v>
      </x:c>
      <x:c r="G738" s="20" t="n">
        <x:v>46013</x:v>
      </x:c>
      <x:c r="H738" s="20" t="n">
        <x:v>46013</x:v>
      </x:c>
      <x:c r="I738" s="20" t="n">
        <x:v>46016</x:v>
      </x:c>
      <x:c r="J738" t="n">
        <x:v>6414</x:v>
      </x:c>
      <x:c r="K738" t="n">
        <x:v>1108.08</x:v>
      </x:c>
      <x:c r="L738" t="str">
        <x:v>海運</x:v>
      </x:c>
      <x:c r="M738" t="n">
        <x:v>3</x:v>
      </x:c>
      <x:c r="N738" t="str">
        <x:v>否</x:v>
      </x:c>
      <x:c r="O738" t="n">
        <x:v>0</x:v>
      </x:c>
      <x:c r="P738"/>
    </x:row>
    <x:row r="739" ht="20" customHeight="1">
      <x:c r="A739" t="str">
        <x:v>SH000738</x:v>
      </x:c>
      <x:c r="B739" t="str">
        <x:v>SO00508-01</x:v>
      </x:c>
      <x:c r="C739" t="str">
        <x:v>WO00737</x:v>
      </x:c>
      <x:c r="D739" t="str">
        <x:v>LOT00737</x:v>
      </x:c>
      <x:c r="E739" t="str">
        <x:v>AUT-001</x:v>
      </x:c>
      <x:c r="F739" t="str">
        <x:v>AUTO-LG-A</x:v>
      </x:c>
      <x:c r="G739" s="20" t="n">
        <x:v>46013</x:v>
      </x:c>
      <x:c r="H739" s="20" t="n">
        <x:v>46017</x:v>
      </x:c>
      <x:c r="I739" s="20" t="n">
        <x:v>46022</x:v>
      </x:c>
      <x:c r="J739" t="n">
        <x:v>6404</x:v>
      </x:c>
      <x:c r="K739" t="n">
        <x:v>1108.08</x:v>
      </x:c>
      <x:c r="L739" t="str">
        <x:v>空運</x:v>
      </x:c>
      <x:c r="M739" t="n">
        <x:v>9</x:v>
      </x:c>
      <x:c r="N739" t="str">
        <x:v>否</x:v>
      </x:c>
      <x:c r="O739" t="n">
        <x:v>0</x:v>
      </x:c>
      <x:c r="P739"/>
    </x:row>
    <x:row r="740" ht="20" customHeight="1">
      <x:c r="A740" t="str">
        <x:v>SH000739</x:v>
      </x:c>
      <x:c r="B740" t="str">
        <x:v>SO00509-01</x:v>
      </x:c>
      <x:c r="C740" t="str">
        <x:v>WO00739</x:v>
      </x:c>
      <x:c r="D740" t="str">
        <x:v>LOT00739</x:v>
      </x:c>
      <x:c r="E740" t="str">
        <x:v>AUT-002</x:v>
      </x:c>
      <x:c r="F740" t="str">
        <x:v>MECH-CON-A</x:v>
      </x:c>
      <x:c r="G740" s="20" t="n">
        <x:v>46021</x:v>
      </x:c>
      <x:c r="H740" s="20" t="n">
        <x:v>46018</x:v>
      </x:c>
      <x:c r="I740" s="20" t="n">
        <x:v>46021</x:v>
      </x:c>
      <x:c r="J740" t="n">
        <x:v>20</x:v>
      </x:c>
      <x:c r="K740" t="n">
        <x:v>114360.08</x:v>
      </x:c>
      <x:c r="L740" t="str">
        <x:v>海運</x:v>
      </x:c>
      <x:c r="M740" t="n">
        <x:v>0</x:v>
      </x:c>
      <x:c r="N740" t="str">
        <x:v>是</x:v>
      </x:c>
      <x:c r="O740" t="n">
        <x:v>0</x:v>
      </x:c>
      <x:c r="P740"/>
    </x:row>
    <x:row r="741" ht="20" customHeight="1">
      <x:c r="A741" t="str">
        <x:v>SH000740</x:v>
      </x:c>
      <x:c r="B741" t="str">
        <x:v>SO00510-01</x:v>
      </x:c>
      <x:c r="C741" t="str">
        <x:v>WO00740</x:v>
      </x:c>
      <x:c r="D741" t="str">
        <x:v>LOT00740</x:v>
      </x:c>
      <x:c r="E741" t="str">
        <x:v>EMS-004</x:v>
      </x:c>
      <x:c r="F741" t="str">
        <x:v>MECH-STG-B</x:v>
      </x:c>
      <x:c r="G741" s="20" t="n">
        <x:v>46026</x:v>
      </x:c>
      <x:c r="H741" s="20" t="n">
        <x:v>46023</x:v>
      </x:c>
      <x:c r="I741" s="20" t="n">
        <x:v>46026</x:v>
      </x:c>
      <x:c r="J741" t="n">
        <x:v>10</x:v>
      </x:c>
      <x:c r="K741" t="n">
        <x:v>182162.95</x:v>
      </x:c>
      <x:c r="L741" t="str">
        <x:v>海運</x:v>
      </x:c>
      <x:c r="M741" t="n">
        <x:v>0</x:v>
      </x:c>
      <x:c r="N741" t="str">
        <x:v>是</x:v>
      </x:c>
      <x:c r="O741" t="n">
        <x:v>0</x:v>
      </x:c>
      <x:c r="P741"/>
    </x:row>
    <x:row r="742" ht="20" customHeight="1">
      <x:c r="A742" t="str">
        <x:v>SH000741</x:v>
      </x:c>
      <x:c r="B742" t="str">
        <x:v>SO00511-01</x:v>
      </x:c>
      <x:c r="C742" t="str">
        <x:v>WO00741</x:v>
      </x:c>
      <x:c r="D742" t="str">
        <x:v>LOT00741</x:v>
      </x:c>
      <x:c r="E742" t="str">
        <x:v>IAT-006</x:v>
      </x:c>
      <x:c r="F742" t="str">
        <x:v>SEMI-CHB-A</x:v>
      </x:c>
      <x:c r="G742" s="20" t="n">
        <x:v>46028</x:v>
      </x:c>
      <x:c r="H742" s="20" t="n">
        <x:v>46025</x:v>
      </x:c>
      <x:c r="I742" s="20" t="n">
        <x:v>46027</x:v>
      </x:c>
      <x:c r="J742" t="n">
        <x:v>39</x:v>
      </x:c>
      <x:c r="K742" t="n">
        <x:v>93996.86</x:v>
      </x:c>
      <x:c r="L742" t="str">
        <x:v>海運</x:v>
      </x:c>
      <x:c r="M742" t="n">
        <x:v>0</x:v>
      </x:c>
      <x:c r="N742" t="str">
        <x:v>是</x:v>
      </x:c>
      <x:c r="O742" t="n">
        <x:v>0</x:v>
      </x:c>
      <x:c r="P742"/>
    </x:row>
    <x:row r="743" ht="20" customHeight="1">
      <x:c r="A743" t="str">
        <x:v>SH000742</x:v>
      </x:c>
      <x:c r="B743" t="str">
        <x:v>SO00512-01</x:v>
      </x:c>
      <x:c r="C743" t="str">
        <x:v>WO00742</x:v>
      </x:c>
      <x:c r="D743" t="str">
        <x:v>LOT00742</x:v>
      </x:c>
      <x:c r="E743" t="str">
        <x:v>EMS-004</x:v>
      </x:c>
      <x:c r="F743" t="str">
        <x:v>MECH-STG-A</x:v>
      </x:c>
      <x:c r="G743" s="20" t="n">
        <x:v>46053</x:v>
      </x:c>
      <x:c r="H743" s="20" t="n">
        <x:v>46055</x:v>
      </x:c>
      <x:c r="I743" s="20" t="n">
        <x:v>46060</x:v>
      </x:c>
      <x:c r="J743" t="n">
        <x:v>10</x:v>
      </x:c>
      <x:c r="K743" t="n">
        <x:v>140406.92</x:v>
      </x:c>
      <x:c r="L743" t="str">
        <x:v>陸運</x:v>
      </x:c>
      <x:c r="M743" t="n">
        <x:v>7</x:v>
      </x:c>
      <x:c r="N743" t="str">
        <x:v>否</x:v>
      </x:c>
      <x:c r="O743" t="n">
        <x:v>0</x:v>
      </x:c>
      <x:c r="P743"/>
    </x:row>
    <x:row r="744" ht="20" customHeight="1">
      <x:c r="A744" t="str">
        <x:v>SH000743</x:v>
      </x:c>
      <x:c r="B744" t="str">
        <x:v>SO00513-01</x:v>
      </x:c>
      <x:c r="C744" t="str">
        <x:v>WO00743</x:v>
      </x:c>
      <x:c r="D744" t="str">
        <x:v>LOT00743</x:v>
      </x:c>
      <x:c r="E744" t="str">
        <x:v>EMS-005</x:v>
      </x:c>
      <x:c r="F744" t="str">
        <x:v>AUTO-FL-B</x:v>
      </x:c>
      <x:c r="G744" s="20" t="n">
        <x:v>46039</x:v>
      </x:c>
      <x:c r="H744" s="20" t="n">
        <x:v>46042</x:v>
      </x:c>
      <x:c r="I744" s="20" t="n">
        <x:v>46047</x:v>
      </x:c>
      <x:c r="J744" t="n">
        <x:v>4912</x:v>
      </x:c>
      <x:c r="K744" t="n">
        <x:v>1599.84</x:v>
      </x:c>
      <x:c r="L744" t="str">
        <x:v>陸運</x:v>
      </x:c>
      <x:c r="M744" t="n">
        <x:v>8</x:v>
      </x:c>
      <x:c r="N744" t="str">
        <x:v>否</x:v>
      </x:c>
      <x:c r="O744" t="n">
        <x:v>0</x:v>
      </x:c>
      <x:c r="P744"/>
    </x:row>
    <x:row r="745" ht="20" customHeight="1">
      <x:c r="A745" t="str">
        <x:v>SH000744</x:v>
      </x:c>
      <x:c r="B745" t="str">
        <x:v>SO00513-01</x:v>
      </x:c>
      <x:c r="C745" t="str">
        <x:v>WO00744</x:v>
      </x:c>
      <x:c r="D745" t="str">
        <x:v>LOT00744</x:v>
      </x:c>
      <x:c r="E745" t="str">
        <x:v>EMS-005</x:v>
      </x:c>
      <x:c r="F745" t="str">
        <x:v>AUTO-FL-B</x:v>
      </x:c>
      <x:c r="G745" s="20" t="n">
        <x:v>46039</x:v>
      </x:c>
      <x:c r="H745" s="20" t="n">
        <x:v>46043</x:v>
      </x:c>
      <x:c r="I745" s="20" t="n">
        <x:v>46044</x:v>
      </x:c>
      <x:c r="J745" t="n">
        <x:v>4869</x:v>
      </x:c>
      <x:c r="K745" t="n">
        <x:v>1599.84</x:v>
      </x:c>
      <x:c r="L745" t="str">
        <x:v>空運</x:v>
      </x:c>
      <x:c r="M745" t="n">
        <x:v>5</x:v>
      </x:c>
      <x:c r="N745" t="str">
        <x:v>否</x:v>
      </x:c>
      <x:c r="O745" t="n">
        <x:v>0</x:v>
      </x:c>
      <x:c r="P745"/>
    </x:row>
    <x:row r="746" ht="20" customHeight="1">
      <x:c r="A746" t="str">
        <x:v>SH000745</x:v>
      </x:c>
      <x:c r="B746" t="str">
        <x:v>SO00514-01</x:v>
      </x:c>
      <x:c r="C746" t="str">
        <x:v>WO00745</x:v>
      </x:c>
      <x:c r="D746" t="str">
        <x:v>LOT00745</x:v>
      </x:c>
      <x:c r="E746" t="str">
        <x:v>EMS-006</x:v>
      </x:c>
      <x:c r="F746" t="str">
        <x:v>MECH-CON-A</x:v>
      </x:c>
      <x:c r="G746" s="20" t="n">
        <x:v>46044</x:v>
      </x:c>
      <x:c r="H746" s="20" t="n">
        <x:v>46042</x:v>
      </x:c>
      <x:c r="I746" s="20" t="n">
        <x:v>46046</x:v>
      </x:c>
      <x:c r="J746" t="n">
        <x:v>17</x:v>
      </x:c>
      <x:c r="K746" t="n">
        <x:v>109964.67</x:v>
      </x:c>
      <x:c r="L746" t="str">
        <x:v>海運</x:v>
      </x:c>
      <x:c r="M746" t="n">
        <x:v>2</x:v>
      </x:c>
      <x:c r="N746" t="str">
        <x:v>否</x:v>
      </x:c>
      <x:c r="O746" t="n">
        <x:v>0</x:v>
      </x:c>
      <x:c r="P746"/>
    </x:row>
    <x:row r="747" ht="20" customHeight="1">
      <x:c r="A747" t="str">
        <x:v>SH000746</x:v>
      </x:c>
      <x:c r="B747" t="str">
        <x:v>SO00514-01</x:v>
      </x:c>
      <x:c r="C747" t="str">
        <x:v>WO00747</x:v>
      </x:c>
      <x:c r="D747" t="str">
        <x:v>LOT00747</x:v>
      </x:c>
      <x:c r="E747" t="str">
        <x:v>EMS-006</x:v>
      </x:c>
      <x:c r="F747" t="str">
        <x:v>MECH-CON-A</x:v>
      </x:c>
      <x:c r="G747" s="20" t="n">
        <x:v>46044</x:v>
      </x:c>
      <x:c r="H747" s="20" t="n">
        <x:v>46040</x:v>
      </x:c>
      <x:c r="I747" s="20" t="n">
        <x:v>46041</x:v>
      </x:c>
      <x:c r="J747" t="n">
        <x:v>16</x:v>
      </x:c>
      <x:c r="K747" t="n">
        <x:v>109964.67</x:v>
      </x:c>
      <x:c r="L747" t="str">
        <x:v>空運</x:v>
      </x:c>
      <x:c r="M747" t="n">
        <x:v>0</x:v>
      </x:c>
      <x:c r="N747" t="str">
        <x:v>是</x:v>
      </x:c>
      <x:c r="O747" t="n">
        <x:v>0</x:v>
      </x:c>
      <x:c r="P747"/>
    </x:row>
    <x:row r="748" ht="20" customHeight="1">
      <x:c r="A748" t="str">
        <x:v>SH000747</x:v>
      </x:c>
      <x:c r="B748" t="str">
        <x:v>SO00514-01</x:v>
      </x:c>
      <x:c r="C748" t="str">
        <x:v>WO00746</x:v>
      </x:c>
      <x:c r="D748" t="str">
        <x:v>LOT00746</x:v>
      </x:c>
      <x:c r="E748" t="str">
        <x:v>EMS-006</x:v>
      </x:c>
      <x:c r="F748" t="str">
        <x:v>MECH-CON-A</x:v>
      </x:c>
      <x:c r="G748" s="20" t="n">
        <x:v>46044</x:v>
      </x:c>
      <x:c r="H748" s="20" t="n">
        <x:v>46044</x:v>
      </x:c>
      <x:c r="I748" s="20" t="n">
        <x:v>46047</x:v>
      </x:c>
      <x:c r="J748" t="n">
        <x:v>17</x:v>
      </x:c>
      <x:c r="K748" t="n">
        <x:v>109964.67</x:v>
      </x:c>
      <x:c r="L748" t="str">
        <x:v>海運</x:v>
      </x:c>
      <x:c r="M748" t="n">
        <x:v>3</x:v>
      </x:c>
      <x:c r="N748" t="str">
        <x:v>否</x:v>
      </x:c>
      <x:c r="O748" t="n">
        <x:v>0</x:v>
      </x:c>
      <x:c r="P748"/>
    </x:row>
    <x:row r="749" ht="20" customHeight="1">
      <x:c r="A749" t="str">
        <x:v>SH000748</x:v>
      </x:c>
      <x:c r="B749" t="str">
        <x:v>SO00515-01</x:v>
      </x:c>
      <x:c r="C749" t="str">
        <x:v>WO00748</x:v>
      </x:c>
      <x:c r="D749" t="str">
        <x:v>LOT00748</x:v>
      </x:c>
      <x:c r="E749" t="str">
        <x:v>EMS-001</x:v>
      </x:c>
      <x:c r="F749" t="str">
        <x:v>AUTO-MH-A</x:v>
      </x:c>
      <x:c r="G749" s="20" t="n">
        <x:v>46044</x:v>
      </x:c>
      <x:c r="H749" s="20" t="n">
        <x:v>46041</x:v>
      </x:c>
      <x:c r="I749" s="20" t="n">
        <x:v>46046</x:v>
      </x:c>
      <x:c r="J749" t="n">
        <x:v>6975</x:v>
      </x:c>
      <x:c r="K749" t="n">
        <x:v>2632.01</x:v>
      </x:c>
      <x:c r="L749" t="str">
        <x:v>海運</x:v>
      </x:c>
      <x:c r="M749" t="n">
        <x:v>2</x:v>
      </x:c>
      <x:c r="N749" t="str">
        <x:v>否</x:v>
      </x:c>
      <x:c r="O749" t="n">
        <x:v>0</x:v>
      </x:c>
      <x:c r="P749"/>
    </x:row>
    <x:row r="750" ht="20" customHeight="1">
      <x:c r="A750" t="str">
        <x:v>SH000749</x:v>
      </x:c>
      <x:c r="B750" t="str">
        <x:v>SO00516-01</x:v>
      </x:c>
      <x:c r="C750" t="str">
        <x:v>WO00749</x:v>
      </x:c>
      <x:c r="D750" t="str">
        <x:v>LOT00749</x:v>
      </x:c>
      <x:c r="E750" t="str">
        <x:v>SEM-008</x:v>
      </x:c>
      <x:c r="F750" t="str">
        <x:v>MECH-STG-A</x:v>
      </x:c>
      <x:c r="G750" s="20" t="n">
        <x:v>46068</x:v>
      </x:c>
      <x:c r="H750" s="20" t="n">
        <x:v>46064</x:v>
      </x:c>
      <x:c r="I750" s="20" t="n">
        <x:v>46066</x:v>
      </x:c>
      <x:c r="J750" t="n">
        <x:v>15</x:v>
      </x:c>
      <x:c r="K750" t="n">
        <x:v>139402.47</x:v>
      </x:c>
      <x:c r="L750" t="str">
        <x:v>空運</x:v>
      </x:c>
      <x:c r="M750" t="n">
        <x:v>0</x:v>
      </x:c>
      <x:c r="N750" t="str">
        <x:v>是</x:v>
      </x:c>
      <x:c r="O750" t="n">
        <x:v>0</x:v>
      </x:c>
      <x:c r="P750"/>
    </x:row>
    <x:row r="751" ht="20" customHeight="1">
      <x:c r="A751" t="str">
        <x:v>SH000750</x:v>
      </x:c>
      <x:c r="B751" t="str">
        <x:v>SO00516-01</x:v>
      </x:c>
      <x:c r="C751" t="str">
        <x:v>WO00750</x:v>
      </x:c>
      <x:c r="D751" t="str">
        <x:v>LOT00750</x:v>
      </x:c>
      <x:c r="E751" t="str">
        <x:v>SEM-008</x:v>
      </x:c>
      <x:c r="F751" t="str">
        <x:v>MECH-STG-A</x:v>
      </x:c>
      <x:c r="G751" s="20" t="n">
        <x:v>46068</x:v>
      </x:c>
      <x:c r="H751" s="20" t="n">
        <x:v>46069</x:v>
      </x:c>
      <x:c r="I751" s="20" t="n">
        <x:v>46074</x:v>
      </x:c>
      <x:c r="J751" t="n">
        <x:v>15</x:v>
      </x:c>
      <x:c r="K751" t="n">
        <x:v>139402.47</x:v>
      </x:c>
      <x:c r="L751" t="str">
        <x:v>海運</x:v>
      </x:c>
      <x:c r="M751" t="n">
        <x:v>6</x:v>
      </x:c>
      <x:c r="N751" t="str">
        <x:v>否</x:v>
      </x:c>
      <x:c r="O751" t="n">
        <x:v>0</x:v>
      </x:c>
      <x:c r="P751"/>
    </x:row>
    <x:row r="752" ht="20" customHeight="1">
      <x:c r="A752" t="str">
        <x:v>SH000751</x:v>
      </x:c>
      <x:c r="B752" t="str">
        <x:v>SO00517-01</x:v>
      </x:c>
      <x:c r="C752" t="str">
        <x:v>WO00752</x:v>
      </x:c>
      <x:c r="D752" t="str">
        <x:v>LOT00752</x:v>
      </x:c>
      <x:c r="E752" t="str">
        <x:v>AUT-012</x:v>
      </x:c>
      <x:c r="F752" t="str">
        <x:v>AUTO-KN-A</x:v>
      </x:c>
      <x:c r="G752" s="20" t="n">
        <x:v>46043</x:v>
      </x:c>
      <x:c r="H752" s="20" t="n">
        <x:v>46037</x:v>
      </x:c>
      <x:c r="I752" s="20" t="n">
        <x:v>46038</x:v>
      </x:c>
      <x:c r="J752" t="n">
        <x:v>6456</x:v>
      </x:c>
      <x:c r="K752" t="n">
        <x:v>3381.12</x:v>
      </x:c>
      <x:c r="L752" t="str">
        <x:v>海運</x:v>
      </x:c>
      <x:c r="M752" t="n">
        <x:v>0</x:v>
      </x:c>
      <x:c r="N752" t="str">
        <x:v>是</x:v>
      </x:c>
      <x:c r="O752" t="n">
        <x:v>0</x:v>
      </x:c>
      <x:c r="P752"/>
    </x:row>
    <x:row r="753" ht="20" customHeight="1">
      <x:c r="A753" t="str">
        <x:v>SH000752</x:v>
      </x:c>
      <x:c r="B753" t="str">
        <x:v>SO00517-01</x:v>
      </x:c>
      <x:c r="C753" t="str">
        <x:v>WO00751</x:v>
      </x:c>
      <x:c r="D753" t="str">
        <x:v>LOT00751</x:v>
      </x:c>
      <x:c r="E753" t="str">
        <x:v>AUT-012</x:v>
      </x:c>
      <x:c r="F753" t="str">
        <x:v>AUTO-KN-A</x:v>
      </x:c>
      <x:c r="G753" s="20" t="n">
        <x:v>46043</x:v>
      </x:c>
      <x:c r="H753" s="20" t="n">
        <x:v>46050</x:v>
      </x:c>
      <x:c r="I753" s="20" t="n">
        <x:v>46052</x:v>
      </x:c>
      <x:c r="J753" t="n">
        <x:v>6365</x:v>
      </x:c>
      <x:c r="K753" t="n">
        <x:v>3381.12</x:v>
      </x:c>
      <x:c r="L753" t="str">
        <x:v>空運</x:v>
      </x:c>
      <x:c r="M753" t="n">
        <x:v>9</x:v>
      </x:c>
      <x:c r="N753" t="str">
        <x:v>否</x:v>
      </x:c>
      <x:c r="O753" t="n">
        <x:v>0</x:v>
      </x:c>
      <x:c r="P753"/>
    </x:row>
    <x:row r="754" ht="20" customHeight="1">
      <x:c r="A754" t="str">
        <x:v>SH000753</x:v>
      </x:c>
      <x:c r="B754" t="str">
        <x:v>SO00518-01</x:v>
      </x:c>
      <x:c r="C754" t="str">
        <x:v>WO00753</x:v>
      </x:c>
      <x:c r="D754" t="str">
        <x:v>LOT00753</x:v>
      </x:c>
      <x:c r="E754" t="str">
        <x:v>IAT-001</x:v>
      </x:c>
      <x:c r="F754" t="str">
        <x:v>AUTO-LG-B</x:v>
      </x:c>
      <x:c r="G754" s="20" t="n">
        <x:v>46027</x:v>
      </x:c>
      <x:c r="H754" s="20" t="n">
        <x:v>46027</x:v>
      </x:c>
      <x:c r="I754" s="20" t="n">
        <x:v>46031</x:v>
      </x:c>
      <x:c r="J754" t="n">
        <x:v>6926</x:v>
      </x:c>
      <x:c r="K754" t="n">
        <x:v>1113.52</x:v>
      </x:c>
      <x:c r="L754" t="str">
        <x:v>陸運</x:v>
      </x:c>
      <x:c r="M754" t="n">
        <x:v>4</x:v>
      </x:c>
      <x:c r="N754" t="str">
        <x:v>否</x:v>
      </x:c>
      <x:c r="O754" t="n">
        <x:v>40</x:v>
      </x:c>
      <x:c r="P754" t="str">
        <x:v>外觀瑕疵</x:v>
      </x:c>
    </x:row>
    <x:row r="755" ht="20" customHeight="1">
      <x:c r="A755" t="str">
        <x:v>SH000754</x:v>
      </x:c>
      <x:c r="B755" t="str">
        <x:v>SO00519-01</x:v>
      </x:c>
      <x:c r="C755" t="str">
        <x:v>WO00754</x:v>
      </x:c>
      <x:c r="D755" t="str">
        <x:v>LOT00754</x:v>
      </x:c>
      <x:c r="E755" t="str">
        <x:v>EMS-003</x:v>
      </x:c>
      <x:c r="F755" t="str">
        <x:v>AUTO-FL-B</x:v>
      </x:c>
      <x:c r="G755" s="20" t="n">
        <x:v>46036</x:v>
      </x:c>
      <x:c r="H755" s="20" t="n">
        <x:v>46036</x:v>
      </x:c>
      <x:c r="I755" s="20" t="n">
        <x:v>46040</x:v>
      </x:c>
      <x:c r="J755" t="n">
        <x:v>4895</x:v>
      </x:c>
      <x:c r="K755" t="n">
        <x:v>1513.69</x:v>
      </x:c>
      <x:c r="L755" t="str">
        <x:v>陸運</x:v>
      </x:c>
      <x:c r="M755" t="n">
        <x:v>4</x:v>
      </x:c>
      <x:c r="N755" t="str">
        <x:v>否</x:v>
      </x:c>
      <x:c r="O755" t="n">
        <x:v>0</x:v>
      </x:c>
      <x:c r="P755"/>
    </x:row>
    <x:row r="756" ht="20" customHeight="1">
      <x:c r="A756" t="str">
        <x:v>SH000755</x:v>
      </x:c>
      <x:c r="B756" t="str">
        <x:v>SO00520-01</x:v>
      </x:c>
      <x:c r="C756" t="str">
        <x:v>WO00755</x:v>
      </x:c>
      <x:c r="D756" t="str">
        <x:v>LOT00755</x:v>
      </x:c>
      <x:c r="E756" t="str">
        <x:v>IAT-003</x:v>
      </x:c>
      <x:c r="F756" t="str">
        <x:v>AUTO-BS-A</x:v>
      </x:c>
      <x:c r="G756" s="20" t="n">
        <x:v>46038</x:v>
      </x:c>
      <x:c r="H756" s="20" t="n">
        <x:v>46035</x:v>
      </x:c>
      <x:c r="I756" s="20" t="n">
        <x:v>46037</x:v>
      </x:c>
      <x:c r="J756" t="n">
        <x:v>2973</x:v>
      </x:c>
      <x:c r="K756" t="n">
        <x:v>759.06</x:v>
      </x:c>
      <x:c r="L756" t="str">
        <x:v>海運</x:v>
      </x:c>
      <x:c r="M756" t="n">
        <x:v>0</x:v>
      </x:c>
      <x:c r="N756" t="str">
        <x:v>是</x:v>
      </x:c>
      <x:c r="O756" t="n">
        <x:v>0</x:v>
      </x:c>
      <x:c r="P756"/>
    </x:row>
    <x:row r="757" ht="20" customHeight="1">
      <x:c r="A757" t="str">
        <x:v>SH000756</x:v>
      </x:c>
      <x:c r="B757" t="str">
        <x:v>SO00521-01</x:v>
      </x:c>
      <x:c r="C757" t="str">
        <x:v>WO00756</x:v>
      </x:c>
      <x:c r="D757" t="str">
        <x:v>LOT00756</x:v>
      </x:c>
      <x:c r="E757" t="str">
        <x:v>EMS-004</x:v>
      </x:c>
      <x:c r="F757" t="str">
        <x:v>PM-BRG-A</x:v>
      </x:c>
      <x:c r="G757" s="20" t="n">
        <x:v>46041</x:v>
      </x:c>
      <x:c r="H757" s="20" t="n">
        <x:v>46040</x:v>
      </x:c>
      <x:c r="I757" s="20" t="n">
        <x:v>46044</x:v>
      </x:c>
      <x:c r="J757" t="n">
        <x:v>787</x:v>
      </x:c>
      <x:c r="K757" t="n">
        <x:v>7050.29</x:v>
      </x:c>
      <x:c r="L757" t="str">
        <x:v>空運</x:v>
      </x:c>
      <x:c r="M757" t="n">
        <x:v>3</x:v>
      </x:c>
      <x:c r="N757" t="str">
        <x:v>否</x:v>
      </x:c>
      <x:c r="O757" t="n">
        <x:v>0</x:v>
      </x:c>
      <x:c r="P757"/>
    </x:row>
    <x:row r="758" ht="20" customHeight="1">
      <x:c r="A758" t="str">
        <x:v>SH000757</x:v>
      </x:c>
      <x:c r="B758" t="str">
        <x:v>SO00522-01</x:v>
      </x:c>
      <x:c r="C758" t="str">
        <x:v>WO00758</x:v>
      </x:c>
      <x:c r="D758" t="str">
        <x:v>LOT00758</x:v>
      </x:c>
      <x:c r="E758" t="str">
        <x:v>SEM-004</x:v>
      </x:c>
      <x:c r="F758" t="str">
        <x:v>SEMI-CHB-B</x:v>
      </x:c>
      <x:c r="G758" s="20" t="n">
        <x:v>46071</x:v>
      </x:c>
      <x:c r="H758" s="20" t="n">
        <x:v>46069</x:v>
      </x:c>
      <x:c r="I758" s="20" t="n">
        <x:v>46071</x:v>
      </x:c>
      <x:c r="J758" t="n">
        <x:v>78</x:v>
      </x:c>
      <x:c r="K758" t="n">
        <x:v>140168.5</x:v>
      </x:c>
      <x:c r="L758" t="str">
        <x:v>陸運</x:v>
      </x:c>
      <x:c r="M758" t="n">
        <x:v>0</x:v>
      </x:c>
      <x:c r="N758" t="str">
        <x:v>是</x:v>
      </x:c>
      <x:c r="O758" t="n">
        <x:v>0</x:v>
      </x:c>
      <x:c r="P758"/>
    </x:row>
    <x:row r="759" ht="20" customHeight="1">
      <x:c r="A759" t="str">
        <x:v>SH000758</x:v>
      </x:c>
      <x:c r="B759" t="str">
        <x:v>SO00522-01</x:v>
      </x:c>
      <x:c r="C759" t="str">
        <x:v>WO00757</x:v>
      </x:c>
      <x:c r="D759" t="str">
        <x:v>LOT00757</x:v>
      </x:c>
      <x:c r="E759" t="str">
        <x:v>SEM-004</x:v>
      </x:c>
      <x:c r="F759" t="str">
        <x:v>SEMI-CHB-B</x:v>
      </x:c>
      <x:c r="G759" s="20" t="n">
        <x:v>46071</x:v>
      </x:c>
      <x:c r="H759" s="20" t="n">
        <x:v>46075</x:v>
      </x:c>
      <x:c r="I759" s="20" t="n">
        <x:v>46078</x:v>
      </x:c>
      <x:c r="J759" t="n">
        <x:v>79</x:v>
      </x:c>
      <x:c r="K759" t="n">
        <x:v>140168.5</x:v>
      </x:c>
      <x:c r="L759" t="str">
        <x:v>陸運</x:v>
      </x:c>
      <x:c r="M759" t="n">
        <x:v>7</x:v>
      </x:c>
      <x:c r="N759" t="str">
        <x:v>否</x:v>
      </x:c>
      <x:c r="O759" t="n">
        <x:v>0</x:v>
      </x:c>
      <x:c r="P759"/>
    </x:row>
    <x:row r="760" ht="20" customHeight="1">
      <x:c r="A760" t="str">
        <x:v>SH000759</x:v>
      </x:c>
      <x:c r="B760" t="str">
        <x:v>SO00523-01</x:v>
      </x:c>
      <x:c r="C760" t="str">
        <x:v>WO00759</x:v>
      </x:c>
      <x:c r="D760" t="str">
        <x:v>LOT00759</x:v>
      </x:c>
      <x:c r="E760" t="str">
        <x:v>EMS-007</x:v>
      </x:c>
      <x:c r="F760" t="str">
        <x:v>MECH-CON-A</x:v>
      </x:c>
      <x:c r="G760" s="20" t="n">
        <x:v>46062</x:v>
      </x:c>
      <x:c r="H760" s="20" t="n">
        <x:v>46065</x:v>
      </x:c>
      <x:c r="I760" s="20" t="n">
        <x:v>46067</x:v>
      </x:c>
      <x:c r="J760" t="n">
        <x:v>20</x:v>
      </x:c>
      <x:c r="K760" t="n">
        <x:v>110027.33</x:v>
      </x:c>
      <x:c r="L760" t="str">
        <x:v>空運</x:v>
      </x:c>
      <x:c r="M760" t="n">
        <x:v>5</x:v>
      </x:c>
      <x:c r="N760" t="str">
        <x:v>否</x:v>
      </x:c>
      <x:c r="O760" t="n">
        <x:v>0</x:v>
      </x:c>
      <x:c r="P760"/>
    </x:row>
    <x:row r="761" ht="20" customHeight="1">
      <x:c r="A761" t="str">
        <x:v>SH000760</x:v>
      </x:c>
      <x:c r="B761" t="str">
        <x:v>SO00524-01</x:v>
      </x:c>
      <x:c r="C761" t="str">
        <x:v>WO00760</x:v>
      </x:c>
      <x:c r="D761" t="str">
        <x:v>LOT00760</x:v>
      </x:c>
      <x:c r="E761" t="str">
        <x:v>AUT-009</x:v>
      </x:c>
      <x:c r="F761" t="str">
        <x:v>MECH-CON-B</x:v>
      </x:c>
      <x:c r="G761" s="20" t="n">
        <x:v>46067</x:v>
      </x:c>
      <x:c r="H761" s="20" t="n">
        <x:v>46068</x:v>
      </x:c>
      <x:c r="I761" s="20" t="n">
        <x:v>46070</x:v>
      </x:c>
      <x:c r="J761" t="n">
        <x:v>20</x:v>
      </x:c>
      <x:c r="K761" t="n">
        <x:v>155060.36</x:v>
      </x:c>
      <x:c r="L761" t="str">
        <x:v>空運</x:v>
      </x:c>
      <x:c r="M761" t="n">
        <x:v>3</x:v>
      </x:c>
      <x:c r="N761" t="str">
        <x:v>否</x:v>
      </x:c>
      <x:c r="O761" t="n">
        <x:v>0</x:v>
      </x:c>
      <x:c r="P761"/>
    </x:row>
    <x:row r="762" ht="20" customHeight="1">
      <x:c r="A762" t="str">
        <x:v>SH000761</x:v>
      </x:c>
      <x:c r="B762" t="str">
        <x:v>SO00525-01</x:v>
      </x:c>
      <x:c r="C762" t="str">
        <x:v>WO00762</x:v>
      </x:c>
      <x:c r="D762" t="str">
        <x:v>LOT00762</x:v>
      </x:c>
      <x:c r="E762" t="str">
        <x:v>AUT-004</x:v>
      </x:c>
      <x:c r="F762" t="str">
        <x:v>AUTO-FL-B</x:v>
      </x:c>
      <x:c r="G762" s="20" t="n">
        <x:v>46039</x:v>
      </x:c>
      <x:c r="H762" s="20" t="n">
        <x:v>46037</x:v>
      </x:c>
      <x:c r="I762" s="20" t="n">
        <x:v>46042</x:v>
      </x:c>
      <x:c r="J762" t="n">
        <x:v>4988</x:v>
      </x:c>
      <x:c r="K762" t="n">
        <x:v>1535.36</x:v>
      </x:c>
      <x:c r="L762" t="str">
        <x:v>空運</x:v>
      </x:c>
      <x:c r="M762" t="n">
        <x:v>3</x:v>
      </x:c>
      <x:c r="N762" t="str">
        <x:v>否</x:v>
      </x:c>
      <x:c r="O762" t="n">
        <x:v>0</x:v>
      </x:c>
      <x:c r="P762"/>
    </x:row>
    <x:row r="763" ht="20" customHeight="1">
      <x:c r="A763" t="str">
        <x:v>SH000762</x:v>
      </x:c>
      <x:c r="B763" t="str">
        <x:v>SO00525-01</x:v>
      </x:c>
      <x:c r="C763" t="str">
        <x:v>WO00761</x:v>
      </x:c>
      <x:c r="D763" t="str">
        <x:v>LOT00761</x:v>
      </x:c>
      <x:c r="E763" t="str">
        <x:v>AUT-004</x:v>
      </x:c>
      <x:c r="F763" t="str">
        <x:v>AUTO-FL-B</x:v>
      </x:c>
      <x:c r="G763" s="20" t="n">
        <x:v>46039</x:v>
      </x:c>
      <x:c r="H763" s="20" t="n">
        <x:v>46038</x:v>
      </x:c>
      <x:c r="I763" s="20" t="n">
        <x:v>46043</x:v>
      </x:c>
      <x:c r="J763" t="n">
        <x:v>4964</x:v>
      </x:c>
      <x:c r="K763" t="n">
        <x:v>1535.36</x:v>
      </x:c>
      <x:c r="L763" t="str">
        <x:v>海運</x:v>
      </x:c>
      <x:c r="M763" t="n">
        <x:v>4</x:v>
      </x:c>
      <x:c r="N763" t="str">
        <x:v>否</x:v>
      </x:c>
      <x:c r="O763" t="n">
        <x:v>0</x:v>
      </x:c>
      <x:c r="P763"/>
    </x:row>
    <x:row r="764" ht="20" customHeight="1">
      <x:c r="A764" t="str">
        <x:v>SH000763</x:v>
      </x:c>
      <x:c r="B764" t="str">
        <x:v>SO00526-01</x:v>
      </x:c>
      <x:c r="C764" t="str">
        <x:v>WO00763</x:v>
      </x:c>
      <x:c r="D764" t="str">
        <x:v>LOT00763</x:v>
      </x:c>
      <x:c r="E764" t="str">
        <x:v>AFT-005</x:v>
      </x:c>
      <x:c r="F764" t="str">
        <x:v>AUTO-KN-B</x:v>
      </x:c>
      <x:c r="G764" s="20" t="n">
        <x:v>46042</x:v>
      </x:c>
      <x:c r="H764" s="20" t="n">
        <x:v>46039</x:v>
      </x:c>
      <x:c r="I764" s="20" t="n">
        <x:v>46044</x:v>
      </x:c>
      <x:c r="J764" t="n">
        <x:v>4952</x:v>
      </x:c>
      <x:c r="K764" t="n">
        <x:v>3447.5</x:v>
      </x:c>
      <x:c r="L764" t="str">
        <x:v>海運</x:v>
      </x:c>
      <x:c r="M764" t="n">
        <x:v>2</x:v>
      </x:c>
      <x:c r="N764" t="str">
        <x:v>否</x:v>
      </x:c>
      <x:c r="O764" t="n">
        <x:v>0</x:v>
      </x:c>
      <x:c r="P764"/>
    </x:row>
    <x:row r="765" ht="20" customHeight="1">
      <x:c r="A765" t="str">
        <x:v>SH000764</x:v>
      </x:c>
      <x:c r="B765" t="str">
        <x:v>SO00527-01</x:v>
      </x:c>
      <x:c r="C765" t="str">
        <x:v>WO00764</x:v>
      </x:c>
      <x:c r="D765" t="str">
        <x:v>LOT00764</x:v>
      </x:c>
      <x:c r="E765" t="str">
        <x:v>AUT-010</x:v>
      </x:c>
      <x:c r="F765" t="str">
        <x:v>AUTO-BS-A</x:v>
      </x:c>
      <x:c r="G765" s="20" t="n">
        <x:v>46024</x:v>
      </x:c>
      <x:c r="H765" s="20" t="n">
        <x:v>46032</x:v>
      </x:c>
      <x:c r="I765" s="20" t="n">
        <x:v>46036</x:v>
      </x:c>
      <x:c r="J765" t="n">
        <x:v>2959</x:v>
      </x:c>
      <x:c r="K765" t="n">
        <x:v>773.73</x:v>
      </x:c>
      <x:c r="L765" t="str">
        <x:v>陸運</x:v>
      </x:c>
      <x:c r="M765" t="n">
        <x:v>12</x:v>
      </x:c>
      <x:c r="N765" t="str">
        <x:v>否</x:v>
      </x:c>
      <x:c r="O765" t="n">
        <x:v>0</x:v>
      </x:c>
      <x:c r="P765"/>
    </x:row>
    <x:row r="766" ht="20" customHeight="1">
      <x:c r="A766" t="str">
        <x:v>SH000765</x:v>
      </x:c>
      <x:c r="B766" t="str">
        <x:v>SO00528-01</x:v>
      </x:c>
      <x:c r="C766" t="str">
        <x:v>WO00765</x:v>
      </x:c>
      <x:c r="D766" t="str">
        <x:v>LOT00765</x:v>
      </x:c>
      <x:c r="E766" t="str">
        <x:v>EMS-005</x:v>
      </x:c>
      <x:c r="F766" t="str">
        <x:v>SEMI-WH-B</x:v>
      </x:c>
      <x:c r="G766" s="20" t="n">
        <x:v>46086</x:v>
      </x:c>
      <x:c r="H766" s="20" t="n">
        <x:v>46086</x:v>
      </x:c>
      <x:c r="I766" s="20" t="n">
        <x:v>46091</x:v>
      </x:c>
      <x:c r="J766" t="n">
        <x:v>39</x:v>
      </x:c>
      <x:c r="K766" t="n">
        <x:v>158230.97</x:v>
      </x:c>
      <x:c r="L766" t="str">
        <x:v>陸運</x:v>
      </x:c>
      <x:c r="M766" t="n">
        <x:v>5</x:v>
      </x:c>
      <x:c r="N766" t="str">
        <x:v>否</x:v>
      </x:c>
      <x:c r="O766" t="n">
        <x:v>0</x:v>
      </x:c>
      <x:c r="P766"/>
    </x:row>
    <x:row r="767" ht="20" customHeight="1">
      <x:c r="A767" t="str">
        <x:v>SH000766</x:v>
      </x:c>
      <x:c r="B767" t="str">
        <x:v>SO00529-01</x:v>
      </x:c>
      <x:c r="C767" t="str">
        <x:v>WO00766</x:v>
      </x:c>
      <x:c r="D767" t="str">
        <x:v>LOT00766</x:v>
      </x:c>
      <x:c r="E767" t="str">
        <x:v>IAT-008</x:v>
      </x:c>
      <x:c r="F767" t="str">
        <x:v>PM-ALB-A</x:v>
      </x:c>
      <x:c r="G767" s="20" t="n">
        <x:v>46039</x:v>
      </x:c>
      <x:c r="H767" s="20" t="n">
        <x:v>46040</x:v>
      </x:c>
      <x:c r="I767" s="20" t="n">
        <x:v>46043</x:v>
      </x:c>
      <x:c r="J767" t="n">
        <x:v>298</x:v>
      </x:c>
      <x:c r="K767" t="n">
        <x:v>11320.03</x:v>
      </x:c>
      <x:c r="L767" t="str">
        <x:v>空運</x:v>
      </x:c>
      <x:c r="M767" t="n">
        <x:v>4</x:v>
      </x:c>
      <x:c r="N767" t="str">
        <x:v>否</x:v>
      </x:c>
      <x:c r="O767" t="n">
        <x:v>0</x:v>
      </x:c>
      <x:c r="P767"/>
    </x:row>
    <x:row r="768" ht="20" customHeight="1">
      <x:c r="A768" t="str">
        <x:v>SH000767</x:v>
      </x:c>
      <x:c r="B768" t="str">
        <x:v>SO00530-01</x:v>
      </x:c>
      <x:c r="C768" t="str">
        <x:v>WO00767</x:v>
      </x:c>
      <x:c r="D768" t="str">
        <x:v>LOT00767</x:v>
      </x:c>
      <x:c r="E768" t="str">
        <x:v>AUT-009</x:v>
      </x:c>
      <x:c r="F768" t="str">
        <x:v>AUTO-BRK-B</x:v>
      </x:c>
      <x:c r="G768" s="20" t="n">
        <x:v>46039</x:v>
      </x:c>
      <x:c r="H768" s="20" t="n">
        <x:v>46037</x:v>
      </x:c>
      <x:c r="I768" s="20" t="n">
        <x:v>46040</x:v>
      </x:c>
      <x:c r="J768" t="n">
        <x:v>6959</x:v>
      </x:c>
      <x:c r="K768" t="n">
        <x:v>2218.68</x:v>
      </x:c>
      <x:c r="L768" t="str">
        <x:v>海運</x:v>
      </x:c>
      <x:c r="M768" t="n">
        <x:v>1</x:v>
      </x:c>
      <x:c r="N768" t="str">
        <x:v>否</x:v>
      </x:c>
      <x:c r="O768" t="n">
        <x:v>0</x:v>
      </x:c>
      <x:c r="P768"/>
    </x:row>
    <x:row r="769" ht="20" customHeight="1">
      <x:c r="A769" t="str">
        <x:v>SH000768</x:v>
      </x:c>
      <x:c r="B769" t="str">
        <x:v>SO00531-01</x:v>
      </x:c>
      <x:c r="C769" t="str">
        <x:v>WO00769</x:v>
      </x:c>
      <x:c r="D769" t="str">
        <x:v>LOT00769</x:v>
      </x:c>
      <x:c r="E769" t="str">
        <x:v>AFT-003</x:v>
      </x:c>
      <x:c r="F769" t="str">
        <x:v>AUTO-KN-A</x:v>
      </x:c>
      <x:c r="G769" s="20" t="n">
        <x:v>46066</x:v>
      </x:c>
      <x:c r="H769" s="20" t="n">
        <x:v>46062</x:v>
      </x:c>
      <x:c r="I769" s="20" t="n">
        <x:v>46065</x:v>
      </x:c>
      <x:c r="J769" t="n">
        <x:v>4940</x:v>
      </x:c>
      <x:c r="K769" t="n">
        <x:v>3248.67</x:v>
      </x:c>
      <x:c r="L769" t="str">
        <x:v>空運</x:v>
      </x:c>
      <x:c r="M769" t="n">
        <x:v>0</x:v>
      </x:c>
      <x:c r="N769" t="str">
        <x:v>是</x:v>
      </x:c>
      <x:c r="O769" t="n">
        <x:v>0</x:v>
      </x:c>
      <x:c r="P769"/>
    </x:row>
    <x:row r="770" ht="20" customHeight="1">
      <x:c r="A770" t="str">
        <x:v>SH000769</x:v>
      </x:c>
      <x:c r="B770" t="str">
        <x:v>SO00531-01</x:v>
      </x:c>
      <x:c r="C770" t="str">
        <x:v>WO00768</x:v>
      </x:c>
      <x:c r="D770" t="str">
        <x:v>LOT00768</x:v>
      </x:c>
      <x:c r="E770" t="str">
        <x:v>AFT-003</x:v>
      </x:c>
      <x:c r="F770" t="str">
        <x:v>AUTO-KN-A</x:v>
      </x:c>
      <x:c r="G770" s="20" t="n">
        <x:v>46066</x:v>
      </x:c>
      <x:c r="H770" s="20" t="n">
        <x:v>46062</x:v>
      </x:c>
      <x:c r="I770" s="20" t="n">
        <x:v>46067</x:v>
      </x:c>
      <x:c r="J770" t="n">
        <x:v>4949</x:v>
      </x:c>
      <x:c r="K770" t="n">
        <x:v>3248.67</x:v>
      </x:c>
      <x:c r="L770" t="str">
        <x:v>海運</x:v>
      </x:c>
      <x:c r="M770" t="n">
        <x:v>1</x:v>
      </x:c>
      <x:c r="N770" t="str">
        <x:v>否</x:v>
      </x:c>
      <x:c r="O770" t="n">
        <x:v>0</x:v>
      </x:c>
      <x:c r="P770"/>
    </x:row>
    <x:row r="771" ht="20" customHeight="1">
      <x:c r="A771" t="str">
        <x:v>SH000770</x:v>
      </x:c>
      <x:c r="B771" t="str">
        <x:v>SO00532-01</x:v>
      </x:c>
      <x:c r="C771" t="str">
        <x:v>WO00770</x:v>
      </x:c>
      <x:c r="D771" t="str">
        <x:v>LOT00770</x:v>
      </x:c>
      <x:c r="E771" t="str">
        <x:v>IAT-004</x:v>
      </x:c>
      <x:c r="F771" t="str">
        <x:v>AUTO-FL-B</x:v>
      </x:c>
      <x:c r="G771" s="20" t="n">
        <x:v>46072</x:v>
      </x:c>
      <x:c r="H771" s="20" t="n">
        <x:v>46071</x:v>
      </x:c>
      <x:c r="I771" s="20" t="n">
        <x:v>46074</x:v>
      </x:c>
      <x:c r="J771" t="n">
        <x:v>6917</x:v>
      </x:c>
      <x:c r="K771" t="n">
        <x:v>1428.59</x:v>
      </x:c>
      <x:c r="L771" t="str">
        <x:v>海運</x:v>
      </x:c>
      <x:c r="M771" t="n">
        <x:v>2</x:v>
      </x:c>
      <x:c r="N771" t="str">
        <x:v>否</x:v>
      </x:c>
      <x:c r="O771" t="n">
        <x:v>0</x:v>
      </x:c>
      <x:c r="P771"/>
    </x:row>
    <x:row r="772" ht="20" customHeight="1">
      <x:c r="A772" t="str">
        <x:v>SH000771</x:v>
      </x:c>
      <x:c r="B772" t="str">
        <x:v>SO00533-01</x:v>
      </x:c>
      <x:c r="C772" t="str">
        <x:v>WO00771</x:v>
      </x:c>
      <x:c r="D772" t="str">
        <x:v>LOT00771</x:v>
      </x:c>
      <x:c r="E772" t="str">
        <x:v>EMS-007</x:v>
      </x:c>
      <x:c r="F772" t="str">
        <x:v>AUTO-FL-A</x:v>
      </x:c>
      <x:c r="G772" s="20" t="n">
        <x:v>46060</x:v>
      </x:c>
      <x:c r="H772" s="20" t="n">
        <x:v>46056</x:v>
      </x:c>
      <x:c r="I772" s="20" t="n">
        <x:v>46061</x:v>
      </x:c>
      <x:c r="J772" t="n">
        <x:v>6380</x:v>
      </x:c>
      <x:c r="K772" t="n">
        <x:v>1237.73</x:v>
      </x:c>
      <x:c r="L772" t="str">
        <x:v>海運</x:v>
      </x:c>
      <x:c r="M772" t="n">
        <x:v>1</x:v>
      </x:c>
      <x:c r="N772" t="str">
        <x:v>否</x:v>
      </x:c>
      <x:c r="O772" t="n">
        <x:v>0</x:v>
      </x:c>
      <x:c r="P772"/>
    </x:row>
    <x:row r="773" ht="20" customHeight="1">
      <x:c r="A773" t="str">
        <x:v>SH000772</x:v>
      </x:c>
      <x:c r="B773" t="str">
        <x:v>SO00533-01</x:v>
      </x:c>
      <x:c r="C773" t="str">
        <x:v>WO00772</x:v>
      </x:c>
      <x:c r="D773" t="str">
        <x:v>LOT00772</x:v>
      </x:c>
      <x:c r="E773" t="str">
        <x:v>EMS-007</x:v>
      </x:c>
      <x:c r="F773" t="str">
        <x:v>AUTO-FL-A</x:v>
      </x:c>
      <x:c r="G773" s="20" t="n">
        <x:v>46060</x:v>
      </x:c>
      <x:c r="H773" s="20" t="n">
        <x:v>46060</x:v>
      </x:c>
      <x:c r="I773" s="20" t="n">
        <x:v>46063</x:v>
      </x:c>
      <x:c r="J773" t="n">
        <x:v>6421</x:v>
      </x:c>
      <x:c r="K773" t="n">
        <x:v>1237.73</x:v>
      </x:c>
      <x:c r="L773" t="str">
        <x:v>海運</x:v>
      </x:c>
      <x:c r="M773" t="n">
        <x:v>3</x:v>
      </x:c>
      <x:c r="N773" t="str">
        <x:v>否</x:v>
      </x:c>
      <x:c r="O773" t="n">
        <x:v>0</x:v>
      </x:c>
      <x:c r="P773"/>
    </x:row>
    <x:row r="774" ht="20" customHeight="1">
      <x:c r="A774" t="str">
        <x:v>SH000773</x:v>
      </x:c>
      <x:c r="B774" t="str">
        <x:v>SO00534-01</x:v>
      </x:c>
      <x:c r="C774" t="str">
        <x:v>WO00773</x:v>
      </x:c>
      <x:c r="D774" t="str">
        <x:v>LOT00773</x:v>
      </x:c>
      <x:c r="E774" t="str">
        <x:v>AFT-005</x:v>
      </x:c>
      <x:c r="F774" t="str">
        <x:v>AUTO-FL-B</x:v>
      </x:c>
      <x:c r="G774" s="20" t="n">
        <x:v>46074</x:v>
      </x:c>
      <x:c r="H774" s="20" t="n">
        <x:v>46071</x:v>
      </x:c>
      <x:c r="I774" s="20" t="n">
        <x:v>46076</x:v>
      </x:c>
      <x:c r="J774" t="n">
        <x:v>6973</x:v>
      </x:c>
      <x:c r="K774" t="n">
        <x:v>1526.02</x:v>
      </x:c>
      <x:c r="L774" t="str">
        <x:v>空運</x:v>
      </x:c>
      <x:c r="M774" t="n">
        <x:v>2</x:v>
      </x:c>
      <x:c r="N774" t="str">
        <x:v>否</x:v>
      </x:c>
      <x:c r="O774" t="n">
        <x:v>0</x:v>
      </x:c>
      <x:c r="P774"/>
    </x:row>
    <x:row r="775" ht="20" customHeight="1">
      <x:c r="A775" t="str">
        <x:v>SH000774</x:v>
      </x:c>
      <x:c r="B775" t="str">
        <x:v>SO00535-01</x:v>
      </x:c>
      <x:c r="C775" t="str">
        <x:v>WO00774</x:v>
      </x:c>
      <x:c r="D775" t="str">
        <x:v>LOT00774</x:v>
      </x:c>
      <x:c r="E775" t="str">
        <x:v>AUT-004</x:v>
      </x:c>
      <x:c r="F775" t="str">
        <x:v>AUTO-BRK-A</x:v>
      </x:c>
      <x:c r="G775" s="20" t="n">
        <x:v>46054</x:v>
      </x:c>
      <x:c r="H775" s="20" t="n">
        <x:v>46052</x:v>
      </x:c>
      <x:c r="I775" s="20" t="n">
        <x:v>46053</x:v>
      </x:c>
      <x:c r="J775" t="n">
        <x:v>6893</x:v>
      </x:c>
      <x:c r="K775" t="n">
        <x:v>1688.03</x:v>
      </x:c>
      <x:c r="L775" t="str">
        <x:v>空運</x:v>
      </x:c>
      <x:c r="M775" t="n">
        <x:v>0</x:v>
      </x:c>
      <x:c r="N775" t="str">
        <x:v>是</x:v>
      </x:c>
      <x:c r="O775" t="n">
        <x:v>0</x:v>
      </x:c>
      <x:c r="P775"/>
    </x:row>
    <x:row r="776" ht="20" customHeight="1">
      <x:c r="A776" t="str">
        <x:v>SH000775</x:v>
      </x:c>
      <x:c r="B776" t="str">
        <x:v>SO00536-01</x:v>
      </x:c>
      <x:c r="C776" t="str">
        <x:v>WO00776</x:v>
      </x:c>
      <x:c r="D776" t="str">
        <x:v>LOT00776</x:v>
      </x:c>
      <x:c r="E776" t="str">
        <x:v>AUT-001</x:v>
      </x:c>
      <x:c r="F776" t="str">
        <x:v>AUTO-BS-A</x:v>
      </x:c>
      <x:c r="G776" s="20" t="n">
        <x:v>46055</x:v>
      </x:c>
      <x:c r="H776" s="20" t="n">
        <x:v>46053</x:v>
      </x:c>
      <x:c r="I776" s="20" t="n">
        <x:v>46058</x:v>
      </x:c>
      <x:c r="J776" t="n">
        <x:v>4929</x:v>
      </x:c>
      <x:c r="K776" t="n">
        <x:v>738.1</x:v>
      </x:c>
      <x:c r="L776" t="str">
        <x:v>空運</x:v>
      </x:c>
      <x:c r="M776" t="n">
        <x:v>3</x:v>
      </x:c>
      <x:c r="N776" t="str">
        <x:v>否</x:v>
      </x:c>
      <x:c r="O776" t="n">
        <x:v>0</x:v>
      </x:c>
      <x:c r="P776"/>
    </x:row>
    <x:row r="777" ht="20" customHeight="1">
      <x:c r="A777" t="str">
        <x:v>SH000776</x:v>
      </x:c>
      <x:c r="B777" t="str">
        <x:v>SO00536-01</x:v>
      </x:c>
      <x:c r="C777" t="str">
        <x:v>WO00775</x:v>
      </x:c>
      <x:c r="D777" t="str">
        <x:v>LOT00775</x:v>
      </x:c>
      <x:c r="E777" t="str">
        <x:v>AUT-001</x:v>
      </x:c>
      <x:c r="F777" t="str">
        <x:v>AUTO-BS-A</x:v>
      </x:c>
      <x:c r="G777" s="20" t="n">
        <x:v>46055</x:v>
      </x:c>
      <x:c r="H777" s="20" t="n">
        <x:v>46054</x:v>
      </x:c>
      <x:c r="I777" s="20" t="n">
        <x:v>46058</x:v>
      </x:c>
      <x:c r="J777" t="n">
        <x:v>5000</x:v>
      </x:c>
      <x:c r="K777" t="n">
        <x:v>738.1</x:v>
      </x:c>
      <x:c r="L777" t="str">
        <x:v>海運</x:v>
      </x:c>
      <x:c r="M777" t="n">
        <x:v>3</x:v>
      </x:c>
      <x:c r="N777" t="str">
        <x:v>否</x:v>
      </x:c>
      <x:c r="O777" t="n">
        <x:v>0</x:v>
      </x:c>
      <x:c r="P777"/>
    </x:row>
    <x:row r="778" ht="20" customHeight="1">
      <x:c r="A778" t="str">
        <x:v>SH000777</x:v>
      </x:c>
      <x:c r="B778" t="str">
        <x:v>SO00537-01</x:v>
      </x:c>
      <x:c r="C778" t="str">
        <x:v>WO00778</x:v>
      </x:c>
      <x:c r="D778" t="str">
        <x:v>LOT00778</x:v>
      </x:c>
      <x:c r="E778" t="str">
        <x:v>IAT-002</x:v>
      </x:c>
      <x:c r="F778" t="str">
        <x:v>AUTO-MH-B</x:v>
      </x:c>
      <x:c r="G778" s="20" t="n">
        <x:v>46071</x:v>
      </x:c>
      <x:c r="H778" s="20" t="n">
        <x:v>46064</x:v>
      </x:c>
      <x:c r="I778" s="20" t="n">
        <x:v>46068</x:v>
      </x:c>
      <x:c r="J778" t="n">
        <x:v>4948</x:v>
      </x:c>
      <x:c r="K778" t="n">
        <x:v>2962.84</x:v>
      </x:c>
      <x:c r="L778" t="str">
        <x:v>陸運</x:v>
      </x:c>
      <x:c r="M778" t="n">
        <x:v>0</x:v>
      </x:c>
      <x:c r="N778" t="str">
        <x:v>是</x:v>
      </x:c>
      <x:c r="O778" t="n">
        <x:v>0</x:v>
      </x:c>
      <x:c r="P778"/>
    </x:row>
    <x:row r="779" ht="20" customHeight="1">
      <x:c r="A779" t="str">
        <x:v>SH000778</x:v>
      </x:c>
      <x:c r="B779" t="str">
        <x:v>SO00537-01</x:v>
      </x:c>
      <x:c r="C779" t="str">
        <x:v>WO00777</x:v>
      </x:c>
      <x:c r="D779" t="str">
        <x:v>LOT00777</x:v>
      </x:c>
      <x:c r="E779" t="str">
        <x:v>IAT-002</x:v>
      </x:c>
      <x:c r="F779" t="str">
        <x:v>AUTO-MH-B</x:v>
      </x:c>
      <x:c r="G779" s="20" t="n">
        <x:v>46071</x:v>
      </x:c>
      <x:c r="H779" s="20" t="n">
        <x:v>46069</x:v>
      </x:c>
      <x:c r="I779" s="20" t="n">
        <x:v>46071</x:v>
      </x:c>
      <x:c r="J779" t="n">
        <x:v>4917</x:v>
      </x:c>
      <x:c r="K779" t="n">
        <x:v>2962.84</x:v>
      </x:c>
      <x:c r="L779" t="str">
        <x:v>空運</x:v>
      </x:c>
      <x:c r="M779" t="n">
        <x:v>0</x:v>
      </x:c>
      <x:c r="N779" t="str">
        <x:v>是</x:v>
      </x:c>
      <x:c r="O779" t="n">
        <x:v>0</x:v>
      </x:c>
      <x:c r="P779"/>
    </x:row>
    <x:row r="780" ht="20" customHeight="1">
      <x:c r="A780" t="str">
        <x:v>SH000779</x:v>
      </x:c>
      <x:c r="B780" t="str">
        <x:v>SO00538-01</x:v>
      </x:c>
      <x:c r="C780" t="str">
        <x:v>WO00779</x:v>
      </x:c>
      <x:c r="D780" t="str">
        <x:v>LOT00779</x:v>
      </x:c>
      <x:c r="E780" t="str">
        <x:v>EMS-008</x:v>
      </x:c>
      <x:c r="F780" t="str">
        <x:v>AUTO-BRK-A</x:v>
      </x:c>
      <x:c r="G780" s="20" t="n">
        <x:v>46075</x:v>
      </x:c>
      <x:c r="H780" s="20" t="n">
        <x:v>46072</x:v>
      </x:c>
      <x:c r="I780" s="20" t="n">
        <x:v>46074</x:v>
      </x:c>
      <x:c r="J780" t="n">
        <x:v>4898</x:v>
      </x:c>
      <x:c r="K780" t="n">
        <x:v>1747.71</x:v>
      </x:c>
      <x:c r="L780" t="str">
        <x:v>陸運</x:v>
      </x:c>
      <x:c r="M780" t="n">
        <x:v>0</x:v>
      </x:c>
      <x:c r="N780" t="str">
        <x:v>是</x:v>
      </x:c>
      <x:c r="O780" t="n">
        <x:v>0</x:v>
      </x:c>
      <x:c r="P780"/>
    </x:row>
    <x:row r="781" ht="20" customHeight="1">
      <x:c r="A781" t="str">
        <x:v>SH000780</x:v>
      </x:c>
      <x:c r="B781" t="str">
        <x:v>SO00538-01</x:v>
      </x:c>
      <x:c r="C781" t="str">
        <x:v>WO00780</x:v>
      </x:c>
      <x:c r="D781" t="str">
        <x:v>LOT00780</x:v>
      </x:c>
      <x:c r="E781" t="str">
        <x:v>EMS-008</x:v>
      </x:c>
      <x:c r="F781" t="str">
        <x:v>AUTO-BRK-A</x:v>
      </x:c>
      <x:c r="G781" s="20" t="n">
        <x:v>46075</x:v>
      </x:c>
      <x:c r="H781" s="20" t="n">
        <x:v>46071</x:v>
      </x:c>
      <x:c r="I781" s="20" t="n">
        <x:v>46074</x:v>
      </x:c>
      <x:c r="J781" t="n">
        <x:v>4946</x:v>
      </x:c>
      <x:c r="K781" t="n">
        <x:v>1747.71</x:v>
      </x:c>
      <x:c r="L781" t="str">
        <x:v>海運</x:v>
      </x:c>
      <x:c r="M781" t="n">
        <x:v>0</x:v>
      </x:c>
      <x:c r="N781" t="str">
        <x:v>是</x:v>
      </x:c>
      <x:c r="O781" t="n">
        <x:v>0</x:v>
      </x:c>
      <x:c r="P781"/>
    </x:row>
    <x:row r="782" ht="20" customHeight="1">
      <x:c r="A782" t="str">
        <x:v>SH000781</x:v>
      </x:c>
      <x:c r="B782" t="str">
        <x:v>SO00539-01</x:v>
      </x:c>
      <x:c r="C782" t="str">
        <x:v>WO00781</x:v>
      </x:c>
      <x:c r="D782" t="str">
        <x:v>LOT00781</x:v>
      </x:c>
      <x:c r="E782" t="str">
        <x:v>IAT-007</x:v>
      </x:c>
      <x:c r="F782" t="str">
        <x:v>PM-VAC-B</x:v>
      </x:c>
      <x:c r="G782" s="20" t="n">
        <x:v>46082</x:v>
      </x:c>
      <x:c r="H782" s="20" t="n">
        <x:v>46080</x:v>
      </x:c>
      <x:c r="I782" s="20" t="n">
        <x:v>46085</x:v>
      </x:c>
      <x:c r="J782" t="n">
        <x:v>295</x:v>
      </x:c>
      <x:c r="K782" t="n">
        <x:v>22213.88</x:v>
      </x:c>
      <x:c r="L782" t="str">
        <x:v>空運</x:v>
      </x:c>
      <x:c r="M782" t="n">
        <x:v>3</x:v>
      </x:c>
      <x:c r="N782" t="str">
        <x:v>否</x:v>
      </x:c>
      <x:c r="O782" t="n">
        <x:v>0</x:v>
      </x:c>
      <x:c r="P782"/>
    </x:row>
    <x:row r="783" ht="20" customHeight="1">
      <x:c r="A783" t="str">
        <x:v>SH000782</x:v>
      </x:c>
      <x:c r="B783" t="str">
        <x:v>SO00540-01</x:v>
      </x:c>
      <x:c r="C783" t="str">
        <x:v>WO00782</x:v>
      </x:c>
      <x:c r="D783" t="str">
        <x:v>LOT00782</x:v>
      </x:c>
      <x:c r="E783" t="str">
        <x:v>SEM-010</x:v>
      </x:c>
      <x:c r="F783" t="str">
        <x:v>PM-BRG-B</x:v>
      </x:c>
      <x:c r="G783" s="20" t="n">
        <x:v>46052</x:v>
      </x:c>
      <x:c r="H783" s="20" t="n">
        <x:v>46047</x:v>
      </x:c>
      <x:c r="I783" s="20" t="n">
        <x:v>46051</x:v>
      </x:c>
      <x:c r="J783" t="n">
        <x:v>791</x:v>
      </x:c>
      <x:c r="K783" t="n">
        <x:v>7788.17</x:v>
      </x:c>
      <x:c r="L783" t="str">
        <x:v>海運</x:v>
      </x:c>
      <x:c r="M783" t="n">
        <x:v>0</x:v>
      </x:c>
      <x:c r="N783" t="str">
        <x:v>是</x:v>
      </x:c>
      <x:c r="O783" t="n">
        <x:v>0</x:v>
      </x:c>
      <x:c r="P783"/>
    </x:row>
    <x:row r="784" ht="20" customHeight="1">
      <x:c r="A784" t="str">
        <x:v>SH000783</x:v>
      </x:c>
      <x:c r="B784" t="str">
        <x:v>SO00541-01</x:v>
      </x:c>
      <x:c r="C784" t="str">
        <x:v>WO00783</x:v>
      </x:c>
      <x:c r="D784" t="str">
        <x:v>LOT00783</x:v>
      </x:c>
      <x:c r="E784" t="str">
        <x:v>SEM-008</x:v>
      </x:c>
      <x:c r="F784" t="str">
        <x:v>MECH-STG-A</x:v>
      </x:c>
      <x:c r="G784" s="20" t="n">
        <x:v>46089</x:v>
      </x:c>
      <x:c r="H784" s="20" t="n">
        <x:v>46092</x:v>
      </x:c>
      <x:c r="I784" s="20" t="n">
        <x:v>46095</x:v>
      </x:c>
      <x:c r="J784" t="n">
        <x:v>20</x:v>
      </x:c>
      <x:c r="K784" t="n">
        <x:v>140058.2</x:v>
      </x:c>
      <x:c r="L784" t="str">
        <x:v>陸運</x:v>
      </x:c>
      <x:c r="M784" t="n">
        <x:v>6</x:v>
      </x:c>
      <x:c r="N784" t="str">
        <x:v>否</x:v>
      </x:c>
      <x:c r="O784" t="n">
        <x:v>0</x:v>
      </x:c>
      <x:c r="P784"/>
    </x:row>
    <x:row r="785" ht="20" customHeight="1">
      <x:c r="A785" t="str">
        <x:v>SH000784</x:v>
      </x:c>
      <x:c r="B785" t="str">
        <x:v>SO00542-01</x:v>
      </x:c>
      <x:c r="C785" t="str">
        <x:v>WO00785</x:v>
      </x:c>
      <x:c r="D785" t="str">
        <x:v>LOT00785</x:v>
      </x:c>
      <x:c r="E785" t="str">
        <x:v>IAT-009</x:v>
      </x:c>
      <x:c r="F785" t="str">
        <x:v>AUTO-MH-B</x:v>
      </x:c>
      <x:c r="G785" s="20" t="n">
        <x:v>46062</x:v>
      </x:c>
      <x:c r="H785" s="20" t="n">
        <x:v>46060</x:v>
      </x:c>
      <x:c r="I785" s="20" t="n">
        <x:v>46061</x:v>
      </x:c>
      <x:c r="J785" t="n">
        <x:v>6436</x:v>
      </x:c>
      <x:c r="K785" t="n">
        <x:v>3050.85</x:v>
      </x:c>
      <x:c r="L785" t="str">
        <x:v>空運</x:v>
      </x:c>
      <x:c r="M785" t="n">
        <x:v>0</x:v>
      </x:c>
      <x:c r="N785" t="str">
        <x:v>是</x:v>
      </x:c>
      <x:c r="O785" t="n">
        <x:v>0</x:v>
      </x:c>
      <x:c r="P785"/>
    </x:row>
    <x:row r="786" ht="20" customHeight="1">
      <x:c r="A786" t="str">
        <x:v>SH000785</x:v>
      </x:c>
      <x:c r="B786" t="str">
        <x:v>SO00542-01</x:v>
      </x:c>
      <x:c r="C786" t="str">
        <x:v>WO00784</x:v>
      </x:c>
      <x:c r="D786" t="str">
        <x:v>LOT00784</x:v>
      </x:c>
      <x:c r="E786" t="str">
        <x:v>IAT-009</x:v>
      </x:c>
      <x:c r="F786" t="str">
        <x:v>AUTO-MH-B</x:v>
      </x:c>
      <x:c r="G786" s="20" t="n">
        <x:v>46062</x:v>
      </x:c>
      <x:c r="H786" s="20" t="n">
        <x:v>46069</x:v>
      </x:c>
      <x:c r="I786" s="20" t="n">
        <x:v>46074</x:v>
      </x:c>
      <x:c r="J786" t="n">
        <x:v>6415</x:v>
      </x:c>
      <x:c r="K786" t="n">
        <x:v>3050.85</x:v>
      </x:c>
      <x:c r="L786" t="str">
        <x:v>空運</x:v>
      </x:c>
      <x:c r="M786" t="n">
        <x:v>12</x:v>
      </x:c>
      <x:c r="N786" t="str">
        <x:v>否</x:v>
      </x:c>
      <x:c r="O786" t="n">
        <x:v>0</x:v>
      </x:c>
      <x:c r="P786"/>
    </x:row>
    <x:row r="787" ht="20" customHeight="1">
      <x:c r="A787" t="str">
        <x:v>SH000786</x:v>
      </x:c>
      <x:c r="B787" t="str">
        <x:v>SO00543-01</x:v>
      </x:c>
      <x:c r="C787" t="str">
        <x:v>WO00786</x:v>
      </x:c>
      <x:c r="D787" t="str">
        <x:v>LOT00786</x:v>
      </x:c>
      <x:c r="E787" t="str">
        <x:v>IAT-008</x:v>
      </x:c>
      <x:c r="F787" t="str">
        <x:v>SEMI-WH-B</x:v>
      </x:c>
      <x:c r="G787" s="20" t="n">
        <x:v>46096</x:v>
      </x:c>
      <x:c r="H787" s="20" t="n">
        <x:v>46093</x:v>
      </x:c>
      <x:c r="I787" s="20" t="n">
        <x:v>46094</x:v>
      </x:c>
      <x:c r="J787" t="n">
        <x:v>79</x:v>
      </x:c>
      <x:c r="K787" t="n">
        <x:v>155389.4</x:v>
      </x:c>
      <x:c r="L787" t="str">
        <x:v>陸運</x:v>
      </x:c>
      <x:c r="M787" t="n">
        <x:v>0</x:v>
      </x:c>
      <x:c r="N787" t="str">
        <x:v>是</x:v>
      </x:c>
      <x:c r="O787" t="n">
        <x:v>0</x:v>
      </x:c>
      <x:c r="P787"/>
    </x:row>
    <x:row r="788" ht="20" customHeight="1">
      <x:c r="A788" t="str">
        <x:v>SH000787</x:v>
      </x:c>
      <x:c r="B788" t="str">
        <x:v>SO00543-01</x:v>
      </x:c>
      <x:c r="C788" t="str">
        <x:v>WO00787</x:v>
      </x:c>
      <x:c r="D788" t="str">
        <x:v>LOT00787</x:v>
      </x:c>
      <x:c r="E788" t="str">
        <x:v>IAT-008</x:v>
      </x:c>
      <x:c r="F788" t="str">
        <x:v>SEMI-WH-B</x:v>
      </x:c>
      <x:c r="G788" s="20" t="n">
        <x:v>46096</x:v>
      </x:c>
      <x:c r="H788" s="20" t="n">
        <x:v>46095</x:v>
      </x:c>
      <x:c r="I788" s="20" t="n">
        <x:v>46098</x:v>
      </x:c>
      <x:c r="J788" t="n">
        <x:v>78</x:v>
      </x:c>
      <x:c r="K788" t="n">
        <x:v>155389.4</x:v>
      </x:c>
      <x:c r="L788" t="str">
        <x:v>陸運</x:v>
      </x:c>
      <x:c r="M788" t="n">
        <x:v>2</x:v>
      </x:c>
      <x:c r="N788" t="str">
        <x:v>否</x:v>
      </x:c>
      <x:c r="O788" t="n">
        <x:v>0</x:v>
      </x:c>
      <x:c r="P788"/>
    </x:row>
    <x:row r="789" ht="20" customHeight="1">
      <x:c r="A789" t="str">
        <x:v>SH000788</x:v>
      </x:c>
      <x:c r="B789" t="str">
        <x:v>SO00544-01</x:v>
      </x:c>
      <x:c r="C789" t="str">
        <x:v>WO00789</x:v>
      </x:c>
      <x:c r="D789" t="str">
        <x:v>LOT00789</x:v>
      </x:c>
      <x:c r="E789" t="str">
        <x:v>AUT-003</x:v>
      </x:c>
      <x:c r="F789" t="str">
        <x:v>AUTO-FL-B</x:v>
      </x:c>
      <x:c r="G789" s="20" t="n">
        <x:v>46061</x:v>
      </x:c>
      <x:c r="H789" s="20" t="n">
        <x:v>46060</x:v>
      </x:c>
      <x:c r="I789" s="20" t="n">
        <x:v>46061</x:v>
      </x:c>
      <x:c r="J789" t="n">
        <x:v>6460</x:v>
      </x:c>
      <x:c r="K789" t="n">
        <x:v>1472.56</x:v>
      </x:c>
      <x:c r="L789" t="str">
        <x:v>海運</x:v>
      </x:c>
      <x:c r="M789" t="n">
        <x:v>0</x:v>
      </x:c>
      <x:c r="N789" t="str">
        <x:v>是</x:v>
      </x:c>
      <x:c r="O789" t="n">
        <x:v>0</x:v>
      </x:c>
      <x:c r="P789"/>
    </x:row>
    <x:row r="790" ht="20" customHeight="1">
      <x:c r="A790" t="str">
        <x:v>SH000789</x:v>
      </x:c>
      <x:c r="B790" t="str">
        <x:v>SO00544-01</x:v>
      </x:c>
      <x:c r="C790" t="str">
        <x:v>WO00788</x:v>
      </x:c>
      <x:c r="D790" t="str">
        <x:v>LOT00788</x:v>
      </x:c>
      <x:c r="E790" t="str">
        <x:v>AUT-003</x:v>
      </x:c>
      <x:c r="F790" t="str">
        <x:v>AUTO-FL-B</x:v>
      </x:c>
      <x:c r="G790" s="20" t="n">
        <x:v>46061</x:v>
      </x:c>
      <x:c r="H790" s="20" t="n">
        <x:v>46065</x:v>
      </x:c>
      <x:c r="I790" s="20" t="n">
        <x:v>46070</x:v>
      </x:c>
      <x:c r="J790" t="n">
        <x:v>6400</x:v>
      </x:c>
      <x:c r="K790" t="n">
        <x:v>1472.56</x:v>
      </x:c>
      <x:c r="L790" t="str">
        <x:v>陸運</x:v>
      </x:c>
      <x:c r="M790" t="n">
        <x:v>9</x:v>
      </x:c>
      <x:c r="N790" t="str">
        <x:v>否</x:v>
      </x:c>
      <x:c r="O790" t="n">
        <x:v>0</x:v>
      </x:c>
      <x:c r="P790"/>
    </x:row>
    <x:row r="791" ht="20" customHeight="1">
      <x:c r="A791" t="str">
        <x:v>SH000790</x:v>
      </x:c>
      <x:c r="B791" t="str">
        <x:v>SO00545-01</x:v>
      </x:c>
      <x:c r="C791" t="str">
        <x:v>WO00790</x:v>
      </x:c>
      <x:c r="D791" t="str">
        <x:v>LOT00790</x:v>
      </x:c>
      <x:c r="E791" t="str">
        <x:v>IAT-003</x:v>
      </x:c>
      <x:c r="F791" t="str">
        <x:v>SEMI-WH-B</x:v>
      </x:c>
      <x:c r="G791" s="20" t="n">
        <x:v>46125</x:v>
      </x:c>
      <x:c r="H791" s="20" t="n">
        <x:v>46121</x:v>
      </x:c>
      <x:c r="I791" s="20" t="n">
        <x:v>46124</x:v>
      </x:c>
      <x:c r="J791" t="n">
        <x:v>78</x:v>
      </x:c>
      <x:c r="K791" t="n">
        <x:v>172430.19</x:v>
      </x:c>
      <x:c r="L791" t="str">
        <x:v>陸運</x:v>
      </x:c>
      <x:c r="M791" t="n">
        <x:v>0</x:v>
      </x:c>
      <x:c r="N791" t="str">
        <x:v>是</x:v>
      </x:c>
      <x:c r="O791" t="n">
        <x:v>0</x:v>
      </x:c>
      <x:c r="P791"/>
    </x:row>
    <x:row r="792" ht="20" customHeight="1">
      <x:c r="A792" t="str">
        <x:v>SH000791</x:v>
      </x:c>
      <x:c r="B792" t="str">
        <x:v>SO00546-01</x:v>
      </x:c>
      <x:c r="C792" t="str">
        <x:v>WO00791</x:v>
      </x:c>
      <x:c r="D792" t="str">
        <x:v>LOT00791</x:v>
      </x:c>
      <x:c r="E792" t="str">
        <x:v>EMS-006</x:v>
      </x:c>
      <x:c r="F792" t="str">
        <x:v>AUTO-BS-A</x:v>
      </x:c>
      <x:c r="G792" s="20" t="n">
        <x:v>46070</x:v>
      </x:c>
      <x:c r="H792" s="20" t="n">
        <x:v>46070</x:v>
      </x:c>
      <x:c r="I792" s="20" t="n">
        <x:v>46071</x:v>
      </x:c>
      <x:c r="J792" t="n">
        <x:v>4948</x:v>
      </x:c>
      <x:c r="K792" t="n">
        <x:v>774.6</x:v>
      </x:c>
      <x:c r="L792" t="str">
        <x:v>海運</x:v>
      </x:c>
      <x:c r="M792" t="n">
        <x:v>1</x:v>
      </x:c>
      <x:c r="N792" t="str">
        <x:v>否</x:v>
      </x:c>
      <x:c r="O792" t="n">
        <x:v>0</x:v>
      </x:c>
      <x:c r="P792"/>
    </x:row>
    <x:row r="793" ht="20" customHeight="1">
      <x:c r="A793" t="str">
        <x:v>SH000792</x:v>
      </x:c>
      <x:c r="B793" t="str">
        <x:v>SO00547-01</x:v>
      </x:c>
      <x:c r="C793" t="str">
        <x:v>WO00792</x:v>
      </x:c>
      <x:c r="D793" t="str">
        <x:v>LOT00792</x:v>
      </x:c>
      <x:c r="E793" t="str">
        <x:v>AUT-009</x:v>
      </x:c>
      <x:c r="F793" t="str">
        <x:v>AUTO-FL-A</x:v>
      </x:c>
      <x:c r="G793" s="20" t="n">
        <x:v>46072</x:v>
      </x:c>
      <x:c r="H793" s="20" t="n">
        <x:v>46069</x:v>
      </x:c>
      <x:c r="I793" s="20" t="n">
        <x:v>46072</x:v>
      </x:c>
      <x:c r="J793" t="n">
        <x:v>4949</x:v>
      </x:c>
      <x:c r="K793" t="n">
        <x:v>1240.22</x:v>
      </x:c>
      <x:c r="L793" t="str">
        <x:v>海運</x:v>
      </x:c>
      <x:c r="M793" t="n">
        <x:v>0</x:v>
      </x:c>
      <x:c r="N793" t="str">
        <x:v>是</x:v>
      </x:c>
      <x:c r="O793" t="n">
        <x:v>0</x:v>
      </x:c>
      <x:c r="P793"/>
    </x:row>
    <x:row r="794" ht="20" customHeight="1">
      <x:c r="A794" t="str">
        <x:v>SH000793</x:v>
      </x:c>
      <x:c r="B794" t="str">
        <x:v>SO00548-01</x:v>
      </x:c>
      <x:c r="C794" t="str">
        <x:v>WO00793</x:v>
      </x:c>
      <x:c r="D794" t="str">
        <x:v>LOT00793</x:v>
      </x:c>
      <x:c r="E794" t="str">
        <x:v>AUT-011</x:v>
      </x:c>
      <x:c r="F794" t="str">
        <x:v>AUTO-KN-A</x:v>
      </x:c>
      <x:c r="G794" s="20" t="n">
        <x:v>46066</x:v>
      </x:c>
      <x:c r="H794" s="20" t="n">
        <x:v>46061</x:v>
      </x:c>
      <x:c r="I794" s="20" t="n">
        <x:v>46065</x:v>
      </x:c>
      <x:c r="J794" t="n">
        <x:v>6922</x:v>
      </x:c>
      <x:c r="K794" t="n">
        <x:v>3226.82</x:v>
      </x:c>
      <x:c r="L794" t="str">
        <x:v>陸運</x:v>
      </x:c>
      <x:c r="M794" t="n">
        <x:v>0</x:v>
      </x:c>
      <x:c r="N794" t="str">
        <x:v>是</x:v>
      </x:c>
      <x:c r="O794" t="n">
        <x:v>0</x:v>
      </x:c>
      <x:c r="P794"/>
    </x:row>
    <x:row r="795" ht="20" customHeight="1">
      <x:c r="A795" t="str">
        <x:v>SH000794</x:v>
      </x:c>
      <x:c r="B795" t="str">
        <x:v>SO00549-01</x:v>
      </x:c>
      <x:c r="C795" t="str">
        <x:v>WO00794</x:v>
      </x:c>
      <x:c r="D795" t="str">
        <x:v>LOT00794</x:v>
      </x:c>
      <x:c r="E795" t="str">
        <x:v>AUT-011</x:v>
      </x:c>
      <x:c r="F795" t="str">
        <x:v>AUTO-KN-B</x:v>
      </x:c>
      <x:c r="G795" s="20" t="n">
        <x:v>46071</x:v>
      </x:c>
      <x:c r="H795" s="20" t="n">
        <x:v>46066</x:v>
      </x:c>
      <x:c r="I795" s="20" t="n">
        <x:v>46070</x:v>
      </x:c>
      <x:c r="J795" t="n">
        <x:v>4928</x:v>
      </x:c>
      <x:c r="K795" t="n">
        <x:v>3792.43</x:v>
      </x:c>
      <x:c r="L795" t="str">
        <x:v>海運</x:v>
      </x:c>
      <x:c r="M795" t="n">
        <x:v>0</x:v>
      </x:c>
      <x:c r="N795" t="str">
        <x:v>是</x:v>
      </x:c>
      <x:c r="O795" t="n">
        <x:v>0</x:v>
      </x:c>
      <x:c r="P795"/>
    </x:row>
    <x:row r="796" ht="20" customHeight="1">
      <x:c r="A796" t="str">
        <x:v>SH000795</x:v>
      </x:c>
      <x:c r="B796" t="str">
        <x:v>SO00550-01</x:v>
      </x:c>
      <x:c r="C796" t="str">
        <x:v>WO00795</x:v>
      </x:c>
      <x:c r="D796" t="str">
        <x:v>LOT00795</x:v>
      </x:c>
      <x:c r="E796" t="str">
        <x:v>AUT-010</x:v>
      </x:c>
      <x:c r="F796" t="str">
        <x:v>MECH-CON-A</x:v>
      </x:c>
      <x:c r="G796" s="20" t="n">
        <x:v>46075</x:v>
      </x:c>
      <x:c r="H796" s="20" t="n">
        <x:v>46074</x:v>
      </x:c>
      <x:c r="I796" s="20" t="n">
        <x:v>46075</x:v>
      </x:c>
      <x:c r="J796" t="n">
        <x:v>19</x:v>
      </x:c>
      <x:c r="K796" t="n">
        <x:v>114708.04</x:v>
      </x:c>
      <x:c r="L796" t="str">
        <x:v>海運</x:v>
      </x:c>
      <x:c r="M796" t="n">
        <x:v>0</x:v>
      </x:c>
      <x:c r="N796" t="str">
        <x:v>是</x:v>
      </x:c>
      <x:c r="O796" t="n">
        <x:v>0</x:v>
      </x:c>
      <x:c r="P796"/>
    </x:row>
    <x:row r="797" ht="20" customHeight="1">
      <x:c r="A797" t="str">
        <x:v>SH000796</x:v>
      </x:c>
      <x:c r="B797" t="str">
        <x:v>SO00551-01</x:v>
      </x:c>
      <x:c r="C797" t="str">
        <x:v>WO00796</x:v>
      </x:c>
      <x:c r="D797" t="str">
        <x:v>LOT00796</x:v>
      </x:c>
      <x:c r="E797" t="str">
        <x:v>AUT-002</x:v>
      </x:c>
      <x:c r="F797" t="str">
        <x:v>MECH-STG-A</x:v>
      </x:c>
      <x:c r="G797" s="20" t="n">
        <x:v>46099</x:v>
      </x:c>
      <x:c r="H797" s="20" t="n">
        <x:v>46096</x:v>
      </x:c>
      <x:c r="I797" s="20" t="n">
        <x:v>46097</x:v>
      </x:c>
      <x:c r="J797" t="n">
        <x:v>20</x:v>
      </x:c>
      <x:c r="K797" t="n">
        <x:v>135439</x:v>
      </x:c>
      <x:c r="L797" t="str">
        <x:v>空運</x:v>
      </x:c>
      <x:c r="M797" t="n">
        <x:v>0</x:v>
      </x:c>
      <x:c r="N797" t="str">
        <x:v>是</x:v>
      </x:c>
      <x:c r="O797" t="n">
        <x:v>0</x:v>
      </x:c>
      <x:c r="P797"/>
    </x:row>
    <x:row r="798" ht="20" customHeight="1">
      <x:c r="A798" t="str">
        <x:v>SH000797</x:v>
      </x:c>
      <x:c r="B798" t="str">
        <x:v>SO00552-01</x:v>
      </x:c>
      <x:c r="C798" t="str">
        <x:v>WO00798</x:v>
      </x:c>
      <x:c r="D798" t="str">
        <x:v>LOT00798</x:v>
      </x:c>
      <x:c r="E798" t="str">
        <x:v>AFT-003</x:v>
      </x:c>
      <x:c r="F798" t="str">
        <x:v>AUTO-KN-A</x:v>
      </x:c>
      <x:c r="G798" s="20" t="n">
        <x:v>46055</x:v>
      </x:c>
      <x:c r="H798" s="20" t="n">
        <x:v>46052</x:v>
      </x:c>
      <x:c r="I798" s="20" t="n">
        <x:v>46057</x:v>
      </x:c>
      <x:c r="J798" t="n">
        <x:v>4951</x:v>
      </x:c>
      <x:c r="K798" t="n">
        <x:v>3349.41</x:v>
      </x:c>
      <x:c r="L798" t="str">
        <x:v>空運</x:v>
      </x:c>
      <x:c r="M798" t="n">
        <x:v>2</x:v>
      </x:c>
      <x:c r="N798" t="str">
        <x:v>否</x:v>
      </x:c>
      <x:c r="O798" t="n">
        <x:v>0</x:v>
      </x:c>
      <x:c r="P798"/>
    </x:row>
    <x:row r="799" ht="20" customHeight="1">
      <x:c r="A799" t="str">
        <x:v>SH000798</x:v>
      </x:c>
      <x:c r="B799" t="str">
        <x:v>SO00552-01</x:v>
      </x:c>
      <x:c r="C799" t="str">
        <x:v>WO00797</x:v>
      </x:c>
      <x:c r="D799" t="str">
        <x:v>LOT00797</x:v>
      </x:c>
      <x:c r="E799" t="str">
        <x:v>AFT-003</x:v>
      </x:c>
      <x:c r="F799" t="str">
        <x:v>AUTO-KN-A</x:v>
      </x:c>
      <x:c r="G799" s="20" t="n">
        <x:v>46055</x:v>
      </x:c>
      <x:c r="H799" s="20" t="n">
        <x:v>46052</x:v>
      </x:c>
      <x:c r="I799" s="20" t="n">
        <x:v>46056</x:v>
      </x:c>
      <x:c r="J799" t="n">
        <x:v>4942</x:v>
      </x:c>
      <x:c r="K799" t="n">
        <x:v>3349.41</x:v>
      </x:c>
      <x:c r="L799" t="str">
        <x:v>陸運</x:v>
      </x:c>
      <x:c r="M799" t="n">
        <x:v>1</x:v>
      </x:c>
      <x:c r="N799" t="str">
        <x:v>否</x:v>
      </x:c>
      <x:c r="O799" t="n">
        <x:v>0</x:v>
      </x:c>
      <x:c r="P799"/>
    </x:row>
    <x:row r="800" ht="20" customHeight="1">
      <x:c r="A800" t="str">
        <x:v>SH000799</x:v>
      </x:c>
      <x:c r="B800" t="str">
        <x:v>SO00553-01</x:v>
      </x:c>
      <x:c r="C800" t="str">
        <x:v>WO00800</x:v>
      </x:c>
      <x:c r="D800" t="str">
        <x:v>LOT00800</x:v>
      </x:c>
      <x:c r="E800" t="str">
        <x:v>AFT-001</x:v>
      </x:c>
      <x:c r="F800" t="str">
        <x:v>AUTO-BS-B</x:v>
      </x:c>
      <x:c r="G800" s="20" t="n">
        <x:v>46089</x:v>
      </x:c>
      <x:c r="H800" s="20" t="n">
        <x:v>46083</x:v>
      </x:c>
      <x:c r="I800" s="20" t="n">
        <x:v>46087</x:v>
      </x:c>
      <x:c r="J800" t="n">
        <x:v>6415</x:v>
      </x:c>
      <x:c r="K800" t="n">
        <x:v>823.31</x:v>
      </x:c>
      <x:c r="L800" t="str">
        <x:v>陸運</x:v>
      </x:c>
      <x:c r="M800" t="n">
        <x:v>0</x:v>
      </x:c>
      <x:c r="N800" t="str">
        <x:v>是</x:v>
      </x:c>
      <x:c r="O800" t="n">
        <x:v>0</x:v>
      </x:c>
      <x:c r="P800"/>
    </x:row>
    <x:row r="801" ht="20" customHeight="1">
      <x:c r="A801" t="str">
        <x:v>SH000800</x:v>
      </x:c>
      <x:c r="B801" t="str">
        <x:v>SO00553-01</x:v>
      </x:c>
      <x:c r="C801" t="str">
        <x:v>WO00799</x:v>
      </x:c>
      <x:c r="D801" t="str">
        <x:v>LOT00799</x:v>
      </x:c>
      <x:c r="E801" t="str">
        <x:v>AFT-001</x:v>
      </x:c>
      <x:c r="F801" t="str">
        <x:v>AUTO-BS-B</x:v>
      </x:c>
      <x:c r="G801" s="20" t="n">
        <x:v>46089</x:v>
      </x:c>
      <x:c r="H801" s="20" t="n">
        <x:v>46088</x:v>
      </x:c>
      <x:c r="I801" s="20" t="n">
        <x:v>46089</x:v>
      </x:c>
      <x:c r="J801" t="n">
        <x:v>6464</x:v>
      </x:c>
      <x:c r="K801" t="n">
        <x:v>823.31</x:v>
      </x:c>
      <x:c r="L801" t="str">
        <x:v>陸運</x:v>
      </x:c>
      <x:c r="M801" t="n">
        <x:v>0</x:v>
      </x:c>
      <x:c r="N801" t="str">
        <x:v>是</x:v>
      </x:c>
      <x:c r="O801" t="n">
        <x:v>0</x:v>
      </x:c>
      <x:c r="P801"/>
    </x:row>
    <x:row r="802" ht="20" customHeight="1">
      <x:c r="A802" t="str">
        <x:v>SH000801</x:v>
      </x:c>
      <x:c r="B802" t="str">
        <x:v>SO00554-01</x:v>
      </x:c>
      <x:c r="C802" t="str">
        <x:v>WO00801</x:v>
      </x:c>
      <x:c r="D802" t="str">
        <x:v>LOT00801</x:v>
      </x:c>
      <x:c r="E802" t="str">
        <x:v>AUT-010</x:v>
      </x:c>
      <x:c r="F802" t="str">
        <x:v>AUTO-KN-A</x:v>
      </x:c>
      <x:c r="G802" s="20" t="n">
        <x:v>46101</x:v>
      </x:c>
      <x:c r="H802" s="20" t="n">
        <x:v>46099</x:v>
      </x:c>
      <x:c r="I802" s="20" t="n">
        <x:v>46101</x:v>
      </x:c>
      <x:c r="J802" t="n">
        <x:v>6880</x:v>
      </x:c>
      <x:c r="K802" t="n">
        <x:v>3072.81</x:v>
      </x:c>
      <x:c r="L802" t="str">
        <x:v>空運</x:v>
      </x:c>
      <x:c r="M802" t="n">
        <x:v>0</x:v>
      </x:c>
      <x:c r="N802" t="str">
        <x:v>是</x:v>
      </x:c>
      <x:c r="O802" t="n">
        <x:v>0</x:v>
      </x:c>
      <x:c r="P802"/>
    </x:row>
    <x:row r="803" ht="20" customHeight="1">
      <x:c r="A803" t="str">
        <x:v>SH000802</x:v>
      </x:c>
      <x:c r="B803" t="str">
        <x:v>SO00555-01</x:v>
      </x:c>
      <x:c r="C803" t="str">
        <x:v>WO00802</x:v>
      </x:c>
      <x:c r="D803" t="str">
        <x:v>LOT00802</x:v>
      </x:c>
      <x:c r="E803" t="str">
        <x:v>AUT-013</x:v>
      </x:c>
      <x:c r="F803" t="str">
        <x:v>AUTO-BRK-A</x:v>
      </x:c>
      <x:c r="G803" s="20" t="n">
        <x:v>46097</x:v>
      </x:c>
      <x:c r="H803" s="20" t="n">
        <x:v>46092</x:v>
      </x:c>
      <x:c r="I803" s="20" t="n">
        <x:v>46096</x:v>
      </x:c>
      <x:c r="J803" t="n">
        <x:v>2959</x:v>
      </x:c>
      <x:c r="K803" t="n">
        <x:v>1757.3</x:v>
      </x:c>
      <x:c r="L803" t="str">
        <x:v>空運</x:v>
      </x:c>
      <x:c r="M803" t="n">
        <x:v>0</x:v>
      </x:c>
      <x:c r="N803" t="str">
        <x:v>是</x:v>
      </x:c>
      <x:c r="O803" t="n">
        <x:v>0</x:v>
      </x:c>
      <x:c r="P803"/>
    </x:row>
    <x:row r="804" ht="20" customHeight="1">
      <x:c r="A804" t="str">
        <x:v>SH000803</x:v>
      </x:c>
      <x:c r="B804" t="str">
        <x:v>SO00556-01</x:v>
      </x:c>
      <x:c r="C804" t="str">
        <x:v>WO00803</x:v>
      </x:c>
      <x:c r="D804" t="str">
        <x:v>LOT00803</x:v>
      </x:c>
      <x:c r="E804" t="str">
        <x:v>AFT-007</x:v>
      </x:c>
      <x:c r="F804" t="str">
        <x:v>AUTO-BS-B</x:v>
      </x:c>
      <x:c r="G804" s="20" t="n">
        <x:v>46101</x:v>
      </x:c>
      <x:c r="H804" s="20" t="n">
        <x:v>46102</x:v>
      </x:c>
      <x:c r="I804" s="20" t="n">
        <x:v>46106</x:v>
      </x:c>
      <x:c r="J804" t="n">
        <x:v>6914</x:v>
      </x:c>
      <x:c r="K804" t="n">
        <x:v>892.32</x:v>
      </x:c>
      <x:c r="L804" t="str">
        <x:v>陸運</x:v>
      </x:c>
      <x:c r="M804" t="n">
        <x:v>5</x:v>
      </x:c>
      <x:c r="N804" t="str">
        <x:v>否</x:v>
      </x:c>
      <x:c r="O804" t="n">
        <x:v>54</x:v>
      </x:c>
      <x:c r="P804" t="str">
        <x:v>尺寸異常</x:v>
      </x:c>
    </x:row>
    <x:row r="805" ht="20" customHeight="1">
      <x:c r="A805" t="str">
        <x:v>SH000804</x:v>
      </x:c>
      <x:c r="B805" t="str">
        <x:v>SO00557-01</x:v>
      </x:c>
      <x:c r="C805" t="str">
        <x:v>WO00805</x:v>
      </x:c>
      <x:c r="D805" t="str">
        <x:v>LOT00805</x:v>
      </x:c>
      <x:c r="E805" t="str">
        <x:v>IAT-003</x:v>
      </x:c>
      <x:c r="F805" t="str">
        <x:v>SEMI-WH-B</x:v>
      </x:c>
      <x:c r="G805" s="20" t="n">
        <x:v>46125</x:v>
      </x:c>
      <x:c r="H805" s="20" t="n">
        <x:v>46123</x:v>
      </x:c>
      <x:c r="I805" s="20" t="n">
        <x:v>46125</x:v>
      </x:c>
      <x:c r="J805" t="n">
        <x:v>59</x:v>
      </x:c>
      <x:c r="K805" t="n">
        <x:v>168499.63</x:v>
      </x:c>
      <x:c r="L805" t="str">
        <x:v>陸運</x:v>
      </x:c>
      <x:c r="M805" t="n">
        <x:v>0</x:v>
      </x:c>
      <x:c r="N805" t="str">
        <x:v>是</x:v>
      </x:c>
      <x:c r="O805" t="n">
        <x:v>0</x:v>
      </x:c>
      <x:c r="P805"/>
    </x:row>
    <x:row r="806" ht="20" customHeight="1">
      <x:c r="A806" t="str">
        <x:v>SH000805</x:v>
      </x:c>
      <x:c r="B806" t="str">
        <x:v>SO00557-01</x:v>
      </x:c>
      <x:c r="C806" t="str">
        <x:v>WO00804</x:v>
      </x:c>
      <x:c r="D806" t="str">
        <x:v>LOT00804</x:v>
      </x:c>
      <x:c r="E806" t="str">
        <x:v>IAT-003</x:v>
      </x:c>
      <x:c r="F806" t="str">
        <x:v>SEMI-WH-B</x:v>
      </x:c>
      <x:c r="G806" s="20" t="n">
        <x:v>46125</x:v>
      </x:c>
      <x:c r="H806" s="20" t="n">
        <x:v>46125</x:v>
      </x:c>
      <x:c r="I806" s="20" t="n">
        <x:v>46127</x:v>
      </x:c>
      <x:c r="J806" t="n">
        <x:v>59</x:v>
      </x:c>
      <x:c r="K806" t="n">
        <x:v>168499.63</x:v>
      </x:c>
      <x:c r="L806" t="str">
        <x:v>空運</x:v>
      </x:c>
      <x:c r="M806" t="n">
        <x:v>2</x:v>
      </x:c>
      <x:c r="N806" t="str">
        <x:v>否</x:v>
      </x:c>
      <x:c r="O806" t="n">
        <x:v>0</x:v>
      </x:c>
      <x:c r="P806"/>
    </x:row>
    <x:row r="807" ht="20" customHeight="1">
      <x:c r="A807" t="str">
        <x:v>SH000806</x:v>
      </x:c>
      <x:c r="B807" t="str">
        <x:v>SO00558-01</x:v>
      </x:c>
      <x:c r="C807" t="str">
        <x:v>WO00806</x:v>
      </x:c>
      <x:c r="D807" t="str">
        <x:v>LOT00806</x:v>
      </x:c>
      <x:c r="E807" t="str">
        <x:v>IAT-001</x:v>
      </x:c>
      <x:c r="F807" t="str">
        <x:v>SEMI-CHB-B</x:v>
      </x:c>
      <x:c r="G807" s="20" t="n">
        <x:v>46145</x:v>
      </x:c>
      <x:c r="H807" s="20" t="n">
        <x:v>46139</x:v>
      </x:c>
      <x:c r="I807" s="20" t="n">
        <x:v>46140</x:v>
      </x:c>
      <x:c r="J807" t="n">
        <x:v>78</x:v>
      </x:c>
      <x:c r="K807" t="n">
        <x:v>133217.15</x:v>
      </x:c>
      <x:c r="L807" t="str">
        <x:v>空運</x:v>
      </x:c>
      <x:c r="M807" t="n">
        <x:v>0</x:v>
      </x:c>
      <x:c r="N807" t="str">
        <x:v>是</x:v>
      </x:c>
      <x:c r="O807" t="n">
        <x:v>0</x:v>
      </x:c>
      <x:c r="P807"/>
    </x:row>
    <x:row r="808" ht="20" customHeight="1">
      <x:c r="A808" t="str">
        <x:v>SH000807</x:v>
      </x:c>
      <x:c r="B808" t="str">
        <x:v>SO00559-01</x:v>
      </x:c>
      <x:c r="C808" t="str">
        <x:v>WO00807</x:v>
      </x:c>
      <x:c r="D808" t="str">
        <x:v>LOT00807</x:v>
      </x:c>
      <x:c r="E808" t="str">
        <x:v>AUT-014</x:v>
      </x:c>
      <x:c r="F808" t="str">
        <x:v>PM-VAC-A</x:v>
      </x:c>
      <x:c r="G808" s="20" t="n">
        <x:v>46112</x:v>
      </x:c>
      <x:c r="H808" s="20" t="n">
        <x:v>46116</x:v>
      </x:c>
      <x:c r="I808" s="20" t="n">
        <x:v>46117</x:v>
      </x:c>
      <x:c r="J808" t="n">
        <x:v>294</x:v>
      </x:c>
      <x:c r="K808" t="n">
        <x:v>16262.32</x:v>
      </x:c>
      <x:c r="L808" t="str">
        <x:v>陸運</x:v>
      </x:c>
      <x:c r="M808" t="n">
        <x:v>5</x:v>
      </x:c>
      <x:c r="N808" t="str">
        <x:v>否</x:v>
      </x:c>
      <x:c r="O808" t="n">
        <x:v>0</x:v>
      </x:c>
      <x:c r="P808"/>
    </x:row>
    <x:row r="809" ht="20" customHeight="1">
      <x:c r="A809" t="str">
        <x:v>SH000808</x:v>
      </x:c>
      <x:c r="B809" t="str">
        <x:v>SO00560-01</x:v>
      </x:c>
      <x:c r="C809" t="str">
        <x:v>WO00808</x:v>
      </x:c>
      <x:c r="D809" t="str">
        <x:v>LOT00808</x:v>
      </x:c>
      <x:c r="E809" t="str">
        <x:v>AUT-013</x:v>
      </x:c>
      <x:c r="F809" t="str">
        <x:v>AUTO-KN-A</x:v>
      </x:c>
      <x:c r="G809" s="20" t="n">
        <x:v>46104</x:v>
      </x:c>
      <x:c r="H809" s="20" t="n">
        <x:v>46102</x:v>
      </x:c>
      <x:c r="I809" s="20" t="n">
        <x:v>46107</x:v>
      </x:c>
      <x:c r="J809" t="n">
        <x:v>6919</x:v>
      </x:c>
      <x:c r="K809" t="n">
        <x:v>2899.33</x:v>
      </x:c>
      <x:c r="L809" t="str">
        <x:v>空運</x:v>
      </x:c>
      <x:c r="M809" t="n">
        <x:v>3</x:v>
      </x:c>
      <x:c r="N809" t="str">
        <x:v>否</x:v>
      </x:c>
      <x:c r="O809" t="n">
        <x:v>0</x:v>
      </x:c>
      <x:c r="P809"/>
    </x:row>
    <x:row r="810" ht="20" customHeight="1">
      <x:c r="A810" t="str">
        <x:v>SH000809</x:v>
      </x:c>
      <x:c r="B810" t="str">
        <x:v>SO00561-01</x:v>
      </x:c>
      <x:c r="C810" t="str">
        <x:v>WO00809</x:v>
      </x:c>
      <x:c r="D810" t="str">
        <x:v>LOT00809</x:v>
      </x:c>
      <x:c r="E810" t="str">
        <x:v>EMS-005</x:v>
      </x:c>
      <x:c r="F810" t="str">
        <x:v>PM-BRG-B</x:v>
      </x:c>
      <x:c r="G810" s="20" t="n">
        <x:v>46097</x:v>
      </x:c>
      <x:c r="H810" s="20" t="n">
        <x:v>46097</x:v>
      </x:c>
      <x:c r="I810" s="20" t="n">
        <x:v>46099</x:v>
      </x:c>
      <x:c r="J810" t="n">
        <x:v>782</x:v>
      </x:c>
      <x:c r="K810" t="n">
        <x:v>7904.15</x:v>
      </x:c>
      <x:c r="L810" t="str">
        <x:v>陸運</x:v>
      </x:c>
      <x:c r="M810" t="n">
        <x:v>2</x:v>
      </x:c>
      <x:c r="N810" t="str">
        <x:v>否</x:v>
      </x:c>
      <x:c r="O810" t="n">
        <x:v>0</x:v>
      </x:c>
      <x:c r="P810"/>
    </x:row>
    <x:row r="811" ht="20" customHeight="1">
      <x:c r="A811" t="str">
        <x:v>SH000810</x:v>
      </x:c>
      <x:c r="B811" t="str">
        <x:v>SO00562-01</x:v>
      </x:c>
      <x:c r="C811" t="str">
        <x:v>WO00810</x:v>
      </x:c>
      <x:c r="D811" t="str">
        <x:v>LOT00810</x:v>
      </x:c>
      <x:c r="E811" t="str">
        <x:v>AUT-012</x:v>
      </x:c>
      <x:c r="F811" t="str">
        <x:v>AUTO-KN-A</x:v>
      </x:c>
      <x:c r="G811" s="20" t="n">
        <x:v>46083</x:v>
      </x:c>
      <x:c r="H811" s="20" t="n">
        <x:v>46084</x:v>
      </x:c>
      <x:c r="I811" s="20" t="n">
        <x:v>46086</x:v>
      </x:c>
      <x:c r="J811" t="n">
        <x:v>2936</x:v>
      </x:c>
      <x:c r="K811" t="n">
        <x:v>3043.57</x:v>
      </x:c>
      <x:c r="L811" t="str">
        <x:v>陸運</x:v>
      </x:c>
      <x:c r="M811" t="n">
        <x:v>3</x:v>
      </x:c>
      <x:c r="N811" t="str">
        <x:v>否</x:v>
      </x:c>
      <x:c r="O811" t="n">
        <x:v>25</x:v>
      </x:c>
      <x:c r="P811" t="str">
        <x:v>尺寸異常</x:v>
      </x:c>
    </x:row>
    <x:row r="812" ht="20" customHeight="1">
      <x:c r="A812" t="str">
        <x:v>SH000811</x:v>
      </x:c>
      <x:c r="B812" t="str">
        <x:v>SO00563-01</x:v>
      </x:c>
      <x:c r="C812" t="str">
        <x:v>WO00811</x:v>
      </x:c>
      <x:c r="D812" t="str">
        <x:v>LOT00811</x:v>
      </x:c>
      <x:c r="E812" t="str">
        <x:v>IAT-009</x:v>
      </x:c>
      <x:c r="F812" t="str">
        <x:v>MECH-STG-A</x:v>
      </x:c>
      <x:c r="G812" s="20" t="n">
        <x:v>46114</x:v>
      </x:c>
      <x:c r="H812" s="20" t="n">
        <x:v>46117</x:v>
      </x:c>
      <x:c r="I812" s="20" t="n">
        <x:v>46121</x:v>
      </x:c>
      <x:c r="J812" t="n">
        <x:v>10</x:v>
      </x:c>
      <x:c r="K812" t="n">
        <x:v>132614.57</x:v>
      </x:c>
      <x:c r="L812" t="str">
        <x:v>空運</x:v>
      </x:c>
      <x:c r="M812" t="n">
        <x:v>7</x:v>
      </x:c>
      <x:c r="N812" t="str">
        <x:v>否</x:v>
      </x:c>
      <x:c r="O812" t="n">
        <x:v>0</x:v>
      </x:c>
      <x:c r="P812"/>
    </x:row>
    <x:row r="813" ht="20" customHeight="1">
      <x:c r="A813" t="str">
        <x:v>SH000812</x:v>
      </x:c>
      <x:c r="B813" t="str">
        <x:v>SO00564-01</x:v>
      </x:c>
      <x:c r="C813" t="str">
        <x:v>WO00813</x:v>
      </x:c>
      <x:c r="D813" t="str">
        <x:v>LOT00813</x:v>
      </x:c>
      <x:c r="E813" t="str">
        <x:v>IAT-007</x:v>
      </x:c>
      <x:c r="F813" t="str">
        <x:v>AUTO-BS-B</x:v>
      </x:c>
      <x:c r="G813" s="20" t="n">
        <x:v>46092</x:v>
      </x:c>
      <x:c r="H813" s="20" t="n">
        <x:v>46089</x:v>
      </x:c>
      <x:c r="I813" s="20" t="n">
        <x:v>46093</x:v>
      </x:c>
      <x:c r="J813" t="n">
        <x:v>4908</x:v>
      </x:c>
      <x:c r="K813" t="n">
        <x:v>914.26</x:v>
      </x:c>
      <x:c r="L813" t="str">
        <x:v>空運</x:v>
      </x:c>
      <x:c r="M813" t="n">
        <x:v>1</x:v>
      </x:c>
      <x:c r="N813" t="str">
        <x:v>否</x:v>
      </x:c>
      <x:c r="O813" t="n">
        <x:v>0</x:v>
      </x:c>
      <x:c r="P813"/>
    </x:row>
    <x:row r="814" ht="20" customHeight="1">
      <x:c r="A814" t="str">
        <x:v>SH000813</x:v>
      </x:c>
      <x:c r="B814" t="str">
        <x:v>SO00564-01</x:v>
      </x:c>
      <x:c r="C814" t="str">
        <x:v>WO00812</x:v>
      </x:c>
      <x:c r="D814" t="str">
        <x:v>LOT00812</x:v>
      </x:c>
      <x:c r="E814" t="str">
        <x:v>IAT-007</x:v>
      </x:c>
      <x:c r="F814" t="str">
        <x:v>AUTO-BS-B</x:v>
      </x:c>
      <x:c r="G814" s="20" t="n">
        <x:v>46092</x:v>
      </x:c>
      <x:c r="H814" s="20" t="n">
        <x:v>46094</x:v>
      </x:c>
      <x:c r="I814" s="20" t="n">
        <x:v>46095</x:v>
      </x:c>
      <x:c r="J814" t="n">
        <x:v>4938</x:v>
      </x:c>
      <x:c r="K814" t="n">
        <x:v>914.26</x:v>
      </x:c>
      <x:c r="L814" t="str">
        <x:v>陸運</x:v>
      </x:c>
      <x:c r="M814" t="n">
        <x:v>3</x:v>
      </x:c>
      <x:c r="N814" t="str">
        <x:v>否</x:v>
      </x:c>
      <x:c r="O814" t="n">
        <x:v>0</x:v>
      </x:c>
      <x:c r="P814"/>
    </x:row>
    <x:row r="815" ht="20" customHeight="1">
      <x:c r="A815" t="str">
        <x:v>SH000814</x:v>
      </x:c>
      <x:c r="B815" t="str">
        <x:v>SO00565-01</x:v>
      </x:c>
      <x:c r="C815" t="str">
        <x:v>WO00814</x:v>
      </x:c>
      <x:c r="D815" t="str">
        <x:v>LOT00814</x:v>
      </x:c>
      <x:c r="E815" t="str">
        <x:v>IAT-007</x:v>
      </x:c>
      <x:c r="F815" t="str">
        <x:v>MECH-CON-B</x:v>
      </x:c>
      <x:c r="G815" s="20" t="n">
        <x:v>46131</x:v>
      </x:c>
      <x:c r="H815" s="20" t="n">
        <x:v>46130</x:v>
      </x:c>
      <x:c r="I815" s="20" t="n">
        <x:v>46134</x:v>
      </x:c>
      <x:c r="J815" t="n">
        <x:v>20</x:v>
      </x:c>
      <x:c r="K815" t="n">
        <x:v>153182.79</x:v>
      </x:c>
      <x:c r="L815" t="str">
        <x:v>空運</x:v>
      </x:c>
      <x:c r="M815" t="n">
        <x:v>3</x:v>
      </x:c>
      <x:c r="N815" t="str">
        <x:v>否</x:v>
      </x:c>
      <x:c r="O815" t="n">
        <x:v>0</x:v>
      </x:c>
      <x:c r="P815"/>
    </x:row>
    <x:row r="816" ht="20" customHeight="1">
      <x:c r="A816" t="str">
        <x:v>SH000815</x:v>
      </x:c>
      <x:c r="B816" t="str">
        <x:v>SO00566-01</x:v>
      </x:c>
      <x:c r="C816" t="str">
        <x:v>WO00816</x:v>
      </x:c>
      <x:c r="D816" t="str">
        <x:v>LOT00816</x:v>
      </x:c>
      <x:c r="E816" t="str">
        <x:v>AUT-001</x:v>
      </x:c>
      <x:c r="F816" t="str">
        <x:v>AUTO-MH-A</x:v>
      </x:c>
      <x:c r="G816" s="20" t="n">
        <x:v>46093</x:v>
      </x:c>
      <x:c r="H816" s="20" t="n">
        <x:v>46090</x:v>
      </x:c>
      <x:c r="I816" s="20" t="n">
        <x:v>46092</x:v>
      </x:c>
      <x:c r="J816" t="n">
        <x:v>6447</x:v>
      </x:c>
      <x:c r="K816" t="n">
        <x:v>2410.28</x:v>
      </x:c>
      <x:c r="L816" t="str">
        <x:v>陸運</x:v>
      </x:c>
      <x:c r="M816" t="n">
        <x:v>0</x:v>
      </x:c>
      <x:c r="N816" t="str">
        <x:v>是</x:v>
      </x:c>
      <x:c r="O816" t="n">
        <x:v>0</x:v>
      </x:c>
      <x:c r="P816"/>
    </x:row>
    <x:row r="817" ht="20" customHeight="1">
      <x:c r="A817" t="str">
        <x:v>SH000816</x:v>
      </x:c>
      <x:c r="B817" t="str">
        <x:v>SO00566-01</x:v>
      </x:c>
      <x:c r="C817" t="str">
        <x:v>WO00815</x:v>
      </x:c>
      <x:c r="D817" t="str">
        <x:v>LOT00815</x:v>
      </x:c>
      <x:c r="E817" t="str">
        <x:v>AUT-001</x:v>
      </x:c>
      <x:c r="F817" t="str">
        <x:v>AUTO-MH-A</x:v>
      </x:c>
      <x:c r="G817" s="20" t="n">
        <x:v>46093</x:v>
      </x:c>
      <x:c r="H817" s="20" t="n">
        <x:v>46089</x:v>
      </x:c>
      <x:c r="I817" s="20" t="n">
        <x:v>46091</x:v>
      </x:c>
      <x:c r="J817" t="n">
        <x:v>6367</x:v>
      </x:c>
      <x:c r="K817" t="n">
        <x:v>2410.28</x:v>
      </x:c>
      <x:c r="L817" t="str">
        <x:v>海運</x:v>
      </x:c>
      <x:c r="M817" t="n">
        <x:v>0</x:v>
      </x:c>
      <x:c r="N817" t="str">
        <x:v>是</x:v>
      </x:c>
      <x:c r="O817" t="n">
        <x:v>19</x:v>
      </x:c>
      <x:c r="P817" t="str">
        <x:v>尺寸異常</x:v>
      </x:c>
    </x:row>
    <x:row r="818" ht="20" customHeight="1">
      <x:c r="A818" t="str">
        <x:v>SH000817</x:v>
      </x:c>
      <x:c r="B818" t="str">
        <x:v>SO00567-01</x:v>
      </x:c>
      <x:c r="C818" t="str">
        <x:v>WO00817</x:v>
      </x:c>
      <x:c r="D818" t="str">
        <x:v>LOT00817</x:v>
      </x:c>
      <x:c r="E818" t="str">
        <x:v>IAT-003</x:v>
      </x:c>
      <x:c r="F818" t="str">
        <x:v>PM-BRG-B</x:v>
      </x:c>
      <x:c r="G818" s="20" t="n">
        <x:v>46088</x:v>
      </x:c>
      <x:c r="H818" s="20" t="n">
        <x:v>46091</x:v>
      </x:c>
      <x:c r="I818" s="20" t="n">
        <x:v>46093</x:v>
      </x:c>
      <x:c r="J818" t="n">
        <x:v>492</x:v>
      </x:c>
      <x:c r="K818" t="n">
        <x:v>7738.49</x:v>
      </x:c>
      <x:c r="L818" t="str">
        <x:v>海運</x:v>
      </x:c>
      <x:c r="M818" t="n">
        <x:v>5</x:v>
      </x:c>
      <x:c r="N818" t="str">
        <x:v>否</x:v>
      </x:c>
      <x:c r="O818" t="n">
        <x:v>0</x:v>
      </x:c>
      <x:c r="P818"/>
    </x:row>
    <x:row r="819" ht="20" customHeight="1">
      <x:c r="A819" t="str">
        <x:v>SH000818</x:v>
      </x:c>
      <x:c r="B819" t="str">
        <x:v>SO00568-01</x:v>
      </x:c>
      <x:c r="C819" t="str">
        <x:v>WO00818</x:v>
      </x:c>
      <x:c r="D819" t="str">
        <x:v>LOT00818</x:v>
      </x:c>
      <x:c r="E819" t="str">
        <x:v>AFT-008</x:v>
      </x:c>
      <x:c r="F819" t="str">
        <x:v>AUTO-FL-A</x:v>
      </x:c>
      <x:c r="G819" s="20" t="n">
        <x:v>46097</x:v>
      </x:c>
      <x:c r="H819" s="20" t="n">
        <x:v>46090</x:v>
      </x:c>
      <x:c r="I819" s="20" t="n">
        <x:v>46093</x:v>
      </x:c>
      <x:c r="J819" t="n">
        <x:v>4887</x:v>
      </x:c>
      <x:c r="K819" t="n">
        <x:v>1282.79</x:v>
      </x:c>
      <x:c r="L819" t="str">
        <x:v>海運</x:v>
      </x:c>
      <x:c r="M819" t="n">
        <x:v>0</x:v>
      </x:c>
      <x:c r="N819" t="str">
        <x:v>是</x:v>
      </x:c>
      <x:c r="O819" t="n">
        <x:v>0</x:v>
      </x:c>
      <x:c r="P819"/>
    </x:row>
    <x:row r="820" ht="20" customHeight="1">
      <x:c r="A820" t="str">
        <x:v>SH000819</x:v>
      </x:c>
      <x:c r="B820" t="str">
        <x:v>SO00569-01</x:v>
      </x:c>
      <x:c r="C820" t="str">
        <x:v>WO00819</x:v>
      </x:c>
      <x:c r="D820" t="str">
        <x:v>LOT00819</x:v>
      </x:c>
      <x:c r="E820" t="str">
        <x:v>AFT-001</x:v>
      </x:c>
      <x:c r="F820" t="str">
        <x:v>AUTO-MH-A</x:v>
      </x:c>
      <x:c r="G820" s="20" t="n">
        <x:v>46099</x:v>
      </x:c>
      <x:c r="H820" s="20" t="n">
        <x:v>46095</x:v>
      </x:c>
      <x:c r="I820" s="20" t="n">
        <x:v>46100</x:v>
      </x:c>
      <x:c r="J820" t="n">
        <x:v>4962</x:v>
      </x:c>
      <x:c r="K820" t="n">
        <x:v>2459.98</x:v>
      </x:c>
      <x:c r="L820" t="str">
        <x:v>陸運</x:v>
      </x:c>
      <x:c r="M820" t="n">
        <x:v>1</x:v>
      </x:c>
      <x:c r="N820" t="str">
        <x:v>否</x:v>
      </x:c>
      <x:c r="O820" t="n">
        <x:v>0</x:v>
      </x:c>
      <x:c r="P820"/>
    </x:row>
    <x:row r="821" ht="20" customHeight="1">
      <x:c r="A821" t="str">
        <x:v>SH000820</x:v>
      </x:c>
      <x:c r="B821" t="str">
        <x:v>SO00570-01</x:v>
      </x:c>
      <x:c r="C821" t="str">
        <x:v>WO00821</x:v>
      </x:c>
      <x:c r="D821" t="str">
        <x:v>LOT00821</x:v>
      </x:c>
      <x:c r="E821" t="str">
        <x:v>AFT-002</x:v>
      </x:c>
      <x:c r="F821" t="str">
        <x:v>AUTO-MH-B</x:v>
      </x:c>
      <x:c r="G821" s="20" t="n">
        <x:v>46112</x:v>
      </x:c>
      <x:c r="H821" s="20" t="n">
        <x:v>46110</x:v>
      </x:c>
      <x:c r="I821" s="20" t="n">
        <x:v>46115</x:v>
      </x:c>
      <x:c r="J821" t="n">
        <x:v>4961</x:v>
      </x:c>
      <x:c r="K821" t="n">
        <x:v>3087.54</x:v>
      </x:c>
      <x:c r="L821" t="str">
        <x:v>空運</x:v>
      </x:c>
      <x:c r="M821" t="n">
        <x:v>3</x:v>
      </x:c>
      <x:c r="N821" t="str">
        <x:v>否</x:v>
      </x:c>
      <x:c r="O821" t="n">
        <x:v>0</x:v>
      </x:c>
      <x:c r="P821"/>
    </x:row>
    <x:row r="822" ht="20" customHeight="1">
      <x:c r="A822" t="str">
        <x:v>SH000821</x:v>
      </x:c>
      <x:c r="B822" t="str">
        <x:v>SO00570-01</x:v>
      </x:c>
      <x:c r="C822" t="str">
        <x:v>WO00820</x:v>
      </x:c>
      <x:c r="D822" t="str">
        <x:v>LOT00820</x:v>
      </x:c>
      <x:c r="E822" t="str">
        <x:v>AFT-002</x:v>
      </x:c>
      <x:c r="F822" t="str">
        <x:v>AUTO-MH-B</x:v>
      </x:c>
      <x:c r="G822" s="20" t="n">
        <x:v>46112</x:v>
      </x:c>
      <x:c r="H822" s="20" t="n">
        <x:v>46111</x:v>
      </x:c>
      <x:c r="I822" s="20" t="n">
        <x:v>46114</x:v>
      </x:c>
      <x:c r="J822" t="n">
        <x:v>4913</x:v>
      </x:c>
      <x:c r="K822" t="n">
        <x:v>3087.54</x:v>
      </x:c>
      <x:c r="L822" t="str">
        <x:v>陸運</x:v>
      </x:c>
      <x:c r="M822" t="n">
        <x:v>2</x:v>
      </x:c>
      <x:c r="N822" t="str">
        <x:v>否</x:v>
      </x:c>
      <x:c r="O822" t="n">
        <x:v>0</x:v>
      </x:c>
      <x:c r="P822"/>
    </x:row>
    <x:row r="823" ht="20" customHeight="1">
      <x:c r="A823" t="str">
        <x:v>SH000822</x:v>
      </x:c>
      <x:c r="B823" t="str">
        <x:v>SO00571-01</x:v>
      </x:c>
      <x:c r="C823" t="str">
        <x:v>WO00823</x:v>
      </x:c>
      <x:c r="D823" t="str">
        <x:v>LOT00823</x:v>
      </x:c>
      <x:c r="E823" t="str">
        <x:v>IAT-009</x:v>
      </x:c>
      <x:c r="F823" t="str">
        <x:v>MECH-CON-A</x:v>
      </x:c>
      <x:c r="G823" s="20" t="n">
        <x:v>46123</x:v>
      </x:c>
      <x:c r="H823" s="20" t="n">
        <x:v>46122</x:v>
      </x:c>
      <x:c r="I823" s="20" t="n">
        <x:v>46125</x:v>
      </x:c>
      <x:c r="J823" t="n">
        <x:v>15</x:v>
      </x:c>
      <x:c r="K823" t="n">
        <x:v>103976.38</x:v>
      </x:c>
      <x:c r="L823" t="str">
        <x:v>空運</x:v>
      </x:c>
      <x:c r="M823" t="n">
        <x:v>2</x:v>
      </x:c>
      <x:c r="N823" t="str">
        <x:v>否</x:v>
      </x:c>
      <x:c r="O823" t="n">
        <x:v>0</x:v>
      </x:c>
      <x:c r="P823"/>
    </x:row>
    <x:row r="824" ht="20" customHeight="1">
      <x:c r="A824" t="str">
        <x:v>SH000823</x:v>
      </x:c>
      <x:c r="B824" t="str">
        <x:v>SO00571-01</x:v>
      </x:c>
      <x:c r="C824" t="str">
        <x:v>WO00822</x:v>
      </x:c>
      <x:c r="D824" t="str">
        <x:v>LOT00822</x:v>
      </x:c>
      <x:c r="E824" t="str">
        <x:v>IAT-009</x:v>
      </x:c>
      <x:c r="F824" t="str">
        <x:v>MECH-CON-A</x:v>
      </x:c>
      <x:c r="G824" s="20" t="n">
        <x:v>46123</x:v>
      </x:c>
      <x:c r="H824" s="20" t="n">
        <x:v>46123</x:v>
      </x:c>
      <x:c r="I824" s="20" t="n">
        <x:v>46126</x:v>
      </x:c>
      <x:c r="J824" t="n">
        <x:v>15</x:v>
      </x:c>
      <x:c r="K824" t="n">
        <x:v>103976.38</x:v>
      </x:c>
      <x:c r="L824" t="str">
        <x:v>空運</x:v>
      </x:c>
      <x:c r="M824" t="n">
        <x:v>3</x:v>
      </x:c>
      <x:c r="N824" t="str">
        <x:v>否</x:v>
      </x:c>
      <x:c r="O824" t="n">
        <x:v>0</x:v>
      </x:c>
      <x:c r="P824"/>
    </x:row>
    <x:row r="825" ht="20" customHeight="1">
      <x:c r="A825" t="str">
        <x:v>SH000824</x:v>
      </x:c>
      <x:c r="B825" t="str">
        <x:v>SO00572-01</x:v>
      </x:c>
      <x:c r="C825" t="str">
        <x:v>WO00824</x:v>
      </x:c>
      <x:c r="D825" t="str">
        <x:v>LOT00824</x:v>
      </x:c>
      <x:c r="E825" t="str">
        <x:v>AUT-006</x:v>
      </x:c>
      <x:c r="F825" t="str">
        <x:v>PM-VAC-A</x:v>
      </x:c>
      <x:c r="G825" s="20" t="n">
        <x:v>46094</x:v>
      </x:c>
      <x:c r="H825" s="20" t="n">
        <x:v>46092</x:v>
      </x:c>
      <x:c r="I825" s="20" t="n">
        <x:v>46096</x:v>
      </x:c>
      <x:c r="J825" t="n">
        <x:v>294</x:v>
      </x:c>
      <x:c r="K825" t="n">
        <x:v>16435.58</x:v>
      </x:c>
      <x:c r="L825" t="str">
        <x:v>海運</x:v>
      </x:c>
      <x:c r="M825" t="n">
        <x:v>2</x:v>
      </x:c>
      <x:c r="N825" t="str">
        <x:v>否</x:v>
      </x:c>
      <x:c r="O825" t="n">
        <x:v>0</x:v>
      </x:c>
      <x:c r="P825"/>
    </x:row>
    <x:row r="826" ht="20" customHeight="1">
      <x:c r="A826" t="str">
        <x:v>SH000825</x:v>
      </x:c>
      <x:c r="B826" t="str">
        <x:v>SO00573-01</x:v>
      </x:c>
      <x:c r="C826" t="str">
        <x:v>WO00825</x:v>
      </x:c>
      <x:c r="D826" t="str">
        <x:v>LOT00825</x:v>
      </x:c>
      <x:c r="E826" t="str">
        <x:v>IAT-006</x:v>
      </x:c>
      <x:c r="F826" t="str">
        <x:v>PM-SUS-B</x:v>
      </x:c>
      <x:c r="G826" s="20" t="n">
        <x:v>46144</x:v>
      </x:c>
      <x:c r="H826" s="20" t="n">
        <x:v>46138</x:v>
      </x:c>
      <x:c r="I826" s="20" t="n">
        <x:v>46139</x:v>
      </x:c>
      <x:c r="J826" t="n">
        <x:v>788</x:v>
      </x:c>
      <x:c r="K826" t="n">
        <x:v>15206.79</x:v>
      </x:c>
      <x:c r="L826" t="str">
        <x:v>空運</x:v>
      </x:c>
      <x:c r="M826" t="n">
        <x:v>0</x:v>
      </x:c>
      <x:c r="N826" t="str">
        <x:v>是</x:v>
      </x:c>
      <x:c r="O826" t="n">
        <x:v>0</x:v>
      </x:c>
      <x:c r="P826"/>
    </x:row>
    <x:row r="827" ht="20" customHeight="1">
      <x:c r="A827" t="str">
        <x:v>SH000826</x:v>
      </x:c>
      <x:c r="B827" t="str">
        <x:v>SO00573-01</x:v>
      </x:c>
      <x:c r="C827" t="str">
        <x:v>WO00826</x:v>
      </x:c>
      <x:c r="D827" t="str">
        <x:v>LOT00826</x:v>
      </x:c>
      <x:c r="E827" t="str">
        <x:v>IAT-006</x:v>
      </x:c>
      <x:c r="F827" t="str">
        <x:v>PM-SUS-B</x:v>
      </x:c>
      <x:c r="G827" s="20" t="n">
        <x:v>46144</x:v>
      </x:c>
      <x:c r="H827" s="20" t="n">
        <x:v>46144</x:v>
      </x:c>
      <x:c r="I827" s="20" t="n">
        <x:v>46147</x:v>
      </x:c>
      <x:c r="J827" t="n">
        <x:v>782</x:v>
      </x:c>
      <x:c r="K827" t="n">
        <x:v>15206.79</x:v>
      </x:c>
      <x:c r="L827" t="str">
        <x:v>空運</x:v>
      </x:c>
      <x:c r="M827" t="n">
        <x:v>3</x:v>
      </x:c>
      <x:c r="N827" t="str">
        <x:v>否</x:v>
      </x:c>
      <x:c r="O827" t="n">
        <x:v>0</x:v>
      </x:c>
      <x:c r="P827"/>
    </x:row>
    <x:row r="828" ht="20" customHeight="1">
      <x:c r="A828" t="str">
        <x:v>SH000827</x:v>
      </x:c>
      <x:c r="B828" t="str">
        <x:v>SO00574-01</x:v>
      </x:c>
      <x:c r="C828" t="str">
        <x:v>WO00827</x:v>
      </x:c>
      <x:c r="D828" t="str">
        <x:v>LOT00827</x:v>
      </x:c>
      <x:c r="E828" t="str">
        <x:v>IAT-004</x:v>
      </x:c>
      <x:c r="F828" t="str">
        <x:v>SEMI-CHB-A</x:v>
      </x:c>
      <x:c r="G828" s="20" t="n">
        <x:v>46153</x:v>
      </x:c>
      <x:c r="H828" s="20" t="n">
        <x:v>46151</x:v>
      </x:c>
      <x:c r="I828" s="20" t="n">
        <x:v>46155</x:v>
      </x:c>
      <x:c r="J828" t="n">
        <x:v>78</x:v>
      </x:c>
      <x:c r="K828" t="n">
        <x:v>91618.74</x:v>
      </x:c>
      <x:c r="L828" t="str">
        <x:v>空運</x:v>
      </x:c>
      <x:c r="M828" t="n">
        <x:v>2</x:v>
      </x:c>
      <x:c r="N828" t="str">
        <x:v>否</x:v>
      </x:c>
      <x:c r="O828" t="n">
        <x:v>0</x:v>
      </x:c>
      <x:c r="P828"/>
    </x:row>
    <x:row r="829" ht="20" customHeight="1">
      <x:c r="A829" t="str">
        <x:v>SH000828</x:v>
      </x:c>
      <x:c r="B829" t="str">
        <x:v>SO00575-01</x:v>
      </x:c>
      <x:c r="C829" t="str">
        <x:v>WO00829</x:v>
      </x:c>
      <x:c r="D829" t="str">
        <x:v>LOT00829</x:v>
      </x:c>
      <x:c r="E829" t="str">
        <x:v>AFT-004</x:v>
      </x:c>
      <x:c r="F829" t="str">
        <x:v>AUTO-FL-A</x:v>
      </x:c>
      <x:c r="G829" s="20" t="n">
        <x:v>46119</x:v>
      </x:c>
      <x:c r="H829" s="20" t="n">
        <x:v>46122</x:v>
      </x:c>
      <x:c r="I829" s="20" t="n">
        <x:v>46127</x:v>
      </x:c>
      <x:c r="J829" t="n">
        <x:v>6401</x:v>
      </x:c>
      <x:c r="K829" t="n">
        <x:v>1303.02</x:v>
      </x:c>
      <x:c r="L829" t="str">
        <x:v>海運</x:v>
      </x:c>
      <x:c r="M829" t="n">
        <x:v>8</x:v>
      </x:c>
      <x:c r="N829" t="str">
        <x:v>否</x:v>
      </x:c>
      <x:c r="O829" t="n">
        <x:v>0</x:v>
      </x:c>
      <x:c r="P829"/>
    </x:row>
    <x:row r="830" ht="20" customHeight="1">
      <x:c r="A830" t="str">
        <x:v>SH000829</x:v>
      </x:c>
      <x:c r="B830" t="str">
        <x:v>SO00575-01</x:v>
      </x:c>
      <x:c r="C830" t="str">
        <x:v>WO00828</x:v>
      </x:c>
      <x:c r="D830" t="str">
        <x:v>LOT00828</x:v>
      </x:c>
      <x:c r="E830" t="str">
        <x:v>AFT-004</x:v>
      </x:c>
      <x:c r="F830" t="str">
        <x:v>AUTO-FL-A</x:v>
      </x:c>
      <x:c r="G830" s="20" t="n">
        <x:v>46119</x:v>
      </x:c>
      <x:c r="H830" s="20" t="n">
        <x:v>46127</x:v>
      </x:c>
      <x:c r="I830" s="20" t="n">
        <x:v>46129</x:v>
      </x:c>
      <x:c r="J830" t="n">
        <x:v>6402</x:v>
      </x:c>
      <x:c r="K830" t="n">
        <x:v>1303.02</x:v>
      </x:c>
      <x:c r="L830" t="str">
        <x:v>陸運</x:v>
      </x:c>
      <x:c r="M830" t="n">
        <x:v>10</x:v>
      </x:c>
      <x:c r="N830" t="str">
        <x:v>否</x:v>
      </x:c>
      <x:c r="O830" t="n">
        <x:v>0</x:v>
      </x:c>
      <x:c r="P830"/>
    </x:row>
    <x:row r="831" ht="20" customHeight="1">
      <x:c r="A831" t="str">
        <x:v>SH000830</x:v>
      </x:c>
      <x:c r="B831" t="str">
        <x:v>SO00576-01</x:v>
      </x:c>
      <x:c r="C831" t="str">
        <x:v>WO00830</x:v>
      </x:c>
      <x:c r="D831" t="str">
        <x:v>LOT00830</x:v>
      </x:c>
      <x:c r="E831" t="str">
        <x:v>AUT-006</x:v>
      </x:c>
      <x:c r="F831" t="str">
        <x:v>PM-SUS-A</x:v>
      </x:c>
      <x:c r="G831" s="20" t="n">
        <x:v>46122</x:v>
      </x:c>
      <x:c r="H831" s="20" t="n">
        <x:v>46119</x:v>
      </x:c>
      <x:c r="I831" s="20" t="n">
        <x:v>46124</x:v>
      </x:c>
      <x:c r="J831" t="n">
        <x:v>784</x:v>
      </x:c>
      <x:c r="K831" t="n">
        <x:v>10590.76</x:v>
      </x:c>
      <x:c r="L831" t="str">
        <x:v>海運</x:v>
      </x:c>
      <x:c r="M831" t="n">
        <x:v>2</x:v>
      </x:c>
      <x:c r="N831" t="str">
        <x:v>否</x:v>
      </x:c>
      <x:c r="O831" t="n">
        <x:v>0</x:v>
      </x:c>
      <x:c r="P831"/>
    </x:row>
    <x:row r="832" ht="20" customHeight="1">
      <x:c r="A832" t="str">
        <x:v>SH000831</x:v>
      </x:c>
      <x:c r="B832" t="str">
        <x:v>SO00576-01</x:v>
      </x:c>
      <x:c r="C832" t="str">
        <x:v>WO00831</x:v>
      </x:c>
      <x:c r="D832" t="str">
        <x:v>LOT00831</x:v>
      </x:c>
      <x:c r="E832" t="str">
        <x:v>AUT-006</x:v>
      </x:c>
      <x:c r="F832" t="str">
        <x:v>PM-SUS-A</x:v>
      </x:c>
      <x:c r="G832" s="20" t="n">
        <x:v>46122</x:v>
      </x:c>
      <x:c r="H832" s="20" t="n">
        <x:v>46118</x:v>
      </x:c>
      <x:c r="I832" s="20" t="n">
        <x:v>46123</x:v>
      </x:c>
      <x:c r="J832" t="n">
        <x:v>785</x:v>
      </x:c>
      <x:c r="K832" t="n">
        <x:v>10590.76</x:v>
      </x:c>
      <x:c r="L832" t="str">
        <x:v>空運</x:v>
      </x:c>
      <x:c r="M832" t="n">
        <x:v>1</x:v>
      </x:c>
      <x:c r="N832" t="str">
        <x:v>否</x:v>
      </x:c>
      <x:c r="O832" t="n">
        <x:v>0</x:v>
      </x:c>
      <x:c r="P832"/>
    </x:row>
    <x:row r="833" ht="20" customHeight="1">
      <x:c r="A833" t="str">
        <x:v>SH000832</x:v>
      </x:c>
      <x:c r="B833" t="str">
        <x:v>SO00577-01</x:v>
      </x:c>
      <x:c r="C833" t="str">
        <x:v>WO00832</x:v>
      </x:c>
      <x:c r="D833" t="str">
        <x:v>LOT00832</x:v>
      </x:c>
      <x:c r="E833" t="str">
        <x:v>AUT-012</x:v>
      </x:c>
      <x:c r="F833" t="str">
        <x:v>PM-VAC-B</x:v>
      </x:c>
      <x:c r="G833" s="20" t="n">
        <x:v>46159</x:v>
      </x:c>
      <x:c r="H833" s="20" t="n">
        <x:v>46157</x:v>
      </x:c>
      <x:c r="I833" s="20" t="n">
        <x:v>46161</x:v>
      </x:c>
      <x:c r="J833" t="n">
        <x:v>585</x:v>
      </x:c>
      <x:c r="K833" t="n">
        <x:v>20341.72</x:v>
      </x:c>
      <x:c r="L833" t="str">
        <x:v>陸運</x:v>
      </x:c>
      <x:c r="M833" t="n">
        <x:v>2</x:v>
      </x:c>
      <x:c r="N833" t="str">
        <x:v>否</x:v>
      </x:c>
      <x:c r="O833" t="n">
        <x:v>0</x:v>
      </x:c>
      <x:c r="P833"/>
    </x:row>
    <x:row r="834" ht="20" customHeight="1">
      <x:c r="A834" t="str">
        <x:v>SH000833</x:v>
      </x:c>
      <x:c r="B834" t="str">
        <x:v>SO00577-01</x:v>
      </x:c>
      <x:c r="C834" t="str">
        <x:v>WO00833</x:v>
      </x:c>
      <x:c r="D834" t="str">
        <x:v>LOT00833</x:v>
      </x:c>
      <x:c r="E834" t="str">
        <x:v>AUT-012</x:v>
      </x:c>
      <x:c r="F834" t="str">
        <x:v>PM-VAC-B</x:v>
      </x:c>
      <x:c r="G834" s="20" t="n">
        <x:v>46159</x:v>
      </x:c>
      <x:c r="H834" s="20" t="n">
        <x:v>46161</x:v>
      </x:c>
      <x:c r="I834" s="20" t="n">
        <x:v>46162</x:v>
      </x:c>
      <x:c r="J834" t="n">
        <x:v>585</x:v>
      </x:c>
      <x:c r="K834" t="n">
        <x:v>20341.72</x:v>
      </x:c>
      <x:c r="L834" t="str">
        <x:v>陸運</x:v>
      </x:c>
      <x:c r="M834" t="n">
        <x:v>3</x:v>
      </x:c>
      <x:c r="N834" t="str">
        <x:v>否</x:v>
      </x:c>
      <x:c r="O834" t="n">
        <x:v>0</x:v>
      </x:c>
      <x:c r="P834"/>
    </x:row>
    <x:row r="835" ht="20" customHeight="1">
      <x:c r="A835" t="str">
        <x:v>SH000834</x:v>
      </x:c>
      <x:c r="B835" t="str">
        <x:v>SO00578-01</x:v>
      </x:c>
      <x:c r="C835" t="str">
        <x:v>WO00834</x:v>
      </x:c>
      <x:c r="D835" t="str">
        <x:v>LOT00834</x:v>
      </x:c>
      <x:c r="E835" t="str">
        <x:v>AUT-010</x:v>
      </x:c>
      <x:c r="F835" t="str">
        <x:v>AUTO-BS-A</x:v>
      </x:c>
      <x:c r="G835" s="20" t="n">
        <x:v>46125</x:v>
      </x:c>
      <x:c r="H835" s="20" t="n">
        <x:v>46120</x:v>
      </x:c>
      <x:c r="I835" s="20" t="n">
        <x:v>46124</x:v>
      </x:c>
      <x:c r="J835" t="n">
        <x:v>6451</x:v>
      </x:c>
      <x:c r="K835" t="n">
        <x:v>682.72</x:v>
      </x:c>
      <x:c r="L835" t="str">
        <x:v>海運</x:v>
      </x:c>
      <x:c r="M835" t="n">
        <x:v>0</x:v>
      </x:c>
      <x:c r="N835" t="str">
        <x:v>是</x:v>
      </x:c>
      <x:c r="O835" t="n">
        <x:v>0</x:v>
      </x:c>
      <x:c r="P835"/>
    </x:row>
    <x:row r="836" ht="20" customHeight="1">
      <x:c r="A836" t="str">
        <x:v>SH000835</x:v>
      </x:c>
      <x:c r="B836" t="str">
        <x:v>SO00578-01</x:v>
      </x:c>
      <x:c r="C836" t="str">
        <x:v>WO00835</x:v>
      </x:c>
      <x:c r="D836" t="str">
        <x:v>LOT00835</x:v>
      </x:c>
      <x:c r="E836" t="str">
        <x:v>AUT-010</x:v>
      </x:c>
      <x:c r="F836" t="str">
        <x:v>AUTO-BS-A</x:v>
      </x:c>
      <x:c r="G836" s="20" t="n">
        <x:v>46125</x:v>
      </x:c>
      <x:c r="H836" s="20" t="n">
        <x:v>46128</x:v>
      </x:c>
      <x:c r="I836" s="20" t="n">
        <x:v>46131</x:v>
      </x:c>
      <x:c r="J836" t="n">
        <x:v>6493</x:v>
      </x:c>
      <x:c r="K836" t="n">
        <x:v>682.72</x:v>
      </x:c>
      <x:c r="L836" t="str">
        <x:v>陸運</x:v>
      </x:c>
      <x:c r="M836" t="n">
        <x:v>6</x:v>
      </x:c>
      <x:c r="N836" t="str">
        <x:v>否</x:v>
      </x:c>
      <x:c r="O836" t="n">
        <x:v>0</x:v>
      </x:c>
      <x:c r="P836"/>
    </x:row>
    <x:row r="837" ht="20" customHeight="1">
      <x:c r="A837" t="str">
        <x:v>SH000836</x:v>
      </x:c>
      <x:c r="B837" t="str">
        <x:v>SO00579-01</x:v>
      </x:c>
      <x:c r="C837" t="str">
        <x:v>WO00837</x:v>
      </x:c>
      <x:c r="D837" t="str">
        <x:v>LOT00837</x:v>
      </x:c>
      <x:c r="E837" t="str">
        <x:v>AUT-013</x:v>
      </x:c>
      <x:c r="F837" t="str">
        <x:v>AUTO-BS-B</x:v>
      </x:c>
      <x:c r="G837" s="20" t="n">
        <x:v>46118</x:v>
      </x:c>
      <x:c r="H837" s="20" t="n">
        <x:v>46113</x:v>
      </x:c>
      <x:c r="I837" s="20" t="n">
        <x:v>46118</x:v>
      </x:c>
      <x:c r="J837" t="n">
        <x:v>4979</x:v>
      </x:c>
      <x:c r="K837" t="n">
        <x:v>861.24</x:v>
      </x:c>
      <x:c r="L837" t="str">
        <x:v>海運</x:v>
      </x:c>
      <x:c r="M837" t="n">
        <x:v>0</x:v>
      </x:c>
      <x:c r="N837" t="str">
        <x:v>是</x:v>
      </x:c>
      <x:c r="O837" t="n">
        <x:v>0</x:v>
      </x:c>
      <x:c r="P837"/>
    </x:row>
    <x:row r="838" ht="20" customHeight="1">
      <x:c r="A838" t="str">
        <x:v>SH000837</x:v>
      </x:c>
      <x:c r="B838" t="str">
        <x:v>SO00579-01</x:v>
      </x:c>
      <x:c r="C838" t="str">
        <x:v>WO00836</x:v>
      </x:c>
      <x:c r="D838" t="str">
        <x:v>LOT00836</x:v>
      </x:c>
      <x:c r="E838" t="str">
        <x:v>AUT-013</x:v>
      </x:c>
      <x:c r="F838" t="str">
        <x:v>AUTO-BS-B</x:v>
      </x:c>
      <x:c r="G838" s="20" t="n">
        <x:v>46118</x:v>
      </x:c>
      <x:c r="H838" s="20" t="n">
        <x:v>46116</x:v>
      </x:c>
      <x:c r="I838" s="20" t="n">
        <x:v>46120</x:v>
      </x:c>
      <x:c r="J838" t="n">
        <x:v>5000</x:v>
      </x:c>
      <x:c r="K838" t="n">
        <x:v>861.24</x:v>
      </x:c>
      <x:c r="L838" t="str">
        <x:v>陸運</x:v>
      </x:c>
      <x:c r="M838" t="n">
        <x:v>2</x:v>
      </x:c>
      <x:c r="N838" t="str">
        <x:v>否</x:v>
      </x:c>
      <x:c r="O838" t="n">
        <x:v>0</x:v>
      </x:c>
      <x:c r="P838"/>
    </x:row>
    <x:row r="839" ht="20" customHeight="1">
      <x:c r="A839" t="str">
        <x:v>SH000838</x:v>
      </x:c>
      <x:c r="B839" t="str">
        <x:v>SO00580-01</x:v>
      </x:c>
      <x:c r="C839" t="str">
        <x:v>WO00838</x:v>
      </x:c>
      <x:c r="D839" t="str">
        <x:v>LOT00838</x:v>
      </x:c>
      <x:c r="E839" t="str">
        <x:v>IAT-007</x:v>
      </x:c>
      <x:c r="F839" t="str">
        <x:v>SEMI-WH-A</x:v>
      </x:c>
      <x:c r="G839" s="20" t="n">
        <x:v>46154</x:v>
      </x:c>
      <x:c r="H839" s="20" t="n">
        <x:v>46152</x:v>
      </x:c>
      <x:c r="I839" s="20" t="n">
        <x:v>46153</x:v>
      </x:c>
      <x:c r="J839" t="n">
        <x:v>78</x:v>
      </x:c>
      <x:c r="K839" t="n">
        <x:v>114504.6</x:v>
      </x:c>
      <x:c r="L839" t="str">
        <x:v>海運</x:v>
      </x:c>
      <x:c r="M839" t="n">
        <x:v>0</x:v>
      </x:c>
      <x:c r="N839" t="str">
        <x:v>是</x:v>
      </x:c>
      <x:c r="O839" t="n">
        <x:v>0</x:v>
      </x:c>
      <x:c r="P839"/>
    </x:row>
    <x:row r="840" ht="20" customHeight="1">
      <x:c r="A840" t="str">
        <x:v>SH000839</x:v>
      </x:c>
      <x:c r="B840" t="str">
        <x:v>SO00581-01</x:v>
      </x:c>
      <x:c r="C840" t="str">
        <x:v>WO00840</x:v>
      </x:c>
      <x:c r="D840" t="str">
        <x:v>LOT00840</x:v>
      </x:c>
      <x:c r="E840" t="str">
        <x:v>AFT-001</x:v>
      </x:c>
      <x:c r="F840" t="str">
        <x:v>PM-ALB-B</x:v>
      </x:c>
      <x:c r="G840" s="20" t="n">
        <x:v>46135</x:v>
      </x:c>
      <x:c r="H840" s="20" t="n">
        <x:v>46135</x:v>
      </x:c>
      <x:c r="I840" s="20" t="n">
        <x:v>46138</x:v>
      </x:c>
      <x:c r="J840" t="n">
        <x:v>592</x:v>
      </x:c>
      <x:c r="K840" t="n">
        <x:v>15749.23</x:v>
      </x:c>
      <x:c r="L840" t="str">
        <x:v>空運</x:v>
      </x:c>
      <x:c r="M840" t="n">
        <x:v>3</x:v>
      </x:c>
      <x:c r="N840" t="str">
        <x:v>否</x:v>
      </x:c>
      <x:c r="O840" t="n">
        <x:v>0</x:v>
      </x:c>
      <x:c r="P840"/>
    </x:row>
    <x:row r="841" ht="20" customHeight="1">
      <x:c r="A841" t="str">
        <x:v>SH000840</x:v>
      </x:c>
      <x:c r="B841" t="str">
        <x:v>SO00581-01</x:v>
      </x:c>
      <x:c r="C841" t="str">
        <x:v>WO00839</x:v>
      </x:c>
      <x:c r="D841" t="str">
        <x:v>LOT00839</x:v>
      </x:c>
      <x:c r="E841" t="str">
        <x:v>AFT-001</x:v>
      </x:c>
      <x:c r="F841" t="str">
        <x:v>PM-ALB-B</x:v>
      </x:c>
      <x:c r="G841" s="20" t="n">
        <x:v>46135</x:v>
      </x:c>
      <x:c r="H841" s="20" t="n">
        <x:v>46139</x:v>
      </x:c>
      <x:c r="I841" s="20" t="n">
        <x:v>46141</x:v>
      </x:c>
      <x:c r="J841" t="n">
        <x:v>583</x:v>
      </x:c>
      <x:c r="K841" t="n">
        <x:v>15749.23</x:v>
      </x:c>
      <x:c r="L841" t="str">
        <x:v>陸運</x:v>
      </x:c>
      <x:c r="M841" t="n">
        <x:v>6</x:v>
      </x:c>
      <x:c r="N841" t="str">
        <x:v>否</x:v>
      </x:c>
      <x:c r="O841" t="n">
        <x:v>0</x:v>
      </x:c>
      <x:c r="P841"/>
    </x:row>
    <x:row r="842" ht="20" customHeight="1">
      <x:c r="A842" t="str">
        <x:v>SH000841</x:v>
      </x:c>
      <x:c r="B842" t="str">
        <x:v>SO00582-01</x:v>
      </x:c>
      <x:c r="C842" t="str">
        <x:v>WO00841</x:v>
      </x:c>
      <x:c r="D842" t="str">
        <x:v>LOT00841</x:v>
      </x:c>
      <x:c r="E842" t="str">
        <x:v>AUT-014</x:v>
      </x:c>
      <x:c r="F842" t="str">
        <x:v>PM-ALB-B</x:v>
      </x:c>
      <x:c r="G842" s="20" t="n">
        <x:v>46139</x:v>
      </x:c>
      <x:c r="H842" s="20" t="n">
        <x:v>46134</x:v>
      </x:c>
      <x:c r="I842" s="20" t="n">
        <x:v>46135</x:v>
      </x:c>
      <x:c r="J842" t="n">
        <x:v>782</x:v>
      </x:c>
      <x:c r="K842" t="n">
        <x:v>16130.57</x:v>
      </x:c>
      <x:c r="L842" t="str">
        <x:v>空運</x:v>
      </x:c>
      <x:c r="M842" t="n">
        <x:v>0</x:v>
      </x:c>
      <x:c r="N842" t="str">
        <x:v>是</x:v>
      </x:c>
      <x:c r="O842" t="n">
        <x:v>0</x:v>
      </x:c>
      <x:c r="P842"/>
    </x:row>
    <x:row r="843" ht="20" customHeight="1">
      <x:c r="A843" t="str">
        <x:v>SH000842</x:v>
      </x:c>
      <x:c r="B843" t="str">
        <x:v>SO00582-01</x:v>
      </x:c>
      <x:c r="C843" t="str">
        <x:v>WO00842</x:v>
      </x:c>
      <x:c r="D843" t="str">
        <x:v>LOT00842</x:v>
      </x:c>
      <x:c r="E843" t="str">
        <x:v>AUT-014</x:v>
      </x:c>
      <x:c r="F843" t="str">
        <x:v>PM-ALB-B</x:v>
      </x:c>
      <x:c r="G843" s="20" t="n">
        <x:v>46139</x:v>
      </x:c>
      <x:c r="H843" s="20" t="n">
        <x:v>46136</x:v>
      </x:c>
      <x:c r="I843" s="20" t="n">
        <x:v>46140</x:v>
      </x:c>
      <x:c r="J843" t="n">
        <x:v>780</x:v>
      </x:c>
      <x:c r="K843" t="n">
        <x:v>16130.57</x:v>
      </x:c>
      <x:c r="L843" t="str">
        <x:v>海運</x:v>
      </x:c>
      <x:c r="M843" t="n">
        <x:v>1</x:v>
      </x:c>
      <x:c r="N843" t="str">
        <x:v>否</x:v>
      </x:c>
      <x:c r="O843" t="n">
        <x:v>0</x:v>
      </x:c>
      <x:c r="P843"/>
    </x:row>
    <x:row r="844" ht="20" customHeight="1">
      <x:c r="A844" t="str">
        <x:v>SH000843</x:v>
      </x:c>
      <x:c r="B844" t="str">
        <x:v>SO00583-01</x:v>
      </x:c>
      <x:c r="C844" t="str">
        <x:v>WO00843</x:v>
      </x:c>
      <x:c r="D844" t="str">
        <x:v>LOT00843</x:v>
      </x:c>
      <x:c r="E844" t="str">
        <x:v>EMS-004</x:v>
      </x:c>
      <x:c r="F844" t="str">
        <x:v>SEMI-CHB-B</x:v>
      </x:c>
      <x:c r="G844" s="20" t="n">
        <x:v>46160</x:v>
      </x:c>
      <x:c r="H844" s="20" t="n">
        <x:v>46156</x:v>
      </x:c>
      <x:c r="I844" s="20" t="n">
        <x:v>46157</x:v>
      </x:c>
      <x:c r="J844" t="n">
        <x:v>59</x:v>
      </x:c>
      <x:c r="K844" t="n">
        <x:v>146575.79</x:v>
      </x:c>
      <x:c r="L844" t="str">
        <x:v>陸運</x:v>
      </x:c>
      <x:c r="M844" t="n">
        <x:v>0</x:v>
      </x:c>
      <x:c r="N844" t="str">
        <x:v>是</x:v>
      </x:c>
      <x:c r="O844" t="n">
        <x:v>0</x:v>
      </x:c>
      <x:c r="P844"/>
    </x:row>
    <x:row r="845" ht="20" customHeight="1">
      <x:c r="A845" t="str">
        <x:v>SH000844</x:v>
      </x:c>
      <x:c r="B845" t="str">
        <x:v>SO00583-01</x:v>
      </x:c>
      <x:c r="C845" t="str">
        <x:v>WO00844</x:v>
      </x:c>
      <x:c r="D845" t="str">
        <x:v>LOT00844</x:v>
      </x:c>
      <x:c r="E845" t="str">
        <x:v>EMS-004</x:v>
      </x:c>
      <x:c r="F845" t="str">
        <x:v>SEMI-CHB-B</x:v>
      </x:c>
      <x:c r="G845" s="20" t="n">
        <x:v>46160</x:v>
      </x:c>
      <x:c r="H845" s="20" t="n">
        <x:v>46157</x:v>
      </x:c>
      <x:c r="I845" s="20" t="n">
        <x:v>46160</x:v>
      </x:c>
      <x:c r="J845" t="n">
        <x:v>59</x:v>
      </x:c>
      <x:c r="K845" t="n">
        <x:v>146575.79</x:v>
      </x:c>
      <x:c r="L845" t="str">
        <x:v>空運</x:v>
      </x:c>
      <x:c r="M845" t="n">
        <x:v>0</x:v>
      </x:c>
      <x:c r="N845" t="str">
        <x:v>是</x:v>
      </x:c>
      <x:c r="O845" t="n">
        <x:v>0</x:v>
      </x:c>
      <x:c r="P845"/>
    </x:row>
    <x:row r="846" ht="20" customHeight="1">
      <x:c r="A846" t="str">
        <x:v>SH000845</x:v>
      </x:c>
      <x:c r="B846" t="str">
        <x:v>SO00584-01</x:v>
      </x:c>
      <x:c r="C846" t="str">
        <x:v>WO00845</x:v>
      </x:c>
      <x:c r="D846" t="str">
        <x:v>LOT00845</x:v>
      </x:c>
      <x:c r="E846" t="str">
        <x:v>IAT-003</x:v>
      </x:c>
      <x:c r="F846" t="str">
        <x:v>AUTO-BRK-B</x:v>
      </x:c>
      <x:c r="G846" s="20" t="n">
        <x:v>46112</x:v>
      </x:c>
      <x:c r="H846" s="20" t="n">
        <x:v>46118</x:v>
      </x:c>
      <x:c r="I846" s="20" t="n">
        <x:v>46122</x:v>
      </x:c>
      <x:c r="J846" t="n">
        <x:v>4926</x:v>
      </x:c>
      <x:c r="K846" t="n">
        <x:v>2183.24</x:v>
      </x:c>
      <x:c r="L846" t="str">
        <x:v>海運</x:v>
      </x:c>
      <x:c r="M846" t="n">
        <x:v>10</x:v>
      </x:c>
      <x:c r="N846" t="str">
        <x:v>否</x:v>
      </x:c>
      <x:c r="O846" t="n">
        <x:v>0</x:v>
      </x:c>
      <x:c r="P846"/>
    </x:row>
    <x:row r="847" ht="20" customHeight="1">
      <x:c r="A847" t="str">
        <x:v>SH000846</x:v>
      </x:c>
      <x:c r="B847" t="str">
        <x:v>SO00585-01</x:v>
      </x:c>
      <x:c r="C847" t="str">
        <x:v>WO00846</x:v>
      </x:c>
      <x:c r="D847" t="str">
        <x:v>LOT00846</x:v>
      </x:c>
      <x:c r="E847" t="str">
        <x:v>AUT-001</x:v>
      </x:c>
      <x:c r="F847" t="str">
        <x:v>AUTO-FL-B</x:v>
      </x:c>
      <x:c r="G847" s="20" t="n">
        <x:v>46121</x:v>
      </x:c>
      <x:c r="H847" s="20" t="n">
        <x:v>46124</x:v>
      </x:c>
      <x:c r="I847" s="20" t="n">
        <x:v>46129</x:v>
      </x:c>
      <x:c r="J847" t="n">
        <x:v>6949</x:v>
      </x:c>
      <x:c r="K847" t="n">
        <x:v>1385.1</x:v>
      </x:c>
      <x:c r="L847" t="str">
        <x:v>海運</x:v>
      </x:c>
      <x:c r="M847" t="n">
        <x:v>8</x:v>
      </x:c>
      <x:c r="N847" t="str">
        <x:v>否</x:v>
      </x:c>
      <x:c r="O847" t="n">
        <x:v>0</x:v>
      </x:c>
      <x:c r="P847"/>
    </x:row>
    <x:row r="848" ht="20" customHeight="1">
      <x:c r="A848" t="str">
        <x:v>SH000847</x:v>
      </x:c>
      <x:c r="B848" t="str">
        <x:v>SO00586-01</x:v>
      </x:c>
      <x:c r="C848" t="str">
        <x:v>WO00848</x:v>
      </x:c>
      <x:c r="D848" t="str">
        <x:v>LOT00848</x:v>
      </x:c>
      <x:c r="E848" t="str">
        <x:v>AFT-001</x:v>
      </x:c>
      <x:c r="F848" t="str">
        <x:v>AUTO-FL-B</x:v>
      </x:c>
      <x:c r="G848" s="20" t="n">
        <x:v>46124</x:v>
      </x:c>
      <x:c r="H848" s="20" t="n">
        <x:v>46122</x:v>
      </x:c>
      <x:c r="I848" s="20" t="n">
        <x:v>46125</x:v>
      </x:c>
      <x:c r="J848" t="n">
        <x:v>6343</x:v>
      </x:c>
      <x:c r="K848" t="n">
        <x:v>1510.77</x:v>
      </x:c>
      <x:c r="L848" t="str">
        <x:v>海運</x:v>
      </x:c>
      <x:c r="M848" t="n">
        <x:v>1</x:v>
      </x:c>
      <x:c r="N848" t="str">
        <x:v>否</x:v>
      </x:c>
      <x:c r="O848" t="n">
        <x:v>0</x:v>
      </x:c>
      <x:c r="P848"/>
    </x:row>
    <x:row r="849" ht="20" customHeight="1">
      <x:c r="A849" t="str">
        <x:v>SH000848</x:v>
      </x:c>
      <x:c r="B849" t="str">
        <x:v>SO00586-01</x:v>
      </x:c>
      <x:c r="C849" t="str">
        <x:v>WO00847</x:v>
      </x:c>
      <x:c r="D849" t="str">
        <x:v>LOT00847</x:v>
      </x:c>
      <x:c r="E849" t="str">
        <x:v>AFT-001</x:v>
      </x:c>
      <x:c r="F849" t="str">
        <x:v>AUTO-FL-B</x:v>
      </x:c>
      <x:c r="G849" s="20" t="n">
        <x:v>46124</x:v>
      </x:c>
      <x:c r="H849" s="20" t="n">
        <x:v>46124</x:v>
      </x:c>
      <x:c r="I849" s="20" t="n">
        <x:v>46125</x:v>
      </x:c>
      <x:c r="J849" t="n">
        <x:v>6418</x:v>
      </x:c>
      <x:c r="K849" t="n">
        <x:v>1510.77</x:v>
      </x:c>
      <x:c r="L849" t="str">
        <x:v>陸運</x:v>
      </x:c>
      <x:c r="M849" t="n">
        <x:v>1</x:v>
      </x:c>
      <x:c r="N849" t="str">
        <x:v>否</x:v>
      </x:c>
      <x:c r="O849" t="n">
        <x:v>0</x:v>
      </x:c>
      <x:c r="P849"/>
    </x:row>
    <x:row r="850" ht="20" customHeight="1">
      <x:c r="A850" t="str">
        <x:v>SH000849</x:v>
      </x:c>
      <x:c r="B850" t="str">
        <x:v>SO00587-01</x:v>
      </x:c>
      <x:c r="C850" t="str">
        <x:v>WO00849</x:v>
      </x:c>
      <x:c r="D850" t="str">
        <x:v>LOT00849</x:v>
      </x:c>
      <x:c r="E850" t="str">
        <x:v>SEM-010</x:v>
      </x:c>
      <x:c r="F850" t="str">
        <x:v>PM-VAC-B</x:v>
      </x:c>
      <x:c r="G850" s="20" t="n">
        <x:v>46128</x:v>
      </x:c>
      <x:c r="H850" s="20" t="n">
        <x:v>46125</x:v>
      </x:c>
      <x:c r="I850" s="20" t="n">
        <x:v>46126</x:v>
      </x:c>
      <x:c r="J850" t="n">
        <x:v>496</x:v>
      </x:c>
      <x:c r="K850" t="n">
        <x:v>21877.69</x:v>
      </x:c>
      <x:c r="L850" t="str">
        <x:v>海運</x:v>
      </x:c>
      <x:c r="M850" t="n">
        <x:v>0</x:v>
      </x:c>
      <x:c r="N850" t="str">
        <x:v>是</x:v>
      </x:c>
      <x:c r="O850" t="n">
        <x:v>0</x:v>
      </x:c>
      <x:c r="P850"/>
    </x:row>
    <x:row r="851" ht="20" customHeight="1">
      <x:c r="A851" t="str">
        <x:v>SH000850</x:v>
      </x:c>
      <x:c r="B851" t="str">
        <x:v>SO00588-01</x:v>
      </x:c>
      <x:c r="C851" t="str">
        <x:v>WO00850</x:v>
      </x:c>
      <x:c r="D851" t="str">
        <x:v>LOT00850</x:v>
      </x:c>
      <x:c r="E851" t="str">
        <x:v>IAT-003</x:v>
      </x:c>
      <x:c r="F851" t="str">
        <x:v>AUTO-BS-B</x:v>
      </x:c>
      <x:c r="G851" s="20" t="n">
        <x:v>46108</x:v>
      </x:c>
      <x:c r="H851" s="20" t="n">
        <x:v>46105</x:v>
      </x:c>
      <x:c r="I851" s="20" t="n">
        <x:v>46108</x:v>
      </x:c>
      <x:c r="J851" t="n">
        <x:v>4914</x:v>
      </x:c>
      <x:c r="K851" t="n">
        <x:v>907.91</x:v>
      </x:c>
      <x:c r="L851" t="str">
        <x:v>海運</x:v>
      </x:c>
      <x:c r="M851" t="n">
        <x:v>0</x:v>
      </x:c>
      <x:c r="N851" t="str">
        <x:v>是</x:v>
      </x:c>
      <x:c r="O851" t="n">
        <x:v>0</x:v>
      </x:c>
      <x:c r="P851"/>
    </x:row>
    <x:row r="852" ht="20" customHeight="1">
      <x:c r="A852" t="str">
        <x:v>SH000851</x:v>
      </x:c>
      <x:c r="B852" t="str">
        <x:v>SO00589-01</x:v>
      </x:c>
      <x:c r="C852" t="str">
        <x:v>WO00852</x:v>
      </x:c>
      <x:c r="D852" t="str">
        <x:v>LOT00852</x:v>
      </x:c>
      <x:c r="E852" t="str">
        <x:v>AUT-003</x:v>
      </x:c>
      <x:c r="F852" t="str">
        <x:v>MECH-CON-B</x:v>
      </x:c>
      <x:c r="G852" s="20" t="n">
        <x:v>46174</x:v>
      </x:c>
      <x:c r="H852" s="20" t="n">
        <x:v>46170</x:v>
      </x:c>
      <x:c r="I852" s="20" t="n">
        <x:v>46175</x:v>
      </x:c>
      <x:c r="J852" t="n">
        <x:v>17</x:v>
      </x:c>
      <x:c r="K852" t="n">
        <x:v>161259.34</x:v>
      </x:c>
      <x:c r="L852" t="str">
        <x:v>陸運</x:v>
      </x:c>
      <x:c r="M852" t="n">
        <x:v>1</x:v>
      </x:c>
      <x:c r="N852" t="str">
        <x:v>否</x:v>
      </x:c>
      <x:c r="O852" t="n">
        <x:v>0</x:v>
      </x:c>
      <x:c r="P852"/>
    </x:row>
    <x:row r="853" ht="20" customHeight="1">
      <x:c r="A853" t="str">
        <x:v>SH000852</x:v>
      </x:c>
      <x:c r="B853" t="str">
        <x:v>SO00589-01</x:v>
      </x:c>
      <x:c r="C853" t="str">
        <x:v>WO00853</x:v>
      </x:c>
      <x:c r="D853" t="str">
        <x:v>LOT00853</x:v>
      </x:c>
      <x:c r="E853" t="str">
        <x:v>AUT-003</x:v>
      </x:c>
      <x:c r="F853" t="str">
        <x:v>MECH-CON-B</x:v>
      </x:c>
      <x:c r="G853" s="20" t="n">
        <x:v>46174</x:v>
      </x:c>
      <x:c r="H853" s="20" t="n">
        <x:v>46172</x:v>
      </x:c>
      <x:c r="I853" s="20" t="n">
        <x:v>46177</x:v>
      </x:c>
      <x:c r="J853" t="n">
        <x:v>16</x:v>
      </x:c>
      <x:c r="K853" t="n">
        <x:v>161259.34</x:v>
      </x:c>
      <x:c r="L853" t="str">
        <x:v>空運</x:v>
      </x:c>
      <x:c r="M853" t="n">
        <x:v>3</x:v>
      </x:c>
      <x:c r="N853" t="str">
        <x:v>否</x:v>
      </x:c>
      <x:c r="O853" t="n">
        <x:v>0</x:v>
      </x:c>
      <x:c r="P853"/>
    </x:row>
    <x:row r="854" ht="20" customHeight="1">
      <x:c r="A854" t="str">
        <x:v>SH000853</x:v>
      </x:c>
      <x:c r="B854" t="str">
        <x:v>SO00589-01</x:v>
      </x:c>
      <x:c r="C854" t="str">
        <x:v>WO00851</x:v>
      </x:c>
      <x:c r="D854" t="str">
        <x:v>LOT00851</x:v>
      </x:c>
      <x:c r="E854" t="str">
        <x:v>AUT-003</x:v>
      </x:c>
      <x:c r="F854" t="str">
        <x:v>MECH-CON-B</x:v>
      </x:c>
      <x:c r="G854" s="20" t="n">
        <x:v>46174</x:v>
      </x:c>
      <x:c r="H854" s="20" t="n">
        <x:v>46172</x:v>
      </x:c>
      <x:c r="I854" s="20" t="n">
        <x:v>46175</x:v>
      </x:c>
      <x:c r="J854" t="n">
        <x:v>17</x:v>
      </x:c>
      <x:c r="K854" t="n">
        <x:v>161259.34</x:v>
      </x:c>
      <x:c r="L854" t="str">
        <x:v>空運</x:v>
      </x:c>
      <x:c r="M854" t="n">
        <x:v>1</x:v>
      </x:c>
      <x:c r="N854" t="str">
        <x:v>否</x:v>
      </x:c>
      <x:c r="O854" t="n">
        <x:v>0</x:v>
      </x:c>
      <x:c r="P854"/>
    </x:row>
    <x:row r="855" ht="20" customHeight="1">
      <x:c r="A855" t="str">
        <x:v>SH000854</x:v>
      </x:c>
      <x:c r="B855" t="str">
        <x:v>SO00590-01</x:v>
      </x:c>
      <x:c r="C855" t="str">
        <x:v>WO00854</x:v>
      </x:c>
      <x:c r="D855" t="str">
        <x:v>LOT00854</x:v>
      </x:c>
      <x:c r="E855" t="str">
        <x:v>EMS-007</x:v>
      </x:c>
      <x:c r="F855" t="str">
        <x:v>PM-BRG-B</x:v>
      </x:c>
      <x:c r="G855" s="20" t="n">
        <x:v>46172</x:v>
      </x:c>
      <x:c r="H855" s="20" t="n">
        <x:v>46170</x:v>
      </x:c>
      <x:c r="I855" s="20" t="n">
        <x:v>46173</x:v>
      </x:c>
      <x:c r="J855" t="n">
        <x:v>494</x:v>
      </x:c>
      <x:c r="K855" t="n">
        <x:v>7974.12</x:v>
      </x:c>
      <x:c r="L855" t="str">
        <x:v>海運</x:v>
      </x:c>
      <x:c r="M855" t="n">
        <x:v>1</x:v>
      </x:c>
      <x:c r="N855" t="str">
        <x:v>否</x:v>
      </x:c>
      <x:c r="O855" t="n">
        <x:v>0</x:v>
      </x:c>
      <x:c r="P855"/>
    </x:row>
    <x:row r="856" ht="20" customHeight="1">
      <x:c r="A856" t="str">
        <x:v>SH000855</x:v>
      </x:c>
      <x:c r="B856" t="str">
        <x:v>SO00591-01</x:v>
      </x:c>
      <x:c r="C856" t="str">
        <x:v>WO00855</x:v>
      </x:c>
      <x:c r="D856" t="str">
        <x:v>LOT00855</x:v>
      </x:c>
      <x:c r="E856" t="str">
        <x:v>IAT-010</x:v>
      </x:c>
      <x:c r="F856" t="str">
        <x:v>AUTO-BS-A</x:v>
      </x:c>
      <x:c r="G856" s="20" t="n">
        <x:v>46137</x:v>
      </x:c>
      <x:c r="H856" s="20" t="n">
        <x:v>46133</x:v>
      </x:c>
      <x:c r="I856" s="20" t="n">
        <x:v>46134</x:v>
      </x:c>
      <x:c r="J856" t="n">
        <x:v>6401</x:v>
      </x:c>
      <x:c r="K856" t="n">
        <x:v>777.58</x:v>
      </x:c>
      <x:c r="L856" t="str">
        <x:v>陸運</x:v>
      </x:c>
      <x:c r="M856" t="n">
        <x:v>0</x:v>
      </x:c>
      <x:c r="N856" t="str">
        <x:v>是</x:v>
      </x:c>
      <x:c r="O856" t="n">
        <x:v>0</x:v>
      </x:c>
      <x:c r="P856"/>
    </x:row>
    <x:row r="857" ht="20" customHeight="1">
      <x:c r="A857" t="str">
        <x:v>SH000856</x:v>
      </x:c>
      <x:c r="B857" t="str">
        <x:v>SO00591-01</x:v>
      </x:c>
      <x:c r="C857" t="str">
        <x:v>WO00856</x:v>
      </x:c>
      <x:c r="D857" t="str">
        <x:v>LOT00856</x:v>
      </x:c>
      <x:c r="E857" t="str">
        <x:v>IAT-010</x:v>
      </x:c>
      <x:c r="F857" t="str">
        <x:v>AUTO-BS-A</x:v>
      </x:c>
      <x:c r="G857" s="20" t="n">
        <x:v>46137</x:v>
      </x:c>
      <x:c r="H857" s="20" t="n">
        <x:v>46143</x:v>
      </x:c>
      <x:c r="I857" s="20" t="n">
        <x:v>46146</x:v>
      </x:c>
      <x:c r="J857" t="n">
        <x:v>6380</x:v>
      </x:c>
      <x:c r="K857" t="n">
        <x:v>777.58</x:v>
      </x:c>
      <x:c r="L857" t="str">
        <x:v>海運</x:v>
      </x:c>
      <x:c r="M857" t="n">
        <x:v>9</x:v>
      </x:c>
      <x:c r="N857" t="str">
        <x:v>否</x:v>
      </x:c>
      <x:c r="O857" t="n">
        <x:v>0</x:v>
      </x:c>
      <x:c r="P857"/>
    </x:row>
    <x:row r="858" ht="20" customHeight="1">
      <x:c r="A858" t="str">
        <x:v>SH000857</x:v>
      </x:c>
      <x:c r="B858" t="str">
        <x:v>SO00592-01</x:v>
      </x:c>
      <x:c r="C858" t="str">
        <x:v>WO00857</x:v>
      </x:c>
      <x:c r="D858" t="str">
        <x:v>LOT00857</x:v>
      </x:c>
      <x:c r="E858" t="str">
        <x:v>AUT-002</x:v>
      </x:c>
      <x:c r="F858" t="str">
        <x:v>AUTO-KN-A</x:v>
      </x:c>
      <x:c r="G858" s="20" t="n">
        <x:v>46154</x:v>
      </x:c>
      <x:c r="H858" s="20" t="n">
        <x:v>46153</x:v>
      </x:c>
      <x:c r="I858" s="20" t="n">
        <x:v>46157</x:v>
      </x:c>
      <x:c r="J858" t="n">
        <x:v>6974</x:v>
      </x:c>
      <x:c r="K858" t="n">
        <x:v>3165.62</x:v>
      </x:c>
      <x:c r="L858" t="str">
        <x:v>海運</x:v>
      </x:c>
      <x:c r="M858" t="n">
        <x:v>3</x:v>
      </x:c>
      <x:c r="N858" t="str">
        <x:v>否</x:v>
      </x:c>
      <x:c r="O858" t="n">
        <x:v>0</x:v>
      </x:c>
      <x:c r="P858"/>
    </x:row>
    <x:row r="859" ht="20" customHeight="1">
      <x:c r="A859" t="str">
        <x:v>SH000858</x:v>
      </x:c>
      <x:c r="B859" t="str">
        <x:v>SO00593-01</x:v>
      </x:c>
      <x:c r="C859" t="str">
        <x:v>WO00859</x:v>
      </x:c>
      <x:c r="D859" t="str">
        <x:v>LOT00859</x:v>
      </x:c>
      <x:c r="E859" t="str">
        <x:v>IAT-008</x:v>
      </x:c>
      <x:c r="F859" t="str">
        <x:v>MECH-CON-A</x:v>
      </x:c>
      <x:c r="G859" s="20" t="n">
        <x:v>46190</x:v>
      </x:c>
      <x:c r="H859" s="20" t="n">
        <x:v>46190</x:v>
      </x:c>
      <x:c r="I859" s="20" t="n">
        <x:v>46191</x:v>
      </x:c>
      <x:c r="J859" t="n">
        <x:v>20</x:v>
      </x:c>
      <x:c r="K859" t="n">
        <x:v>113393.09</x:v>
      </x:c>
      <x:c r="L859" t="str">
        <x:v>空運</x:v>
      </x:c>
      <x:c r="M859" t="n">
        <x:v>1</x:v>
      </x:c>
      <x:c r="N859" t="str">
        <x:v>否</x:v>
      </x:c>
      <x:c r="O859" t="n">
        <x:v>0</x:v>
      </x:c>
      <x:c r="P859"/>
    </x:row>
    <x:row r="860" ht="20" customHeight="1">
      <x:c r="A860" t="str">
        <x:v>SH000859</x:v>
      </x:c>
      <x:c r="B860" t="str">
        <x:v>SO00593-01</x:v>
      </x:c>
      <x:c r="C860" t="str">
        <x:v>WO00858</x:v>
      </x:c>
      <x:c r="D860" t="str">
        <x:v>LOT00858</x:v>
      </x:c>
      <x:c r="E860" t="str">
        <x:v>IAT-008</x:v>
      </x:c>
      <x:c r="F860" t="str">
        <x:v>MECH-CON-A</x:v>
      </x:c>
      <x:c r="G860" s="20" t="n">
        <x:v>46190</x:v>
      </x:c>
      <x:c r="H860" s="20" t="n">
        <x:v>46189</x:v>
      </x:c>
      <x:c r="I860" s="20" t="n">
        <x:v>46194</x:v>
      </x:c>
      <x:c r="J860" t="n">
        <x:v>19</x:v>
      </x:c>
      <x:c r="K860" t="n">
        <x:v>113393.09</x:v>
      </x:c>
      <x:c r="L860" t="str">
        <x:v>陸運</x:v>
      </x:c>
      <x:c r="M860" t="n">
        <x:v>4</x:v>
      </x:c>
      <x:c r="N860" t="str">
        <x:v>否</x:v>
      </x:c>
      <x:c r="O860" t="n">
        <x:v>0</x:v>
      </x:c>
      <x:c r="P860"/>
    </x:row>
    <x:row r="861" ht="20" customHeight="1">
      <x:c r="A861" t="str">
        <x:v>SH000860</x:v>
      </x:c>
      <x:c r="B861" t="str">
        <x:v>SO00594-01</x:v>
      </x:c>
      <x:c r="C861" t="str">
        <x:v>WO00860</x:v>
      </x:c>
      <x:c r="D861" t="str">
        <x:v>LOT00860</x:v>
      </x:c>
      <x:c r="E861" t="str">
        <x:v>AUT-014</x:v>
      </x:c>
      <x:c r="F861" t="str">
        <x:v>AUTO-BS-B</x:v>
      </x:c>
      <x:c r="G861" s="20" t="n">
        <x:v>46162</x:v>
      </x:c>
      <x:c r="H861" s="20" t="n">
        <x:v>46163</x:v>
      </x:c>
      <x:c r="I861" s="20" t="n">
        <x:v>46165</x:v>
      </x:c>
      <x:c r="J861" t="n">
        <x:v>6891</x:v>
      </x:c>
      <x:c r="K861" t="n">
        <x:v>934.57</x:v>
      </x:c>
      <x:c r="L861" t="str">
        <x:v>陸運</x:v>
      </x:c>
      <x:c r="M861" t="n">
        <x:v>3</x:v>
      </x:c>
      <x:c r="N861" t="str">
        <x:v>否</x:v>
      </x:c>
      <x:c r="O861" t="n">
        <x:v>0</x:v>
      </x:c>
      <x:c r="P861"/>
    </x:row>
    <x:row r="862" ht="20" customHeight="1">
      <x:c r="A862" t="str">
        <x:v>SH000861</x:v>
      </x:c>
      <x:c r="B862" t="str">
        <x:v>SO00595-01</x:v>
      </x:c>
      <x:c r="C862" t="str">
        <x:v>WO00861</x:v>
      </x:c>
      <x:c r="D862" t="str">
        <x:v>LOT00861</x:v>
      </x:c>
      <x:c r="E862" t="str">
        <x:v>AUT-006</x:v>
      </x:c>
      <x:c r="F862" t="str">
        <x:v>PM-BRG-B</x:v>
      </x:c>
      <x:c r="G862" s="20" t="n">
        <x:v>46162</x:v>
      </x:c>
      <x:c r="H862" s="20" t="n">
        <x:v>46161</x:v>
      </x:c>
      <x:c r="I862" s="20" t="n">
        <x:v>46166</x:v>
      </x:c>
      <x:c r="J862" t="n">
        <x:v>786</x:v>
      </x:c>
      <x:c r="K862" t="n">
        <x:v>7967.94</x:v>
      </x:c>
      <x:c r="L862" t="str">
        <x:v>海運</x:v>
      </x:c>
      <x:c r="M862" t="n">
        <x:v>4</x:v>
      </x:c>
      <x:c r="N862" t="str">
        <x:v>否</x:v>
      </x:c>
      <x:c r="O862" t="n">
        <x:v>0</x:v>
      </x:c>
      <x:c r="P862"/>
    </x:row>
    <x:row r="863" ht="20" customHeight="1">
      <x:c r="A863" t="str">
        <x:v>SH000862</x:v>
      </x:c>
      <x:c r="B863" t="str">
        <x:v>SO00595-01</x:v>
      </x:c>
      <x:c r="C863" t="str">
        <x:v>WO00862</x:v>
      </x:c>
      <x:c r="D863" t="str">
        <x:v>LOT00862</x:v>
      </x:c>
      <x:c r="E863" t="str">
        <x:v>AUT-006</x:v>
      </x:c>
      <x:c r="F863" t="str">
        <x:v>PM-BRG-B</x:v>
      </x:c>
      <x:c r="G863" s="20" t="n">
        <x:v>46162</x:v>
      </x:c>
      <x:c r="H863" s="20" t="n">
        <x:v>46164</x:v>
      </x:c>
      <x:c r="I863" s="20" t="n">
        <x:v>46168</x:v>
      </x:c>
      <x:c r="J863" t="n">
        <x:v>792</x:v>
      </x:c>
      <x:c r="K863" t="n">
        <x:v>7967.94</x:v>
      </x:c>
      <x:c r="L863" t="str">
        <x:v>海運</x:v>
      </x:c>
      <x:c r="M863" t="n">
        <x:v>6</x:v>
      </x:c>
      <x:c r="N863" t="str">
        <x:v>否</x:v>
      </x:c>
      <x:c r="O863" t="n">
        <x:v>0</x:v>
      </x:c>
      <x:c r="P863"/>
    </x:row>
    <x:row r="864" ht="20" customHeight="1">
      <x:c r="A864" t="str">
        <x:v>SH000863</x:v>
      </x:c>
      <x:c r="B864" t="str">
        <x:v>SO00596-01</x:v>
      </x:c>
      <x:c r="C864" t="str">
        <x:v>WO00863</x:v>
      </x:c>
      <x:c r="D864" t="str">
        <x:v>LOT00863</x:v>
      </x:c>
      <x:c r="E864" t="str">
        <x:v>AFT-001</x:v>
      </x:c>
      <x:c r="F864" t="str">
        <x:v>AUTO-FL-A</x:v>
      </x:c>
      <x:c r="G864" s="20" t="n">
        <x:v>46142</x:v>
      </x:c>
      <x:c r="H864" s="20" t="n">
        <x:v>46142</x:v>
      </x:c>
      <x:c r="I864" s="20" t="n">
        <x:v>46146</x:v>
      </x:c>
      <x:c r="J864" t="n">
        <x:v>2953</x:v>
      </x:c>
      <x:c r="K864" t="n">
        <x:v>1313.77</x:v>
      </x:c>
      <x:c r="L864" t="str">
        <x:v>海運</x:v>
      </x:c>
      <x:c r="M864" t="n">
        <x:v>4</x:v>
      </x:c>
      <x:c r="N864" t="str">
        <x:v>否</x:v>
      </x:c>
      <x:c r="O864" t="n">
        <x:v>0</x:v>
      </x:c>
      <x:c r="P864"/>
    </x:row>
    <x:row r="865" ht="20" customHeight="1">
      <x:c r="A865" t="str">
        <x:v>SH000864</x:v>
      </x:c>
      <x:c r="B865" t="str">
        <x:v>SO00597-01</x:v>
      </x:c>
      <x:c r="C865" t="str">
        <x:v>WO00864</x:v>
      </x:c>
      <x:c r="D865" t="str">
        <x:v>LOT00864</x:v>
      </x:c>
      <x:c r="E865" t="str">
        <x:v>AFT-007</x:v>
      </x:c>
      <x:c r="F865" t="str">
        <x:v>PM-ALB-A</x:v>
      </x:c>
      <x:c r="G865" s="20" t="n">
        <x:v>46163</x:v>
      </x:c>
      <x:c r="H865" s="20" t="n">
        <x:v>46162</x:v>
      </x:c>
      <x:c r="I865" s="20" t="n">
        <x:v>46165</x:v>
      </x:c>
      <x:c r="J865" t="n">
        <x:v>495</x:v>
      </x:c>
      <x:c r="K865" t="n">
        <x:v>11534.89</x:v>
      </x:c>
      <x:c r="L865" t="str">
        <x:v>海運</x:v>
      </x:c>
      <x:c r="M865" t="n">
        <x:v>2</x:v>
      </x:c>
      <x:c r="N865" t="str">
        <x:v>否</x:v>
      </x:c>
      <x:c r="O865" t="n">
        <x:v>0</x:v>
      </x:c>
      <x:c r="P865"/>
    </x:row>
    <x:row r="866" ht="20" customHeight="1">
      <x:c r="A866" t="str">
        <x:v>SH000865</x:v>
      </x:c>
      <x:c r="B866" t="str">
        <x:v>SO00598-01</x:v>
      </x:c>
      <x:c r="C866" t="str">
        <x:v>WO00865</x:v>
      </x:c>
      <x:c r="D866" t="str">
        <x:v>LOT00865</x:v>
      </x:c>
      <x:c r="E866" t="str">
        <x:v>SEM-007</x:v>
      </x:c>
      <x:c r="F866" t="str">
        <x:v>MECH-STG-A</x:v>
      </x:c>
      <x:c r="G866" s="20" t="n">
        <x:v>46170</x:v>
      </x:c>
      <x:c r="H866" s="20" t="n">
        <x:v>46170</x:v>
      </x:c>
      <x:c r="I866" s="20" t="n">
        <x:v>46171</x:v>
      </x:c>
      <x:c r="J866" t="n">
        <x:v>10</x:v>
      </x:c>
      <x:c r="K866" t="n">
        <x:v>143230.4</x:v>
      </x:c>
      <x:c r="L866" t="str">
        <x:v>海運</x:v>
      </x:c>
      <x:c r="M866" t="n">
        <x:v>1</x:v>
      </x:c>
      <x:c r="N866" t="str">
        <x:v>否</x:v>
      </x:c>
      <x:c r="O866" t="n">
        <x:v>0</x:v>
      </x:c>
      <x:c r="P866"/>
    </x:row>
    <x:row r="867" ht="20" customHeight="1">
      <x:c r="A867" t="str">
        <x:v>SH000866</x:v>
      </x:c>
      <x:c r="B867" t="str">
        <x:v>SO00599-01</x:v>
      </x:c>
      <x:c r="C867" t="str">
        <x:v>WO00866</x:v>
      </x:c>
      <x:c r="D867" t="str">
        <x:v>LOT00866</x:v>
      </x:c>
      <x:c r="E867" t="str">
        <x:v>SEM-002</x:v>
      </x:c>
      <x:c r="F867" t="str">
        <x:v>SEMI-CHB-B</x:v>
      </x:c>
      <x:c r="G867" s="20" t="n">
        <x:v>46207</x:v>
      </x:c>
      <x:c r="H867" s="20" t="n">
        <x:v>46207</x:v>
      </x:c>
      <x:c r="I867" s="20" t="n">
        <x:v>46210</x:v>
      </x:c>
      <x:c r="J867" t="n">
        <x:v>39</x:v>
      </x:c>
      <x:c r="K867" t="n">
        <x:v>133613.79</x:v>
      </x:c>
      <x:c r="L867" t="str">
        <x:v>陸運</x:v>
      </x:c>
      <x:c r="M867" t="n">
        <x:v>3</x:v>
      </x:c>
      <x:c r="N867" t="str">
        <x:v>否</x:v>
      </x:c>
      <x:c r="O867" t="n">
        <x:v>0</x:v>
      </x:c>
      <x:c r="P867"/>
    </x:row>
    <x:row r="868" ht="20" customHeight="1">
      <x:c r="A868" t="str">
        <x:v>SH000867</x:v>
      </x:c>
      <x:c r="B868" t="str">
        <x:v>SO00600-01</x:v>
      </x:c>
      <x:c r="C868" t="str">
        <x:v>WO00867</x:v>
      </x:c>
      <x:c r="D868" t="str">
        <x:v>LOT00867</x:v>
      </x:c>
      <x:c r="E868" t="str">
        <x:v>AFT-007</x:v>
      </x:c>
      <x:c r="F868" t="str">
        <x:v>PM-VAC-B</x:v>
      </x:c>
      <x:c r="G868" s="20" t="n">
        <x:v>46164</x:v>
      </x:c>
      <x:c r="H868" s="20" t="n">
        <x:v>46160</x:v>
      </x:c>
      <x:c r="I868" s="20" t="n">
        <x:v>46162</x:v>
      </x:c>
      <x:c r="J868" t="n">
        <x:v>293</x:v>
      </x:c>
      <x:c r="K868" t="n">
        <x:v>21892.36</x:v>
      </x:c>
      <x:c r="L868" t="str">
        <x:v>陸運</x:v>
      </x:c>
      <x:c r="M868" t="n">
        <x:v>0</x:v>
      </x:c>
      <x:c r="N868" t="str">
        <x:v>是</x:v>
      </x:c>
      <x:c r="O868" t="n">
        <x:v>0</x:v>
      </x:c>
      <x:c r="P868"/>
    </x:row>
    <x:row r="869" ht="20" customHeight="1">
      <x:c r="A869" t="str">
        <x:v>SH000868</x:v>
      </x:c>
      <x:c r="B869" t="str">
        <x:v>SO00601-01</x:v>
      </x:c>
      <x:c r="C869" t="str">
        <x:v>WO00868</x:v>
      </x:c>
      <x:c r="D869" t="str">
        <x:v>LOT00868</x:v>
      </x:c>
      <x:c r="E869" t="str">
        <x:v>SEM-008</x:v>
      </x:c>
      <x:c r="F869" t="str">
        <x:v>SEMI-WH-A</x:v>
      </x:c>
      <x:c r="G869" s="20" t="n">
        <x:v>46193</x:v>
      </x:c>
      <x:c r="H869" s="20" t="n">
        <x:v>46191</x:v>
      </x:c>
      <x:c r="I869" s="20" t="n">
        <x:v>46196</x:v>
      </x:c>
      <x:c r="J869" t="n">
        <x:v>59</x:v>
      </x:c>
      <x:c r="K869" t="n">
        <x:v>109348.39</x:v>
      </x:c>
      <x:c r="L869" t="str">
        <x:v>海運</x:v>
      </x:c>
      <x:c r="M869" t="n">
        <x:v>3</x:v>
      </x:c>
      <x:c r="N869" t="str">
        <x:v>否</x:v>
      </x:c>
      <x:c r="O869" t="n">
        <x:v>0</x:v>
      </x:c>
      <x:c r="P869"/>
    </x:row>
    <x:row r="870" ht="20" customHeight="1">
      <x:c r="A870" t="str">
        <x:v>SH000869</x:v>
      </x:c>
      <x:c r="B870" t="str">
        <x:v>SO00601-01</x:v>
      </x:c>
      <x:c r="C870" t="str">
        <x:v>WO00869</x:v>
      </x:c>
      <x:c r="D870" t="str">
        <x:v>LOT00869</x:v>
      </x:c>
      <x:c r="E870" t="str">
        <x:v>SEM-008</x:v>
      </x:c>
      <x:c r="F870" t="str">
        <x:v>SEMI-WH-A</x:v>
      </x:c>
      <x:c r="G870" s="20" t="n">
        <x:v>46193</x:v>
      </x:c>
      <x:c r="H870" s="20" t="n">
        <x:v>46193</x:v>
      </x:c>
      <x:c r="I870" s="20" t="n">
        <x:v>46196</x:v>
      </x:c>
      <x:c r="J870" t="n">
        <x:v>59</x:v>
      </x:c>
      <x:c r="K870" t="n">
        <x:v>109348.39</x:v>
      </x:c>
      <x:c r="L870" t="str">
        <x:v>海運</x:v>
      </x:c>
      <x:c r="M870" t="n">
        <x:v>3</x:v>
      </x:c>
      <x:c r="N870" t="str">
        <x:v>否</x:v>
      </x:c>
      <x:c r="O870" t="n">
        <x:v>0</x:v>
      </x:c>
      <x:c r="P870"/>
    </x:row>
    <x:row r="871" ht="20" customHeight="1">
      <x:c r="A871" t="str">
        <x:v>SH000870</x:v>
      </x:c>
      <x:c r="B871" t="str">
        <x:v>SO00602-01</x:v>
      </x:c>
      <x:c r="C871" t="str">
        <x:v>WO00870</x:v>
      </x:c>
      <x:c r="D871" t="str">
        <x:v>LOT00870</x:v>
      </x:c>
      <x:c r="E871" t="str">
        <x:v>IAT-005</x:v>
      </x:c>
      <x:c r="F871" t="str">
        <x:v>PM-ALB-A</x:v>
      </x:c>
      <x:c r="G871" s="20" t="n">
        <x:v>46155</x:v>
      </x:c>
      <x:c r="H871" s="20" t="n">
        <x:v>46153</x:v>
      </x:c>
      <x:c r="I871" s="20" t="n">
        <x:v>46157</x:v>
      </x:c>
      <x:c r="J871" t="n">
        <x:v>587</x:v>
      </x:c>
      <x:c r="K871" t="n">
        <x:v>10421.35</x:v>
      </x:c>
      <x:c r="L871" t="str">
        <x:v>空運</x:v>
      </x:c>
      <x:c r="M871" t="n">
        <x:v>2</x:v>
      </x:c>
      <x:c r="N871" t="str">
        <x:v>否</x:v>
      </x:c>
      <x:c r="O871" t="n">
        <x:v>0</x:v>
      </x:c>
      <x:c r="P871"/>
    </x:row>
    <x:row r="872" ht="20" customHeight="1">
      <x:c r="A872" t="str">
        <x:v>SH000871</x:v>
      </x:c>
      <x:c r="B872" t="str">
        <x:v>SO00602-01</x:v>
      </x:c>
      <x:c r="C872" t="str">
        <x:v>WO00871</x:v>
      </x:c>
      <x:c r="D872" t="str">
        <x:v>LOT00871</x:v>
      </x:c>
      <x:c r="E872" t="str">
        <x:v>IAT-005</x:v>
      </x:c>
      <x:c r="F872" t="str">
        <x:v>PM-ALB-A</x:v>
      </x:c>
      <x:c r="G872" s="20" t="n">
        <x:v>46155</x:v>
      </x:c>
      <x:c r="H872" s="20" t="n">
        <x:v>46154</x:v>
      </x:c>
      <x:c r="I872" s="20" t="n">
        <x:v>46155</x:v>
      </x:c>
      <x:c r="J872" t="n">
        <x:v>588</x:v>
      </x:c>
      <x:c r="K872" t="n">
        <x:v>10421.35</x:v>
      </x:c>
      <x:c r="L872" t="str">
        <x:v>空運</x:v>
      </x:c>
      <x:c r="M872" t="n">
        <x:v>0</x:v>
      </x:c>
      <x:c r="N872" t="str">
        <x:v>是</x:v>
      </x:c>
      <x:c r="O872" t="n">
        <x:v>0</x:v>
      </x:c>
      <x:c r="P872"/>
    </x:row>
    <x:row r="873" ht="20" customHeight="1">
      <x:c r="A873" t="str">
        <x:v>SH000872</x:v>
      </x:c>
      <x:c r="B873" t="str">
        <x:v>SO00606-01</x:v>
      </x:c>
      <x:c r="C873" t="str">
        <x:v>WO00876</x:v>
      </x:c>
      <x:c r="D873" t="str">
        <x:v>LOT00876</x:v>
      </x:c>
      <x:c r="E873" t="str">
        <x:v>AFT-005</x:v>
      </x:c>
      <x:c r="F873" t="str">
        <x:v>AUTO-BRK-A</x:v>
      </x:c>
      <x:c r="G873" s="20" t="n">
        <x:v>46165</x:v>
      </x:c>
      <x:c r="H873" s="20" t="n">
        <x:v>46161</x:v>
      </x:c>
      <x:c r="I873" s="20" t="n">
        <x:v>46166</x:v>
      </x:c>
      <x:c r="J873" t="n">
        <x:v>2938</x:v>
      </x:c>
      <x:c r="K873" t="n">
        <x:v>1723.09</x:v>
      </x:c>
      <x:c r="L873" t="str">
        <x:v>海運</x:v>
      </x:c>
      <x:c r="M873" t="n">
        <x:v>1</x:v>
      </x:c>
      <x:c r="N873" t="str">
        <x:v>否</x:v>
      </x:c>
      <x:c r="O873" t="n">
        <x:v>0</x:v>
      </x:c>
      <x:c r="P873"/>
    </x:row>
    <x:row r="874" ht="20" customHeight="1">
      <x:c r="A874" t="str">
        <x:v>SH000873</x:v>
      </x:c>
      <x:c r="B874" t="str">
        <x:v>SO00607-01</x:v>
      </x:c>
      <x:c r="C874" t="str">
        <x:v>WO00878</x:v>
      </x:c>
      <x:c r="D874" t="str">
        <x:v>LOT00878</x:v>
      </x:c>
      <x:c r="E874" t="str">
        <x:v>EMS-003</x:v>
      </x:c>
      <x:c r="F874" t="str">
        <x:v>AUTO-FL-A</x:v>
      </x:c>
      <x:c r="G874" s="20" t="n">
        <x:v>46180</x:v>
      </x:c>
      <x:c r="H874" s="20" t="n">
        <x:v>46178</x:v>
      </x:c>
      <x:c r="I874" s="20" t="n">
        <x:v>46181</x:v>
      </x:c>
      <x:c r="J874" t="n">
        <x:v>4987</x:v>
      </x:c>
      <x:c r="K874" t="n">
        <x:v>1329.43</x:v>
      </x:c>
      <x:c r="L874" t="str">
        <x:v>海運</x:v>
      </x:c>
      <x:c r="M874" t="n">
        <x:v>1</x:v>
      </x:c>
      <x:c r="N874" t="str">
        <x:v>否</x:v>
      </x:c>
      <x:c r="O874" t="n">
        <x:v>0</x:v>
      </x:c>
      <x:c r="P874"/>
    </x:row>
    <x:row r="875" ht="20" customHeight="1">
      <x:c r="A875" t="str">
        <x:v>SH000874</x:v>
      </x:c>
      <x:c r="B875" t="str">
        <x:v>SO00607-01</x:v>
      </x:c>
      <x:c r="C875" t="str">
        <x:v>WO00877</x:v>
      </x:c>
      <x:c r="D875" t="str">
        <x:v>LOT00877</x:v>
      </x:c>
      <x:c r="E875" t="str">
        <x:v>EMS-003</x:v>
      </x:c>
      <x:c r="F875" t="str">
        <x:v>AUTO-FL-A</x:v>
      </x:c>
      <x:c r="G875" s="20" t="n">
        <x:v>46180</x:v>
      </x:c>
      <x:c r="H875" s="20" t="n">
        <x:v>46179</x:v>
      </x:c>
      <x:c r="I875" s="20" t="n">
        <x:v>46182</x:v>
      </x:c>
      <x:c r="J875" t="n">
        <x:v>4946</x:v>
      </x:c>
      <x:c r="K875" t="n">
        <x:v>1329.43</x:v>
      </x:c>
      <x:c r="L875" t="str">
        <x:v>海運</x:v>
      </x:c>
      <x:c r="M875" t="n">
        <x:v>2</x:v>
      </x:c>
      <x:c r="N875" t="str">
        <x:v>否</x:v>
      </x:c>
      <x:c r="O875" t="n">
        <x:v>0</x:v>
      </x:c>
      <x:c r="P875"/>
    </x:row>
    <x:row r="876" ht="20" customHeight="1">
      <x:c r="A876" t="str">
        <x:v>SH000875</x:v>
      </x:c>
      <x:c r="B876" t="str">
        <x:v>SO00611-01</x:v>
      </x:c>
      <x:c r="C876" t="str">
        <x:v>WO00885</x:v>
      </x:c>
      <x:c r="D876" t="str">
        <x:v>LOT00885</x:v>
      </x:c>
      <x:c r="E876" t="str">
        <x:v>SEM-006</x:v>
      </x:c>
      <x:c r="F876" t="str">
        <x:v>PM-ALB-B</x:v>
      </x:c>
      <x:c r="G876" s="20" t="n">
        <x:v>46199</x:v>
      </x:c>
      <x:c r="H876" s="20" t="n">
        <x:v>46198</x:v>
      </x:c>
      <x:c r="I876" s="20" t="n">
        <x:v>46200</x:v>
      </x:c>
      <x:c r="J876" t="n">
        <x:v>591</x:v>
      </x:c>
      <x:c r="K876" t="n">
        <x:v>15990.35</x:v>
      </x:c>
      <x:c r="L876" t="str">
        <x:v>海運</x:v>
      </x:c>
      <x:c r="M876" t="n">
        <x:v>1</x:v>
      </x:c>
      <x:c r="N876" t="str">
        <x:v>否</x:v>
      </x:c>
      <x:c r="O876" t="n">
        <x:v>0</x:v>
      </x:c>
      <x:c r="P876"/>
    </x:row>
    <x:row r="877" ht="20" customHeight="1">
      <x:c r="A877" t="str">
        <x:v>SH000876</x:v>
      </x:c>
      <x:c r="B877" t="str">
        <x:v>SO00611-01</x:v>
      </x:c>
      <x:c r="C877" t="str">
        <x:v>WO00884</x:v>
      </x:c>
      <x:c r="D877" t="str">
        <x:v>LOT00884</x:v>
      </x:c>
      <x:c r="E877" t="str">
        <x:v>SEM-006</x:v>
      </x:c>
      <x:c r="F877" t="str">
        <x:v>PM-ALB-B</x:v>
      </x:c>
      <x:c r="G877" s="20" t="n">
        <x:v>46199</x:v>
      </x:c>
      <x:c r="H877" s="20" t="n">
        <x:v>46203</x:v>
      </x:c>
      <x:c r="I877" s="20" t="n">
        <x:v>46208</x:v>
      </x:c>
      <x:c r="J877" t="n">
        <x:v>587</x:v>
      </x:c>
      <x:c r="K877" t="n">
        <x:v>15990.35</x:v>
      </x:c>
      <x:c r="L877" t="str">
        <x:v>空運</x:v>
      </x:c>
      <x:c r="M877" t="n">
        <x:v>9</x:v>
      </x:c>
      <x:c r="N877" t="str">
        <x:v>否</x:v>
      </x:c>
      <x:c r="O877" t="n">
        <x:v>0</x:v>
      </x:c>
      <x:c r="P877"/>
    </x:row>
    <x:row r="878" ht="20" customHeight="1">
      <x:c r="A878" t="str">
        <x:v>SH000877</x:v>
      </x:c>
      <x:c r="B878" t="str">
        <x:v>SO00612-01</x:v>
      </x:c>
      <x:c r="C878" t="str">
        <x:v>WO00886</x:v>
      </x:c>
      <x:c r="D878" t="str">
        <x:v>LOT00886</x:v>
      </x:c>
      <x:c r="E878" t="str">
        <x:v>EMS-005</x:v>
      </x:c>
      <x:c r="F878" t="str">
        <x:v>SEMI-CHB-B</x:v>
      </x:c>
      <x:c r="G878" s="20" t="n">
        <x:v>46213</x:v>
      </x:c>
      <x:c r="H878" s="20" t="n">
        <x:v>46218</x:v>
      </x:c>
      <x:c r="I878" s="20" t="n">
        <x:v>46223</x:v>
      </x:c>
      <x:c r="J878" t="n">
        <x:v>39</x:v>
      </x:c>
      <x:c r="K878" t="n">
        <x:v>143267.02</x:v>
      </x:c>
      <x:c r="L878" t="str">
        <x:v>陸運</x:v>
      </x:c>
      <x:c r="M878" t="n">
        <x:v>10</x:v>
      </x:c>
      <x:c r="N878" t="str">
        <x:v>否</x:v>
      </x:c>
      <x:c r="O878" t="n">
        <x:v>0</x:v>
      </x:c>
      <x:c r="P878"/>
    </x:row>
    <x:row r="879" ht="20" customHeight="1">
      <x:c r="A879" t="str">
        <x:v>SH000878</x:v>
      </x:c>
      <x:c r="B879" t="str">
        <x:v>SO00614-01</x:v>
      </x:c>
      <x:c r="C879" t="str">
        <x:v>WO00890</x:v>
      </x:c>
      <x:c r="D879" t="str">
        <x:v>LOT00890</x:v>
      </x:c>
      <x:c r="E879" t="str">
        <x:v>EMS-001</x:v>
      </x:c>
      <x:c r="F879" t="str">
        <x:v>PM-ALB-B</x:v>
      </x:c>
      <x:c r="G879" s="20" t="n">
        <x:v>46184</x:v>
      </x:c>
      <x:c r="H879" s="20" t="n">
        <x:v>46178</x:v>
      </x:c>
      <x:c r="I879" s="20" t="n">
        <x:v>46182</x:v>
      </x:c>
      <x:c r="J879" t="n">
        <x:v>790</x:v>
      </x:c>
      <x:c r="K879" t="n">
        <x:v>15910.05</x:v>
      </x:c>
      <x:c r="L879" t="str">
        <x:v>海運</x:v>
      </x:c>
      <x:c r="M879" t="n">
        <x:v>0</x:v>
      </x:c>
      <x:c r="N879" t="str">
        <x:v>是</x:v>
      </x:c>
      <x:c r="O879" t="n">
        <x:v>0</x:v>
      </x:c>
      <x:c r="P879"/>
    </x:row>
    <x:row r="880" ht="20" customHeight="1">
      <x:c r="A880" t="str">
        <x:v>SH000879</x:v>
      </x:c>
      <x:c r="B880" t="str">
        <x:v>SO00614-01</x:v>
      </x:c>
      <x:c r="C880" t="str">
        <x:v>WO00889</x:v>
      </x:c>
      <x:c r="D880" t="str">
        <x:v>LOT00889</x:v>
      </x:c>
      <x:c r="E880" t="str">
        <x:v>EMS-001</x:v>
      </x:c>
      <x:c r="F880" t="str">
        <x:v>PM-ALB-B</x:v>
      </x:c>
      <x:c r="G880" s="20" t="n">
        <x:v>46184</x:v>
      </x:c>
      <x:c r="H880" s="20" t="n">
        <x:v>46181</x:v>
      </x:c>
      <x:c r="I880" s="20" t="n">
        <x:v>46182</x:v>
      </x:c>
      <x:c r="J880" t="n">
        <x:v>791</x:v>
      </x:c>
      <x:c r="K880" t="n">
        <x:v>15910.05</x:v>
      </x:c>
      <x:c r="L880" t="str">
        <x:v>陸運</x:v>
      </x:c>
      <x:c r="M880" t="n">
        <x:v>0</x:v>
      </x:c>
      <x:c r="N880" t="str">
        <x:v>是</x:v>
      </x:c>
      <x:c r="O880" t="n">
        <x:v>0</x:v>
      </x:c>
      <x:c r="P880"/>
    </x:row>
    <x:row r="881" ht="20" customHeight="1">
      <x:c r="A881" t="str">
        <x:v>SH000880</x:v>
      </x:c>
      <x:c r="B881" t="str">
        <x:v>SO00616-01</x:v>
      </x:c>
      <x:c r="C881" t="str">
        <x:v>WO00892</x:v>
      </x:c>
      <x:c r="D881" t="str">
        <x:v>LOT00892</x:v>
      </x:c>
      <x:c r="E881" t="str">
        <x:v>AUT-007</x:v>
      </x:c>
      <x:c r="F881" t="str">
        <x:v>PM-VAC-B</x:v>
      </x:c>
      <x:c r="G881" s="20" t="n">
        <x:v>46201</x:v>
      </x:c>
      <x:c r="H881" s="20" t="n">
        <x:v>46199</x:v>
      </x:c>
      <x:c r="I881" s="20" t="n">
        <x:v>46204</x:v>
      </x:c>
      <x:c r="J881" t="n">
        <x:v>792</x:v>
      </x:c>
      <x:c r="K881" t="n">
        <x:v>21855.58</x:v>
      </x:c>
      <x:c r="L881" t="str">
        <x:v>海運</x:v>
      </x:c>
      <x:c r="M881" t="n">
        <x:v>3</x:v>
      </x:c>
      <x:c r="N881" t="str">
        <x:v>否</x:v>
      </x:c>
      <x:c r="O881" t="n">
        <x:v>0</x:v>
      </x:c>
      <x:c r="P88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</x:cols>
  <x:sheetData>
    <x:row r="1" ht="20" customHeight="1">
      <x:c r="A1" s="14" t="str">
        <x:v>工單ID</x:v>
      </x:c>
      <x:c r="B1" s="14" t="str">
        <x:v>生產批號</x:v>
      </x:c>
      <x:c r="C1" s="14" t="str">
        <x:v>SKU</x:v>
      </x:c>
      <x:c r="D1" s="14" t="str">
        <x:v>完工數量</x:v>
      </x:c>
      <x:c r="E1" s="14" t="str">
        <x:v>材料成本_TWD</x:v>
      </x:c>
      <x:c r="F1" s="14" t="str">
        <x:v>CNC加工工時_hr</x:v>
      </x:c>
      <x:c r="G1" s="14" t="str">
        <x:v>組裝工時_hr</x:v>
      </x:c>
      <x:c r="H1" s="14" t="str">
        <x:v>測試工時_hr</x:v>
      </x:c>
      <x:c r="I1" s="14" t="str">
        <x:v>換線工時_hr</x:v>
      </x:c>
      <x:c r="J1" s="14" t="str">
        <x:v>人工成本_TWD</x:v>
      </x:c>
      <x:c r="K1" s="14" t="str">
        <x:v>委外成本_TWD</x:v>
      </x:c>
      <x:c r="L1" s="14" t="str">
        <x:v>製造費_TWD</x:v>
      </x:c>
      <x:c r="M1" s="14" t="str">
        <x:v>實際製造成本_TWD</x:v>
      </x:c>
      <x:c r="N1" s="14" t="str">
        <x:v>單位標準成本_TWD</x:v>
      </x:c>
      <x:c r="O1" s="14" t="str">
        <x:v>標準製造成本_TWD</x:v>
      </x:c>
      <x:c r="P1" s="14" t="str">
        <x:v>成本差異率</x:v>
      </x:c>
      <x:c r="Q1" s="14" t="str">
        <x:v>結算日期</x:v>
      </x:c>
    </x:row>
    <x:row r="2" ht="20" customHeight="1">
      <x:c r="A2" t="str">
        <x:v>WO00023</x:v>
      </x:c>
      <x:c r="B2" t="str">
        <x:v>LOT00023</x:v>
      </x:c>
      <x:c r="C2" t="str">
        <x:v>MECH-CON-A</x:v>
      </x:c>
      <x:c r="D2" t="n">
        <x:v>20</x:v>
      </x:c>
      <x:c r="E2" t="n">
        <x:v>1002141.83</x:v>
      </x:c>
      <x:c r="F2" t="n">
        <x:v>1728.12</x:v>
      </x:c>
      <x:c r="G2" t="n">
        <x:v>5273.63</x:v>
      </x:c>
      <x:c r="H2" t="n">
        <x:v>3598.24</x:v>
      </x:c>
      <x:c r="I2" t="n">
        <x:v>3.34</x:v>
      </x:c>
      <x:c r="J2" t="n">
        <x:v>5592720.8</x:v>
      </x:c>
      <x:c r="K2" t="n">
        <x:v>108925.34</x:v>
      </x:c>
      <x:c r="L2" t="n">
        <x:v>2288132</x:v>
      </x:c>
      <x:c r="M2" t="n">
        <x:f>SUM(E2,J2:L2)</x:f>
        <x:v>8991919.969999999</x:v>
      </x:c>
      <x:c r="N2" t="n">
        <x:v>83000</x:v>
      </x:c>
      <x:c r="O2" t="n">
        <x:f>D2*N2</x:f>
        <x:v>1660000</x:v>
      </x:c>
      <x:c r="P2" s="22" t="n">
        <x:f>IF(O2=0,0,(M2-O2)/O2)</x:f>
        <x:v>4.416819259036144</x:v>
      </x:c>
      <x:c r="Q2" s="20" t="n">
        <x:v>45211</x:v>
      </x:c>
    </x:row>
    <x:row r="3" ht="20" customHeight="1">
      <x:c r="A3" t="str">
        <x:v>WO00007</x:v>
      </x:c>
      <x:c r="B3" t="str">
        <x:v>LOT00007</x:v>
      </x:c>
      <x:c r="C3" t="str">
        <x:v>PM-BRG-B</x:v>
      </x:c>
      <x:c r="D3" t="n">
        <x:v>584</x:v>
      </x:c>
      <x:c r="E3" t="n">
        <x:v>1805734</x:v>
      </x:c>
      <x:c r="F3" t="n">
        <x:v>5.19</x:v>
      </x:c>
      <x:c r="G3" t="n">
        <x:v>0</x:v>
      </x:c>
      <x:c r="H3" t="n">
        <x:v>1.24</x:v>
      </x:c>
      <x:c r="I3" t="n">
        <x:v>1.62</x:v>
      </x:c>
      <x:c r="J3" t="n">
        <x:v>3968.7</x:v>
      </x:c>
      <x:c r="K3" t="n">
        <x:v>160688.72</x:v>
      </x:c>
      <x:c r="L3" t="n">
        <x:v>2656.6</x:v>
      </x:c>
      <x:c r="M3" t="n">
        <x:f>SUM(E3,J3:L3)</x:f>
        <x:v>1973048.02</x:v>
      </x:c>
      <x:c r="N3" t="n">
        <x:v>5400</x:v>
      </x:c>
      <x:c r="O3" t="n">
        <x:f>D3*N3</x:f>
        <x:v>3153600</x:v>
      </x:c>
      <x:c r="P3" s="22" t="n">
        <x:f>IF(O3=0,0,(M3-O3)/O3)</x:f>
        <x:v>-0.3743505771182141</x:v>
      </x:c>
      <x:c r="Q3" s="20" t="n">
        <x:v>45199</x:v>
      </x:c>
    </x:row>
    <x:row r="4" ht="20" customHeight="1">
      <x:c r="A4" t="str">
        <x:v>WO00029</x:v>
      </x:c>
      <x:c r="B4" t="str">
        <x:v>LOT00029</x:v>
      </x:c>
      <x:c r="C4" t="str">
        <x:v>SEMI-WH-A</x:v>
      </x:c>
      <x:c r="D4" t="n">
        <x:v>78</x:v>
      </x:c>
      <x:c r="E4" t="n">
        <x:v>4449787.98</x:v>
      </x:c>
      <x:c r="F4" t="n">
        <x:v>1.99</x:v>
      </x:c>
      <x:c r="G4" t="n">
        <x:v>0</x:v>
      </x:c>
      <x:c r="H4" t="n">
        <x:v>0.67</x:v>
      </x:c>
      <x:c r="I4" t="n">
        <x:v>2.72</x:v>
      </x:c>
      <x:c r="J4" t="n">
        <x:v>1615.1</x:v>
      </x:c>
      <x:c r="K4" t="n">
        <x:v>553824.76</x:v>
      </x:c>
      <x:c r="L4" t="n">
        <x:v>1679.4</x:v>
      </x:c>
      <x:c r="M4" t="n">
        <x:f>SUM(E4,J4:L4)</x:f>
        <x:v>5006907.24</x:v>
      </x:c>
      <x:c r="N4" t="n">
        <x:v>88000</x:v>
      </x:c>
      <x:c r="O4" t="n">
        <x:f>D4*N4</x:f>
        <x:v>6864000</x:v>
      </x:c>
      <x:c r="P4" s="22" t="n">
        <x:f>IF(O4=0,0,(M4-O4)/O4)</x:f>
        <x:v>-0.270555472027972</x:v>
      </x:c>
      <x:c r="Q4" s="20" t="n">
        <x:v>45221</x:v>
      </x:c>
    </x:row>
    <x:row r="5" ht="20" customHeight="1">
      <x:c r="A5" t="str">
        <x:v>WO00006</x:v>
      </x:c>
      <x:c r="B5" t="str">
        <x:v>LOT00006</x:v>
      </x:c>
      <x:c r="C5" t="str">
        <x:v>PM-BRG-B</x:v>
      </x:c>
      <x:c r="D5" t="n">
        <x:v>591</x:v>
      </x:c>
      <x:c r="E5" t="n">
        <x:v>1857834.02</x:v>
      </x:c>
      <x:c r="F5" t="n">
        <x:v>5.43</x:v>
      </x:c>
      <x:c r="G5" t="n">
        <x:v>0</x:v>
      </x:c>
      <x:c r="H5" t="n">
        <x:v>1.11</x:v>
      </x:c>
      <x:c r="I5" t="n">
        <x:v>1.61</x:v>
      </x:c>
      <x:c r="J5" t="n">
        <x:v>4062.3</x:v>
      </x:c>
      <x:c r="K5" t="n">
        <x:v>164588.15</x:v>
      </x:c>
      <x:c r="L5" t="n">
        <x:v>2724</x:v>
      </x:c>
      <x:c r="M5" t="n">
        <x:f>SUM(E5,J5:L5)</x:f>
        <x:v>2029208.47</x:v>
      </x:c>
      <x:c r="N5" t="n">
        <x:v>5400</x:v>
      </x:c>
      <x:c r="O5" t="n">
        <x:f>D5*N5</x:f>
        <x:v>3191400</x:v>
      </x:c>
      <x:c r="P5" s="22" t="n">
        <x:f>IF(O5=0,0,(M5-O5)/O5)</x:f>
        <x:v>-0.36416354264586076</x:v>
      </x:c>
      <x:c r="Q5" s="20" t="n">
        <x:v>45205</x:v>
      </x:c>
    </x:row>
    <x:row r="6" ht="20" customHeight="1">
      <x:c r="A6" t="str">
        <x:v>WO00030</x:v>
      </x:c>
      <x:c r="B6" t="str">
        <x:v>LOT00030</x:v>
      </x:c>
      <x:c r="C6" t="str">
        <x:v>SEMI-WH-A</x:v>
      </x:c>
      <x:c r="D6" t="n">
        <x:v>78</x:v>
      </x:c>
      <x:c r="E6" t="n">
        <x:v>4254163.99</x:v>
      </x:c>
      <x:c r="F6" t="n">
        <x:v>2</x:v>
      </x:c>
      <x:c r="G6" t="n">
        <x:v>0</x:v>
      </x:c>
      <x:c r="H6" t="n">
        <x:v>0.82</x:v>
      </x:c>
      <x:c r="I6" t="n">
        <x:v>2.65</x:v>
      </x:c>
      <x:c r="J6" t="n">
        <x:v>1693.6</x:v>
      </x:c>
      <x:c r="K6" t="n">
        <x:v>593083.43</x:v>
      </x:c>
      <x:c r="L6" t="n">
        <x:v>1686.2</x:v>
      </x:c>
      <x:c r="M6" t="n">
        <x:f>SUM(E6,J6:L6)</x:f>
        <x:v>4850627.220000001</x:v>
      </x:c>
      <x:c r="N6" t="n">
        <x:v>88000</x:v>
      </x:c>
      <x:c r="O6" t="n">
        <x:f>D6*N6</x:f>
        <x:v>6864000</x:v>
      </x:c>
      <x:c r="P6" s="22" t="n">
        <x:f>IF(O6=0,0,(M6-O6)/O6)</x:f>
        <x:v>-0.2933235402097901</x:v>
      </x:c>
      <x:c r="Q6" s="20" t="n">
        <x:v>45229</x:v>
      </x:c>
    </x:row>
    <x:row r="7" ht="20" customHeight="1">
      <x:c r="A7" t="str">
        <x:v>WO00004</x:v>
      </x:c>
      <x:c r="B7" t="str">
        <x:v>LOT00004</x:v>
      </x:c>
      <x:c r="C7" t="str">
        <x:v>PM-SUS-A</x:v>
      </x:c>
      <x:c r="D7" t="n">
        <x:v>583</x:v>
      </x:c>
      <x:c r="E7" t="n">
        <x:v>2633924.82</x:v>
      </x:c>
      <x:c r="F7" t="n">
        <x:v>4.87</x:v>
      </x:c>
      <x:c r="G7" t="n">
        <x:v>0</x:v>
      </x:c>
      <x:c r="H7" t="n">
        <x:v>1.06</x:v>
      </x:c>
      <x:c r="I7" t="n">
        <x:v>1.72</x:v>
      </x:c>
      <x:c r="J7" t="n">
        <x:v>3674.3</x:v>
      </x:c>
      <x:c r="K7" t="n">
        <x:v>317466.84</x:v>
      </x:c>
      <x:c r="L7" t="n">
        <x:v>2536.2</x:v>
      </x:c>
      <x:c r="M7" t="n">
        <x:f>SUM(E7,J7:L7)</x:f>
        <x:v>2957602.1599999997</x:v>
      </x:c>
      <x:c r="N7" t="n">
        <x:v>7500</x:v>
      </x:c>
      <x:c r="O7" t="n">
        <x:f>D7*N7</x:f>
        <x:v>4372500</x:v>
      </x:c>
      <x:c r="P7" s="22" t="n">
        <x:f>IF(O7=0,0,(M7-O7)/O7)</x:f>
        <x:v>-0.32359012921669533</x:v>
      </x:c>
      <x:c r="Q7" s="20" t="n">
        <x:v>45208</x:v>
      </x:c>
    </x:row>
    <x:row r="8" ht="20" customHeight="1">
      <x:c r="A8" t="str">
        <x:v>WO00003</x:v>
      </x:c>
      <x:c r="B8" t="str">
        <x:v>LOT00003</x:v>
      </x:c>
      <x:c r="C8" t="str">
        <x:v>PM-SUS-A</x:v>
      </x:c>
      <x:c r="D8" t="n">
        <x:v>590</x:v>
      </x:c>
      <x:c r="E8" t="n">
        <x:v>2549647.39</x:v>
      </x:c>
      <x:c r="F8" t="n">
        <x:v>5.08</x:v>
      </x:c>
      <x:c r="G8" t="n">
        <x:v>0</x:v>
      </x:c>
      <x:c r="H8" t="n">
        <x:v>0.97</x:v>
      </x:c>
      <x:c r="I8" t="n">
        <x:v>1.53</x:v>
      </x:c>
      <x:c r="J8" t="n">
        <x:v>3767.6</x:v>
      </x:c>
      <x:c r="K8" t="n">
        <x:v>299722.86</x:v>
      </x:c>
      <x:c r="L8" t="n">
        <x:v>2544.6</x:v>
      </x:c>
      <x:c r="M8" t="n">
        <x:f>SUM(E8,J8:L8)</x:f>
        <x:v>2855682.45</x:v>
      </x:c>
      <x:c r="N8" t="n">
        <x:v>7500</x:v>
      </x:c>
      <x:c r="O8" t="n">
        <x:f>D8*N8</x:f>
        <x:v>4425000</x:v>
      </x:c>
      <x:c r="P8" s="22" t="n">
        <x:f>IF(O8=0,0,(M8-O8)/O8)</x:f>
        <x:v>-0.354648033898305</x:v>
      </x:c>
      <x:c r="Q8" s="20" t="n">
        <x:v>45205</x:v>
      </x:c>
    </x:row>
    <x:row r="9" ht="20" customHeight="1">
      <x:c r="A9" t="str">
        <x:v>WO00019</x:v>
      </x:c>
      <x:c r="B9" t="str">
        <x:v>LOT00019</x:v>
      </x:c>
      <x:c r="C9" t="str">
        <x:v>MECH-STG-A</x:v>
      </x:c>
      <x:c r="D9" t="n">
        <x:v>17</x:v>
      </x:c>
      <x:c r="E9" t="n">
        <x:v>1125922.67</x:v>
      </x:c>
      <x:c r="F9" t="n">
        <x:v>1317.15</x:v>
      </x:c>
      <x:c r="G9" t="n">
        <x:v>4273.48</x:v>
      </x:c>
      <x:c r="H9" t="n">
        <x:v>2961.53</x:v>
      </x:c>
      <x:c r="I9" t="n">
        <x:v>3.26</x:v>
      </x:c>
      <x:c r="J9" t="n">
        <x:v>4499891.5</x:v>
      </x:c>
      <x:c r="K9" t="n">
        <x:v>92428.69</x:v>
      </x:c>
      <x:c r="L9" t="n">
        <x:v>1830035.8</x:v>
      </x:c>
      <x:c r="M9" t="n">
        <x:f>SUM(E9,J9:L9)</x:f>
        <x:v>7548278.66</x:v>
      </x:c>
      <x:c r="N9" t="n">
        <x:v>104000</x:v>
      </x:c>
      <x:c r="O9" t="n">
        <x:f>D9*N9</x:f>
        <x:v>1768000</x:v>
      </x:c>
      <x:c r="P9" s="22" t="n">
        <x:f>IF(O9=0,0,(M9-O9)/O9)</x:f>
        <x:v>3.269388382352941</x:v>
      </x:c>
      <x:c r="Q9" s="20" t="n">
        <x:v>45220</x:v>
      </x:c>
    </x:row>
    <x:row r="10" ht="20" customHeight="1">
      <x:c r="A10" t="str">
        <x:v>WO00020</x:v>
      </x:c>
      <x:c r="B10" t="str">
        <x:v>LOT00020</x:v>
      </x:c>
      <x:c r="C10" t="str">
        <x:v>MECH-STG-A</x:v>
      </x:c>
      <x:c r="D10" t="n">
        <x:v>17</x:v>
      </x:c>
      <x:c r="E10" t="n">
        <x:v>1143072.49</x:v>
      </x:c>
      <x:c r="F10" t="n">
        <x:v>1185.93</x:v>
      </x:c>
      <x:c r="G10" t="n">
        <x:v>4805.15</x:v>
      </x:c>
      <x:c r="H10" t="n">
        <x:v>3276.98</x:v>
      </x:c>
      <x:c r="I10" t="n">
        <x:v>2.95</x:v>
      </x:c>
      <x:c r="J10" t="n">
        <x:v>4842482.9</x:v>
      </x:c>
      <x:c r="K10" t="n">
        <x:v>106866.06</x:v>
      </x:c>
      <x:c r="L10" t="n">
        <x:v>1936885.2</x:v>
      </x:c>
      <x:c r="M10" t="n">
        <x:f>SUM(E10,J10:L10)</x:f>
        <x:v>8029306.65</x:v>
      </x:c>
      <x:c r="N10" t="n">
        <x:v>104000</x:v>
      </x:c>
      <x:c r="O10" t="n">
        <x:f>D10*N10</x:f>
        <x:v>1768000</x:v>
      </x:c>
      <x:c r="P10" s="22" t="n">
        <x:f>IF(O10=0,0,(M10-O10)/O10)</x:f>
        <x:v>3.541463037330317</x:v>
      </x:c>
      <x:c r="Q10" s="20" t="n">
        <x:v>45223</x:v>
      </x:c>
    </x:row>
    <x:row r="11" ht="20" customHeight="1">
      <x:c r="A11" t="str">
        <x:v>WO00021</x:v>
      </x:c>
      <x:c r="B11" t="str">
        <x:v>LOT00021</x:v>
      </x:c>
      <x:c r="C11" t="str">
        <x:v>MECH-STG-A</x:v>
      </x:c>
      <x:c r="D11" t="n">
        <x:v>16</x:v>
      </x:c>
      <x:c r="E11" t="n">
        <x:v>1086548.19</x:v>
      </x:c>
      <x:c r="F11" t="n">
        <x:v>1387.1</x:v>
      </x:c>
      <x:c r="G11" t="n">
        <x:v>4067.86</x:v>
      </x:c>
      <x:c r="H11" t="n">
        <x:v>2926.55</x:v>
      </x:c>
      <x:c r="I11" t="n">
        <x:v>2.72</x:v>
      </x:c>
      <x:c r="J11" t="n">
        <x:v>4421646.2</x:v>
      </x:c>
      <x:c r="K11" t="n">
        <x:v>98248.25</x:v>
      </x:c>
      <x:c r="L11" t="n">
        <x:v>1809734</x:v>
      </x:c>
      <x:c r="M11" t="n">
        <x:f>SUM(E11,J11:L11)</x:f>
        <x:v>7416176.640000001</x:v>
      </x:c>
      <x:c r="N11" t="n">
        <x:v>104000</x:v>
      </x:c>
      <x:c r="O11" t="n">
        <x:f>D11*N11</x:f>
        <x:v>1664000</x:v>
      </x:c>
      <x:c r="P11" s="22" t="n">
        <x:f>IF(O11=0,0,(M11-O11)/O11)</x:f>
        <x:v>3.4568369230769234</x:v>
      </x:c>
      <x:c r="Q11" s="20" t="n">
        <x:v>45225</x:v>
      </x:c>
    </x:row>
    <x:row r="12" ht="20" customHeight="1">
      <x:c r="A12" t="str">
        <x:v>WO00016</x:v>
      </x:c>
      <x:c r="B12" t="str">
        <x:v>LOT00016</x:v>
      </x:c>
      <x:c r="C12" t="str">
        <x:v>MECH-CON-B</x:v>
      </x:c>
      <x:c r="D12" t="n">
        <x:v>17</x:v>
      </x:c>
      <x:c r="E12" t="n">
        <x:v>1249290.51</x:v>
      </x:c>
      <x:c r="F12" t="n">
        <x:v>1305.26</x:v>
      </x:c>
      <x:c r="G12" t="n">
        <x:v>3876.64</x:v>
      </x:c>
      <x:c r="H12" t="n">
        <x:v>3283.18</x:v>
      </x:c>
      <x:c r="I12" t="n">
        <x:v>2.93</x:v>
      </x:c>
      <x:c r="J12" t="n">
        <x:v>4440198.2</x:v>
      </x:c>
      <x:c r="K12" t="n">
        <x:v>125834.78</x:v>
      </x:c>
      <x:c r="L12" t="n">
        <x:v>1797514.6</x:v>
      </x:c>
      <x:c r="M12" t="n">
        <x:f>SUM(E12,J12:L12)</x:f>
        <x:v>7612838.09</x:v>
      </x:c>
      <x:c r="N12" t="n">
        <x:v>119000</x:v>
      </x:c>
      <x:c r="O12" t="n">
        <x:f>D12*N12</x:f>
        <x:v>2023000</x:v>
      </x:c>
      <x:c r="P12" s="22" t="n">
        <x:f>IF(O12=0,0,(M12-O12)/O12)</x:f>
        <x:v>2.7631429016312405</x:v>
      </x:c>
      <x:c r="Q12" s="20" t="n">
        <x:v>45238</x:v>
      </x:c>
    </x:row>
    <x:row r="13" ht="20" customHeight="1">
      <x:c r="A13" t="str">
        <x:v>WO00015</x:v>
      </x:c>
      <x:c r="B13" t="str">
        <x:v>LOT00015</x:v>
      </x:c>
      <x:c r="C13" t="str">
        <x:v>MECH-CON-B</x:v>
      </x:c>
      <x:c r="D13" t="n">
        <x:v>17</x:v>
      </x:c>
      <x:c r="E13" t="n">
        <x:v>1365568.19</x:v>
      </x:c>
      <x:c r="F13" t="n">
        <x:v>1315.72</x:v>
      </x:c>
      <x:c r="G13" t="n">
        <x:v>4075.02</x:v>
      </x:c>
      <x:c r="H13" t="n">
        <x:v>3249.81</x:v>
      </x:c>
      <x:c r="I13" t="n">
        <x:v>3.01</x:v>
      </x:c>
      <x:c r="J13" t="n">
        <x:v>4534137.2</x:v>
      </x:c>
      <x:c r="K13" t="n">
        <x:v>118696.45</x:v>
      </x:c>
      <x:c r="L13" t="n">
        <x:v>1835850.2</x:v>
      </x:c>
      <x:c r="M13" t="n">
        <x:f>SUM(E13,J13:L13)</x:f>
        <x:v>7854252.040000001</x:v>
      </x:c>
      <x:c r="N13" t="n">
        <x:v>119000</x:v>
      </x:c>
      <x:c r="O13" t="n">
        <x:f>D13*N13</x:f>
        <x:v>2023000</x:v>
      </x:c>
      <x:c r="P13" s="22" t="n">
        <x:f>IF(O13=0,0,(M13-O13)/O13)</x:f>
        <x:v>2.8824775284231343</x:v>
      </x:c>
      <x:c r="Q13" s="20" t="n">
        <x:v>45234</x:v>
      </x:c>
    </x:row>
    <x:row r="14" ht="20" customHeight="1">
      <x:c r="A14" t="str">
        <x:v>WO00017</x:v>
      </x:c>
      <x:c r="B14" t="str">
        <x:v>LOT00017</x:v>
      </x:c>
      <x:c r="C14" t="str">
        <x:v>MECH-CON-B</x:v>
      </x:c>
      <x:c r="D14" t="n">
        <x:v>16</x:v>
      </x:c>
      <x:c r="E14" t="n">
        <x:v>1289622.94</x:v>
      </x:c>
      <x:c r="F14" t="n">
        <x:v>1132.64</x:v>
      </x:c>
      <x:c r="G14" t="n">
        <x:v>3885.48</x:v>
      </x:c>
      <x:c r="H14" t="n">
        <x:v>2620.3</x:v>
      </x:c>
      <x:c r="I14" t="n">
        <x:v>2.93</x:v>
      </x:c>
      <x:c r="J14" t="n">
        <x:v>4014409.6</x:v>
      </x:c>
      <x:c r="K14" t="n">
        <x:v>102876.57</x:v>
      </x:c>
      <x:c r="L14" t="n">
        <x:v>1627626.2</x:v>
      </x:c>
      <x:c r="M14" t="n">
        <x:f>SUM(E14,J14:L14)</x:f>
        <x:v>7034535.3100000005</x:v>
      </x:c>
      <x:c r="N14" t="n">
        <x:v>119000</x:v>
      </x:c>
      <x:c r="O14" t="n">
        <x:f>D14*N14</x:f>
        <x:v>1904000</x:v>
      </x:c>
      <x:c r="P14" s="22" t="n">
        <x:f>IF(O14=0,0,(M14-O14)/O14)</x:f>
        <x:v>2.6946088813025213</x:v>
      </x:c>
      <x:c r="Q14" s="20" t="n">
        <x:v>45234</x:v>
      </x:c>
    </x:row>
    <x:row r="15" ht="20" customHeight="1">
      <x:c r="A15" t="str">
        <x:v>WO00018</x:v>
      </x:c>
      <x:c r="B15" t="str">
        <x:v>LOT00018</x:v>
      </x:c>
      <x:c r="C15" t="str">
        <x:v>AUTO-BS-B</x:v>
      </x:c>
      <x:c r="D15" t="n">
        <x:v>4925</x:v>
      </x:c>
      <x:c r="E15" t="n">
        <x:v>2062616.55</x:v>
      </x:c>
      <x:c r="F15" t="n">
        <x:v>24.11</x:v>
      </x:c>
      <x:c r="G15" t="n">
        <x:v>0</x:v>
      </x:c>
      <x:c r="H15" t="n">
        <x:v>4.18</x:v>
      </x:c>
      <x:c r="I15" t="n">
        <x:v>1.13</x:v>
      </x:c>
      <x:c r="J15" t="n">
        <x:v>17677.9</x:v>
      </x:c>
      <x:c r="K15" t="n">
        <x:v>171648.96</x:v>
      </x:c>
      <x:c r="L15" t="n">
        <x:v>10169.6</x:v>
      </x:c>
      <x:c r="M15" t="n">
        <x:f>SUM(E15,J15:L15)</x:f>
        <x:v>2262113.0100000002</x:v>
      </x:c>
      <x:c r="N15" t="n">
        <x:v>650</x:v>
      </x:c>
      <x:c r="O15" t="n">
        <x:f>D15*N15</x:f>
        <x:v>3201250</x:v>
      </x:c>
      <x:c r="P15" s="22" t="n">
        <x:f>IF(O15=0,0,(M15-O15)/O15)</x:f>
        <x:v>-0.2933657133932057</x:v>
      </x:c>
      <x:c r="Q15" s="20" t="n">
        <x:v>45200</x:v>
      </x:c>
    </x:row>
    <x:row r="16" ht="20" customHeight="1">
      <x:c r="A16" t="str">
        <x:v>WO00027</x:v>
      </x:c>
      <x:c r="B16" t="str">
        <x:v>LOT00027</x:v>
      </x:c>
      <x:c r="C16" t="str">
        <x:v>SEMI-WH-A</x:v>
      </x:c>
      <x:c r="D16" t="n">
        <x:v>58</x:v>
      </x:c>
      <x:c r="E16" t="n">
        <x:v>3109332.49</x:v>
      </x:c>
      <x:c r="F16" t="n">
        <x:v>1.59</x:v>
      </x:c>
      <x:c r="G16" t="n">
        <x:v>0</x:v>
      </x:c>
      <x:c r="H16" t="n">
        <x:v>0.58</x:v>
      </x:c>
      <x:c r="I16" t="n">
        <x:v>2.85</x:v>
      </x:c>
      <x:c r="J16" t="n">
        <x:v>1311.9</x:v>
      </x:c>
      <x:c r="K16" t="n">
        <x:v>405811.27</x:v>
      </x:c>
      <x:c r="L16" t="n">
        <x:v>1552</x:v>
      </x:c>
      <x:c r="M16" t="n">
        <x:f>SUM(E16,J16:L16)</x:f>
        <x:v>3518007.66</x:v>
      </x:c>
      <x:c r="N16" t="n">
        <x:v>88000</x:v>
      </x:c>
      <x:c r="O16" t="n">
        <x:f>D16*N16</x:f>
        <x:v>5104000</x:v>
      </x:c>
      <x:c r="P16" s="22" t="n">
        <x:f>IF(O16=0,0,(M16-O16)/O16)</x:f>
        <x:v>-0.31073517633228837</x:v>
      </x:c>
      <x:c r="Q16" s="20" t="n">
        <x:v>45238</x:v>
      </x:c>
    </x:row>
    <x:row r="17" ht="20" customHeight="1">
      <x:c r="A17" t="str">
        <x:v>WO00012</x:v>
      </x:c>
      <x:c r="B17" t="str">
        <x:v>LOT00012</x:v>
      </x:c>
      <x:c r="C17" t="str">
        <x:v>PM-SUS-A</x:v>
      </x:c>
      <x:c r="D17" t="n">
        <x:v>782</x:v>
      </x:c>
      <x:c r="E17" t="n">
        <x:v>3619689.72</x:v>
      </x:c>
      <x:c r="F17" t="n">
        <x:v>6.78</x:v>
      </x:c>
      <x:c r="G17" t="n">
        <x:v>0</x:v>
      </x:c>
      <x:c r="H17" t="n">
        <x:v>1.27</x:v>
      </x:c>
      <x:c r="I17" t="n">
        <x:v>1.85</x:v>
      </x:c>
      <x:c r="J17" t="n">
        <x:v>5016.6</x:v>
      </x:c>
      <x:c r="K17" t="n">
        <x:v>426830.32</x:v>
      </x:c>
      <x:c r="L17" t="n">
        <x:v>3334.6</x:v>
      </x:c>
      <x:c r="M17" t="n">
        <x:f>SUM(E17,J17:L17)</x:f>
        <x:v>4054871.24</x:v>
      </x:c>
      <x:c r="N17" t="n">
        <x:v>7500</x:v>
      </x:c>
      <x:c r="O17" t="n">
        <x:f>D17*N17</x:f>
        <x:v>5865000</x:v>
      </x:c>
      <x:c r="P17" s="22" t="n">
        <x:f>IF(O17=0,0,(M17-O17)/O17)</x:f>
        <x:v>-0.30863235464620625</x:v>
      </x:c>
      <x:c r="Q17" s="20" t="n">
        <x:v>45221</x:v>
      </x:c>
    </x:row>
    <x:row r="18" ht="20" customHeight="1">
      <x:c r="A18" t="str">
        <x:v>WO00031</x:v>
      </x:c>
      <x:c r="B18" t="str">
        <x:v>LOT00031</x:v>
      </x:c>
      <x:c r="C18" t="str">
        <x:v>AUTO-KN-B</x:v>
      </x:c>
      <x:c r="D18" t="n">
        <x:v>6984</x:v>
      </x:c>
      <x:c r="E18" t="n">
        <x:v>12757402.42</x:v>
      </x:c>
      <x:c r="F18" t="n">
        <x:v>32.86</x:v>
      </x:c>
      <x:c r="G18" t="n">
        <x:v>0</x:v>
      </x:c>
      <x:c r="H18" t="n">
        <x:v>4.95</x:v>
      </x:c>
      <x:c r="I18" t="n">
        <x:v>1.22</x:v>
      </x:c>
      <x:c r="J18" t="n">
        <x:v>23735</x:v>
      </x:c>
      <x:c r="K18" t="n">
        <x:v>819242.56</x:v>
      </x:c>
      <x:c r="L18" t="n">
        <x:v>13644.8</x:v>
      </x:c>
      <x:c r="M18" t="n">
        <x:f>SUM(E18,J18:L18)</x:f>
        <x:v>13614024.78</x:v>
      </x:c>
      <x:c r="N18" t="n">
        <x:v>2590</x:v>
      </x:c>
      <x:c r="O18" t="n">
        <x:f>D18*N18</x:f>
        <x:v>18088560</x:v>
      </x:c>
      <x:c r="P18" s="22" t="n">
        <x:f>IF(O18=0,0,(M18-O18)/O18)</x:f>
        <x:v>-0.24736823826772283</x:v>
      </x:c>
      <x:c r="Q18" s="20" t="n">
        <x:v>45217</x:v>
      </x:c>
    </x:row>
    <x:row r="19" ht="20" customHeight="1">
      <x:c r="A19" t="str">
        <x:v>WO00013</x:v>
      </x:c>
      <x:c r="B19" t="str">
        <x:v>LOT00013</x:v>
      </x:c>
      <x:c r="C19" t="str">
        <x:v>PM-SUS-A</x:v>
      </x:c>
      <x:c r="D19" t="n">
        <x:v>790</x:v>
      </x:c>
      <x:c r="E19" t="n">
        <x:v>3471058.17</x:v>
      </x:c>
      <x:c r="F19" t="n">
        <x:v>7.1</x:v>
      </x:c>
      <x:c r="G19" t="n">
        <x:v>0</x:v>
      </x:c>
      <x:c r="H19" t="n">
        <x:v>1.44</x:v>
      </x:c>
      <x:c r="I19" t="n">
        <x:v>1.61</x:v>
      </x:c>
      <x:c r="J19" t="n">
        <x:v>5306.2</x:v>
      </x:c>
      <x:c r="K19" t="n">
        <x:v>391996</x:v>
      </x:c>
      <x:c r="L19" t="n">
        <x:v>3411.4</x:v>
      </x:c>
      <x:c r="M19" t="n">
        <x:f>SUM(E19,J19:L19)</x:f>
        <x:v>3871771.77</x:v>
      </x:c>
      <x:c r="N19" t="n">
        <x:v>7500</x:v>
      </x:c>
      <x:c r="O19" t="n">
        <x:f>D19*N19</x:f>
        <x:v>5925000</x:v>
      </x:c>
      <x:c r="P19" s="22" t="n">
        <x:f>IF(O19=0,0,(M19-O19)/O19)</x:f>
        <x:v>-0.34653641012658226</x:v>
      </x:c>
      <x:c r="Q19" s="20" t="n">
        <x:v>45218</x:v>
      </x:c>
    </x:row>
    <x:row r="20" ht="20" customHeight="1">
      <x:c r="A20" t="str">
        <x:v>WO00022</x:v>
      </x:c>
      <x:c r="B20" t="str">
        <x:v>LOT00022</x:v>
      </x:c>
      <x:c r="C20" t="str">
        <x:v>SEMI-WH-A</x:v>
      </x:c>
      <x:c r="D20" t="n">
        <x:v>78</x:v>
      </x:c>
      <x:c r="E20" t="n">
        <x:v>4272598.9</x:v>
      </x:c>
      <x:c r="F20" t="n">
        <x:v>1.84</x:v>
      </x:c>
      <x:c r="G20" t="n">
        <x:v>0</x:v>
      </x:c>
      <x:c r="H20" t="n">
        <x:v>0.7</x:v>
      </x:c>
      <x:c r="I20" t="n">
        <x:v>2.76</x:v>
      </x:c>
      <x:c r="J20" t="n">
        <x:v>1532</x:v>
      </x:c>
      <x:c r="K20" t="n">
        <x:v>615160.08</x:v>
      </x:c>
      <x:c r="L20" t="n">
        <x:v>1639.2</x:v>
      </x:c>
      <x:c r="M20" t="n">
        <x:f>SUM(E20,J20:L20)</x:f>
        <x:v>4890930.180000001</x:v>
      </x:c>
      <x:c r="N20" t="n">
        <x:v>88000</x:v>
      </x:c>
      <x:c r="O20" t="n">
        <x:f>D20*N20</x:f>
        <x:v>6864000</x:v>
      </x:c>
      <x:c r="P20" s="22" t="n">
        <x:f>IF(O20=0,0,(M20-O20)/O20)</x:f>
        <x:v>-0.28745189685314676</x:v>
      </x:c>
      <x:c r="Q20" s="20" t="n">
        <x:v>45247</x:v>
      </x:c>
    </x:row>
    <x:row r="21" ht="20" customHeight="1">
      <x:c r="A21" t="str">
        <x:v>WO00024</x:v>
      </x:c>
      <x:c r="B21" t="str">
        <x:v>LOT00024</x:v>
      </x:c>
      <x:c r="C21" t="str">
        <x:v>AUTO-BS-B</x:v>
      </x:c>
      <x:c r="D21" t="n">
        <x:v>2984</x:v>
      </x:c>
      <x:c r="E21" t="n">
        <x:v>1239791.64</x:v>
      </x:c>
      <x:c r="F21" t="n">
        <x:v>15.85</x:v>
      </x:c>
      <x:c r="G21" t="n">
        <x:v>0</x:v>
      </x:c>
      <x:c r="H21" t="n">
        <x:v>2.72</x:v>
      </x:c>
      <x:c r="I21" t="n">
        <x:v>1.15</x:v>
      </x:c>
      <x:c r="J21" t="n">
        <x:v>11608.1</x:v>
      </x:c>
      <x:c r="K21" t="n">
        <x:v>110994.87</x:v>
      </x:c>
      <x:c r="L21" t="n">
        <x:v>6803.2</x:v>
      </x:c>
      <x:c r="M21" t="n">
        <x:f>SUM(E21,J21:L21)</x:f>
        <x:v>1369197.8099999998</x:v>
      </x:c>
      <x:c r="N21" t="n">
        <x:v>650</x:v>
      </x:c>
      <x:c r="O21" t="n">
        <x:f>D21*N21</x:f>
        <x:v>1939600</x:v>
      </x:c>
      <x:c r="P21" s="22" t="n">
        <x:f>IF(O21=0,0,(M21-O21)/O21)</x:f>
        <x:v>-0.29408238296556</x:v>
      </x:c>
      <x:c r="Q21" s="20" t="n">
        <x:v>45210</x:v>
      </x:c>
    </x:row>
    <x:row r="22" ht="20" customHeight="1">
      <x:c r="A22" t="str">
        <x:v>WO00001</x:v>
      </x:c>
      <x:c r="B22" t="str">
        <x:v>LOT00001</x:v>
      </x:c>
      <x:c r="C22" t="str">
        <x:v>AUTO-KN-A</x:v>
      </x:c>
      <x:c r="D22" t="n">
        <x:v>6447</x:v>
      </x:c>
      <x:c r="E22" t="n">
        <x:v>9306487.46</x:v>
      </x:c>
      <x:c r="F22" t="n">
        <x:v>31.8</x:v>
      </x:c>
      <x:c r="G22" t="n">
        <x:v>0</x:v>
      </x:c>
      <x:c r="H22" t="n">
        <x:v>5.96</x:v>
      </x:c>
      <x:c r="I22" t="n">
        <x:v>1.15</x:v>
      </x:c>
      <x:c r="J22" t="n">
        <x:v>23530.8</x:v>
      </x:c>
      <x:c r="K22" t="n">
        <x:v>717357</x:v>
      </x:c>
      <x:c r="L22" t="n">
        <x:v>13382.6</x:v>
      </x:c>
      <x:c r="M22" t="n">
        <x:f>SUM(E22,J22:L22)</x:f>
        <x:v>10060757.860000001</x:v>
      </x:c>
      <x:c r="N22" t="n">
        <x:v>2210</x:v>
      </x:c>
      <x:c r="O22" t="n">
        <x:f>D22*N22</x:f>
        <x:v>14247870</x:v>
      </x:c>
      <x:c r="P22" s="22" t="n">
        <x:f>IF(O22=0,0,(M22-O22)/O22)</x:f>
        <x:v>-0.29387635765907455</x:v>
      </x:c>
      <x:c r="Q22" s="20" t="n">
        <x:v>45223</x:v>
      </x:c>
    </x:row>
    <x:row r="23" ht="20" customHeight="1">
      <x:c r="A23" t="str">
        <x:v>WO00026</x:v>
      </x:c>
      <x:c r="B23" t="str">
        <x:v>LOT00026</x:v>
      </x:c>
      <x:c r="C23" t="str">
        <x:v>PM-VAC-B</x:v>
      </x:c>
      <x:c r="D23" t="n">
        <x:v>587</x:v>
      </x:c>
      <x:c r="E23" t="n">
        <x:v>5835551.73</x:v>
      </x:c>
      <x:c r="F23" t="n">
        <x:v>5.48</x:v>
      </x:c>
      <x:c r="G23" t="n">
        <x:v>0</x:v>
      </x:c>
      <x:c r="H23" t="n">
        <x:v>1.03</x:v>
      </x:c>
      <x:c r="I23" t="n">
        <x:v>1.36</x:v>
      </x:c>
      <x:c r="J23" t="n">
        <x:v>4056.4</x:v>
      </x:c>
      <x:c r="K23" t="n">
        <x:v>659726.52</x:v>
      </x:c>
      <x:c r="L23" t="n">
        <x:v>2655.2</x:v>
      </x:c>
      <x:c r="M23" t="n">
        <x:f>SUM(E23,J23:L23)</x:f>
        <x:v>6501989.850000001</x:v>
      </x:c>
      <x:c r="N23" t="n">
        <x:v>15500</x:v>
      </x:c>
      <x:c r="O23" t="n">
        <x:f>D23*N23</x:f>
        <x:v>9098500</x:v>
      </x:c>
      <x:c r="P23" s="22" t="n">
        <x:f>IF(O23=0,0,(M23-O23)/O23)</x:f>
        <x:v>-0.28537782601527717</x:v>
      </x:c>
      <x:c r="Q23" s="20" t="n">
        <x:v>45230</x:v>
      </x:c>
    </x:row>
    <x:row r="24" ht="20" customHeight="1">
      <x:c r="A24" t="str">
        <x:v>WO00005</x:v>
      </x:c>
      <x:c r="B24" t="str">
        <x:v>LOT00005</x:v>
      </x:c>
      <x:c r="C24" t="str">
        <x:v>AUTO-FL-A</x:v>
      </x:c>
      <x:c r="D24" t="n">
        <x:v>6934</x:v>
      </x:c>
      <x:c r="E24" t="n">
        <x:v>4613704.99</x:v>
      </x:c>
      <x:c r="F24" t="n">
        <x:v>32.05</x:v>
      </x:c>
      <x:c r="G24" t="n">
        <x:v>0</x:v>
      </x:c>
      <x:c r="H24" t="n">
        <x:v>5.03</x:v>
      </x:c>
      <x:c r="I24" t="n">
        <x:v>1.16</x:v>
      </x:c>
      <x:c r="J24" t="n">
        <x:v>23246.9</x:v>
      </x:c>
      <x:c r="K24" t="n">
        <x:v>372491.3</x:v>
      </x:c>
      <x:c r="L24" t="n">
        <x:v>13331.8</x:v>
      </x:c>
      <x:c r="M24" t="n">
        <x:f>SUM(E24,J24:L24)</x:f>
        <x:v>5022774.99</x:v>
      </x:c>
      <x:c r="N24" t="n">
        <x:v>970</x:v>
      </x:c>
      <x:c r="O24" t="n">
        <x:f>D24*N24</x:f>
        <x:v>6725980</x:v>
      </x:c>
      <x:c r="P24" s="22" t="n">
        <x:f>IF(O24=0,0,(M24-O24)/O24)</x:f>
        <x:v>-0.25322778390658307</x:v>
      </x:c>
      <x:c r="Q24" s="20" t="n">
        <x:v>45214</x:v>
      </x:c>
    </x:row>
    <x:row r="25" ht="20" customHeight="1">
      <x:c r="A25" t="str">
        <x:v>WO00025</x:v>
      </x:c>
      <x:c r="B25" t="str">
        <x:v>LOT00025</x:v>
      </x:c>
      <x:c r="C25" t="str">
        <x:v>PM-VAC-B</x:v>
      </x:c>
      <x:c r="D25" t="n">
        <x:v>587</x:v>
      </x:c>
      <x:c r="E25" t="n">
        <x:v>5748651.84</x:v>
      </x:c>
      <x:c r="F25" t="n">
        <x:v>5.25</x:v>
      </x:c>
      <x:c r="G25" t="n">
        <x:v>0</x:v>
      </x:c>
      <x:c r="H25" t="n">
        <x:v>1.19</x:v>
      </x:c>
      <x:c r="I25" t="n">
        <x:v>1.79</x:v>
      </x:c>
      <x:c r="J25" t="n">
        <x:v>3983.7</x:v>
      </x:c>
      <x:c r="K25" t="n">
        <x:v>690830.07</x:v>
      </x:c>
      <x:c r="L25" t="n">
        <x:v>2722.4</x:v>
      </x:c>
      <x:c r="M25" t="n">
        <x:f>SUM(E25,J25:L25)</x:f>
        <x:v>6446188.01</x:v>
      </x:c>
      <x:c r="N25" t="n">
        <x:v>15500</x:v>
      </x:c>
      <x:c r="O25" t="n">
        <x:f>D25*N25</x:f>
        <x:v>9098500</x:v>
      </x:c>
      <x:c r="P25" s="22" t="n">
        <x:f>IF(O25=0,0,(M25-O25)/O25)</x:f>
        <x:v>-0.29151090729241086</x:v>
      </x:c>
      <x:c r="Q25" s="20" t="n">
        <x:v>45231</x:v>
      </x:c>
    </x:row>
    <x:row r="26" ht="20" customHeight="1">
      <x:c r="A26" t="str">
        <x:v>WO00002</x:v>
      </x:c>
      <x:c r="B26" t="str">
        <x:v>LOT00002</x:v>
      </x:c>
      <x:c r="C26" t="str">
        <x:v>AUTO-KN-A</x:v>
      </x:c>
      <x:c r="D26" t="n">
        <x:v>6465</x:v>
      </x:c>
      <x:c r="E26" t="n">
        <x:v>9320808.09</x:v>
      </x:c>
      <x:c r="F26" t="n">
        <x:v>36.93</x:v>
      </x:c>
      <x:c r="G26" t="n">
        <x:v>0</x:v>
      </x:c>
      <x:c r="H26" t="n">
        <x:v>5.98</x:v>
      </x:c>
      <x:c r="I26" t="n">
        <x:v>1.15</x:v>
      </x:c>
      <x:c r="J26" t="n">
        <x:v>26874.9</x:v>
      </x:c>
      <x:c r="K26" t="n">
        <x:v>806559.46</x:v>
      </x:c>
      <x:c r="L26" t="n">
        <x:v>15335.2</x:v>
      </x:c>
      <x:c r="M26" t="n">
        <x:f>SUM(E26,J26:L26)</x:f>
        <x:v>10169577.65</x:v>
      </x:c>
      <x:c r="N26" t="n">
        <x:v>2210</x:v>
      </x:c>
      <x:c r="O26" t="n">
        <x:f>D26*N26</x:f>
        <x:v>14287650</x:v>
      </x:c>
      <x:c r="P26" s="22" t="n">
        <x:f>IF(O26=0,0,(M26-O26)/O26)</x:f>
        <x:v>-0.2882260098756618</x:v>
      </x:c>
      <x:c r="Q26" s="20" t="n">
        <x:v>45225</x:v>
      </x:c>
    </x:row>
    <x:row r="27" ht="20" customHeight="1">
      <x:c r="A27" t="str">
        <x:v>WO00011</x:v>
      </x:c>
      <x:c r="B27" t="str">
        <x:v>LOT00011</x:v>
      </x:c>
      <x:c r="C27" t="str">
        <x:v>AUTO-BRK-A</x:v>
      </x:c>
      <x:c r="D27" t="n">
        <x:v>6445</x:v>
      </x:c>
      <x:c r="E27" t="n">
        <x:v>6019675.98</x:v>
      </x:c>
      <x:c r="F27" t="n">
        <x:v>36.62</x:v>
      </x:c>
      <x:c r="G27" t="n">
        <x:v>0</x:v>
      </x:c>
      <x:c r="H27" t="n">
        <x:v>5.95</x:v>
      </x:c>
      <x:c r="I27" t="n">
        <x:v>1.32</x:v>
      </x:c>
      <x:c r="J27" t="n">
        <x:v>26659</x:v>
      </x:c>
      <x:c r="K27" t="n">
        <x:v>479845.66</x:v>
      </x:c>
      <x:c r="L27" t="n">
        <x:v>15263.6</x:v>
      </x:c>
      <x:c r="M27" t="n">
        <x:f>SUM(E27,J27:L27)</x:f>
        <x:v>6541444.24</x:v>
      </x:c>
      <x:c r="N27" t="n">
        <x:v>1380</x:v>
      </x:c>
      <x:c r="O27" t="n">
        <x:f>D27*N27</x:f>
        <x:v>8894100</x:v>
      </x:c>
      <x:c r="P27" s="22" t="n">
        <x:f>IF(O27=0,0,(M27-O27)/O27)</x:f>
        <x:v>-0.26451869891276236</x:v>
      </x:c>
      <x:c r="Q27" s="20" t="n">
        <x:v>45218</x:v>
      </x:c>
    </x:row>
    <x:row r="28" ht="20" customHeight="1">
      <x:c r="A28" t="str">
        <x:v>WO00014</x:v>
      </x:c>
      <x:c r="B28" t="str">
        <x:v>LOT00014</x:v>
      </x:c>
      <x:c r="C28" t="str">
        <x:v>SEMI-WH-A</x:v>
      </x:c>
      <x:c r="D28" t="n">
        <x:v>59</x:v>
      </x:c>
      <x:c r="E28" t="n">
        <x:v>3147454.92</x:v>
      </x:c>
      <x:c r="F28" t="n">
        <x:v>1.38</x:v>
      </x:c>
      <x:c r="G28" t="n">
        <x:v>0</x:v>
      </x:c>
      <x:c r="H28" t="n">
        <x:v>0.55</x:v>
      </x:c>
      <x:c r="I28" t="n">
        <x:v>2.65</x:v>
      </x:c>
      <x:c r="J28" t="n">
        <x:v>1161</x:v>
      </x:c>
      <x:c r="K28" t="n">
        <x:v>388350.86</x:v>
      </x:c>
      <x:c r="L28" t="n">
        <x:v>1407.4</x:v>
      </x:c>
      <x:c r="M28" t="n">
        <x:f>SUM(E28,J28:L28)</x:f>
        <x:v>3538374.1799999997</x:v>
      </x:c>
      <x:c r="N28" t="n">
        <x:v>88000</x:v>
      </x:c>
      <x:c r="O28" t="n">
        <x:f>D28*N28</x:f>
        <x:v>5192000</x:v>
      </x:c>
      <x:c r="P28" s="22" t="n">
        <x:f>IF(O28=0,0,(M28-O28)/O28)</x:f>
        <x:v>-0.3184949576271187</x:v>
      </x:c>
      <x:c r="Q28" s="20" t="n">
        <x:v>45256</x:v>
      </x:c>
    </x:row>
    <x:row r="29" ht="20" customHeight="1">
      <x:c r="A29" t="str">
        <x:v>WO00010</x:v>
      </x:c>
      <x:c r="B29" t="str">
        <x:v>LOT00010</x:v>
      </x:c>
      <x:c r="C29" t="str">
        <x:v>AUTO-BRK-A</x:v>
      </x:c>
      <x:c r="D29" t="n">
        <x:v>6364</x:v>
      </x:c>
      <x:c r="E29" t="n">
        <x:v>6035433.8</x:v>
      </x:c>
      <x:c r="F29" t="n">
        <x:v>30.86</x:v>
      </x:c>
      <x:c r="G29" t="n">
        <x:v>0</x:v>
      </x:c>
      <x:c r="H29" t="n">
        <x:v>5.15</x:v>
      </x:c>
      <x:c r="I29" t="n">
        <x:v>1.23</x:v>
      </x:c>
      <x:c r="J29" t="n">
        <x:v>22531</x:v>
      </x:c>
      <x:c r="K29" t="n">
        <x:v>561944.63</x:v>
      </x:c>
      <x:c r="L29" t="n">
        <x:v>12919.8</x:v>
      </x:c>
      <x:c r="M29" t="n">
        <x:f>SUM(E29,J29:L29)</x:f>
        <x:v>6632829.2299999995</x:v>
      </x:c>
      <x:c r="N29" t="n">
        <x:v>1380</x:v>
      </x:c>
      <x:c r="O29" t="n">
        <x:f>D29*N29</x:f>
        <x:v>8782320</x:v>
      </x:c>
      <x:c r="P29" s="22" t="n">
        <x:f>IF(O29=0,0,(M29-O29)/O29)</x:f>
        <x:v>-0.24475204387906618</x:v>
      </x:c>
      <x:c r="Q29" s="20" t="n">
        <x:v>45218</x:v>
      </x:c>
    </x:row>
    <x:row r="30" ht="20" customHeight="1">
      <x:c r="A30" t="str">
        <x:v>WO00049</x:v>
      </x:c>
      <x:c r="B30" t="str">
        <x:v>LOT00049</x:v>
      </x:c>
      <x:c r="C30" t="str">
        <x:v>AUTO-MH-B</x:v>
      </x:c>
      <x:c r="D30" t="n">
        <x:v>2938</x:v>
      </x:c>
      <x:c r="E30" t="n">
        <x:v>4631376.93</x:v>
      </x:c>
      <x:c r="F30" t="n">
        <x:v>14.56</x:v>
      </x:c>
      <x:c r="G30" t="n">
        <x:v>0</x:v>
      </x:c>
      <x:c r="H30" t="n">
        <x:v>2.24</x:v>
      </x:c>
      <x:c r="I30" t="n">
        <x:v>1.13</x:v>
      </x:c>
      <x:c r="J30" t="n">
        <x:v>10539.2</x:v>
      </x:c>
      <x:c r="K30" t="n">
        <x:v>268970.96</x:v>
      </x:c>
      <x:c r="L30" t="n">
        <x:v>6230.2</x:v>
      </x:c>
      <x:c r="M30" t="n">
        <x:f>SUM(E30,J30:L30)</x:f>
        <x:v>4917117.29</x:v>
      </x:c>
      <x:c r="N30" t="n">
        <x:v>2320</x:v>
      </x:c>
      <x:c r="O30" t="n">
        <x:f>D30*N30</x:f>
        <x:v>6816160</x:v>
      </x:c>
      <x:c r="P30" s="22" t="n">
        <x:f>IF(O30=0,0,(M30-O30)/O30)</x:f>
        <x:v>-0.2786088809534987</x:v>
      </x:c>
      <x:c r="Q30" s="20" t="n">
        <x:v>45226</x:v>
      </x:c>
    </x:row>
    <x:row r="31" ht="20" customHeight="1">
      <x:c r="A31" t="str">
        <x:v>WO00008</x:v>
      </x:c>
      <x:c r="B31" t="str">
        <x:v>LOT00008</x:v>
      </x:c>
      <x:c r="C31" t="str">
        <x:v>AUTO-BRK-B</x:v>
      </x:c>
      <x:c r="D31" t="n">
        <x:v>6431</x:v>
      </x:c>
      <x:c r="E31" t="n">
        <x:v>7485462.85</x:v>
      </x:c>
      <x:c r="F31" t="n">
        <x:v>32.68</x:v>
      </x:c>
      <x:c r="G31" t="n">
        <x:v>0</x:v>
      </x:c>
      <x:c r="H31" t="n">
        <x:v>5.86</x:v>
      </x:c>
      <x:c r="I31" t="n">
        <x:v>1.13</x:v>
      </x:c>
      <x:c r="J31" t="n">
        <x:v>24054.8</x:v>
      </x:c>
      <x:c r="K31" t="n">
        <x:v>627566.51</x:v>
      </x:c>
      <x:c r="L31" t="n">
        <x:v>13695</x:v>
      </x:c>
      <x:c r="M31" t="n">
        <x:f>SUM(E31,J31:L31)</x:f>
        <x:v>8150779.16</x:v>
      </x:c>
      <x:c r="N31" t="n">
        <x:v>1660</x:v>
      </x:c>
      <x:c r="O31" t="n">
        <x:f>D31*N31</x:f>
        <x:v>10675460</x:v>
      </x:c>
      <x:c r="P31" s="22" t="n">
        <x:f>IF(O31=0,0,(M31-O31)/O31)</x:f>
        <x:v>-0.23649386911664694</x:v>
      </x:c>
      <x:c r="Q31" s="20" t="n">
        <x:v>45226</x:v>
      </x:c>
    </x:row>
    <x:row r="32" ht="20" customHeight="1">
      <x:c r="A32" t="str">
        <x:v>WO00028</x:v>
      </x:c>
      <x:c r="B32" t="str">
        <x:v>LOT00028</x:v>
      </x:c>
      <x:c r="C32" t="str">
        <x:v>AUTO-BRK-A</x:v>
      </x:c>
      <x:c r="D32" t="n">
        <x:v>6883</x:v>
      </x:c>
      <x:c r="E32" t="n">
        <x:v>6550795.09</x:v>
      </x:c>
      <x:c r="F32" t="n">
        <x:v>35.02</x:v>
      </x:c>
      <x:c r="G32" t="n">
        <x:v>0</x:v>
      </x:c>
      <x:c r="H32" t="n">
        <x:v>5.77</x:v>
      </x:c>
      <x:c r="I32" t="n">
        <x:v>0.99</x:v>
      </x:c>
      <x:c r="J32" t="n">
        <x:v>25532.6</x:v>
      </x:c>
      <x:c r="K32" t="n">
        <x:v>507360.94</x:v>
      </x:c>
      <x:c r="L32" t="n">
        <x:v>14527.8</x:v>
      </x:c>
      <x:c r="M32" t="n">
        <x:f>SUM(E32,J32:L32)</x:f>
        <x:v>7098216.43</x:v>
      </x:c>
      <x:c r="N32" t="n">
        <x:v>1380</x:v>
      </x:c>
      <x:c r="O32" t="n">
        <x:f>D32*N32</x:f>
        <x:v>9498540</x:v>
      </x:c>
      <x:c r="P32" s="22" t="n">
        <x:f>IF(O32=0,0,(M32-O32)/O32)</x:f>
        <x:v>-0.25270447563520293</x:v>
      </x:c>
      <x:c r="Q32" s="20" t="n">
        <x:v>45230</x:v>
      </x:c>
    </x:row>
    <x:row r="33" ht="20" customHeight="1">
      <x:c r="A33" t="str">
        <x:v>WO00009</x:v>
      </x:c>
      <x:c r="B33" t="str">
        <x:v>LOT00009</x:v>
      </x:c>
      <x:c r="C33" t="str">
        <x:v>AUTO-BRK-B</x:v>
      </x:c>
      <x:c r="D33" t="n">
        <x:v>6390</x:v>
      </x:c>
      <x:c r="E33" t="n">
        <x:v>7586855.65</x:v>
      </x:c>
      <x:c r="F33" t="n">
        <x:v>35.86</x:v>
      </x:c>
      <x:c r="G33" t="n">
        <x:v>0</x:v>
      </x:c>
      <x:c r="H33" t="n">
        <x:v>4.88</x:v>
      </x:c>
      <x:c r="I33" t="n">
        <x:v>1.2</x:v>
      </x:c>
      <x:c r="J33" t="n">
        <x:v>25651.4</x:v>
      </x:c>
      <x:c r="K33" t="n">
        <x:v>622209.47</x:v>
      </x:c>
      <x:c r="L33" t="n">
        <x:v>14767.6</x:v>
      </x:c>
      <x:c r="M33" t="n">
        <x:f>SUM(E33,J33:L33)</x:f>
        <x:v>8249484.12</x:v>
      </x:c>
      <x:c r="N33" t="n">
        <x:v>1660</x:v>
      </x:c>
      <x:c r="O33" t="n">
        <x:f>D33*N33</x:f>
        <x:v>10607400</x:v>
      </x:c>
      <x:c r="P33" s="22" t="n">
        <x:f>IF(O33=0,0,(M33-O33)/O33)</x:f>
        <x:v>-0.22228971095650205</x:v>
      </x:c>
      <x:c r="Q33" s="20" t="n">
        <x:v>45224</x:v>
      </x:c>
    </x:row>
    <x:row r="34" ht="20" customHeight="1">
      <x:c r="A34" t="str">
        <x:v>WO00046</x:v>
      </x:c>
      <x:c r="B34" t="str">
        <x:v>LOT00046</x:v>
      </x:c>
      <x:c r="C34" t="str">
        <x:v>MECH-STG-A</x:v>
      </x:c>
      <x:c r="D34" t="n">
        <x:v>10</x:v>
      </x:c>
      <x:c r="E34" t="n">
        <x:v>693162.27</x:v>
      </x:c>
      <x:c r="F34" t="n">
        <x:v>849.86</x:v>
      </x:c>
      <x:c r="G34" t="n">
        <x:v>2289.04</x:v>
      </x:c>
      <x:c r="H34" t="n">
        <x:v>1738.3</x:v>
      </x:c>
      <x:c r="I34" t="n">
        <x:v>3.14</x:v>
      </x:c>
      <x:c r="J34" t="n">
        <x:v>2577093.8</x:v>
      </x:c>
      <x:c r="K34" t="n">
        <x:v>56121.15</x:v>
      </x:c>
      <x:c r="L34" t="n">
        <x:v>1059824.8</x:v>
      </x:c>
      <x:c r="M34" t="n">
        <x:f>SUM(E34,J34:L34)</x:f>
        <x:v>4386202.02</x:v>
      </x:c>
      <x:c r="N34" t="n">
        <x:v>104000</x:v>
      </x:c>
      <x:c r="O34" t="n">
        <x:f>D34*N34</x:f>
        <x:v>1040000</x:v>
      </x:c>
      <x:c r="P34" s="22" t="n">
        <x:f>IF(O34=0,0,(M34-O34)/O34)</x:f>
        <x:v>3.217501942307692</x:v>
      </x:c>
      <x:c r="Q34" s="20" t="n">
        <x:v>45263</x:v>
      </x:c>
    </x:row>
    <x:row r="35" ht="20" customHeight="1">
      <x:c r="A35" t="str">
        <x:v>WO00050</x:v>
      </x:c>
      <x:c r="B35" t="str">
        <x:v>LOT00050</x:v>
      </x:c>
      <x:c r="C35" t="str">
        <x:v>AUTO-KN-A</x:v>
      </x:c>
      <x:c r="D35" t="n">
        <x:v>4955</x:v>
      </x:c>
      <x:c r="E35" t="n">
        <x:v>7051228.33</x:v>
      </x:c>
      <x:c r="F35" t="n">
        <x:v>28.41</x:v>
      </x:c>
      <x:c r="G35" t="n">
        <x:v>0</x:v>
      </x:c>
      <x:c r="H35" t="n">
        <x:v>4.71</x:v>
      </x:c>
      <x:c r="I35" t="n">
        <x:v>1.17</x:v>
      </x:c>
      <x:c r="J35" t="n">
        <x:v>20727.3</x:v>
      </x:c>
      <x:c r="K35" t="n">
        <x:v>583418.34</x:v>
      </x:c>
      <x:c r="L35" t="n">
        <x:v>11900.4</x:v>
      </x:c>
      <x:c r="M35" t="n">
        <x:f>SUM(E35,J35:L35)</x:f>
        <x:v>7667274.37</x:v>
      </x:c>
      <x:c r="N35" t="n">
        <x:v>2210</x:v>
      </x:c>
      <x:c r="O35" t="n">
        <x:f>D35*N35</x:f>
        <x:v>10950550</x:v>
      </x:c>
      <x:c r="P35" s="22" t="n">
        <x:f>IF(O35=0,0,(M35-O35)/O35)</x:f>
        <x:v>-0.2998274634607394</x:v>
      </x:c>
      <x:c r="Q35" s="20" t="n">
        <x:v>45235</x:v>
      </x:c>
    </x:row>
    <x:row r="36" ht="20" customHeight="1">
      <x:c r="A36" t="str">
        <x:v>WO00051</x:v>
      </x:c>
      <x:c r="B36" t="str">
        <x:v>LOT00051</x:v>
      </x:c>
      <x:c r="C36" t="str">
        <x:v>AUTO-KN-A</x:v>
      </x:c>
      <x:c r="D36" t="n">
        <x:v>4945</x:v>
      </x:c>
      <x:c r="E36" t="n">
        <x:v>7048039.68</x:v>
      </x:c>
      <x:c r="F36" t="n">
        <x:v>24.89</x:v>
      </x:c>
      <x:c r="G36" t="n">
        <x:v>0</x:v>
      </x:c>
      <x:c r="H36" t="n">
        <x:v>3.95</x:v>
      </x:c>
      <x:c r="I36" t="n">
        <x:v>1.22</x:v>
      </x:c>
      <x:c r="J36" t="n">
        <x:v>18074.5</x:v>
      </x:c>
      <x:c r="K36" t="n">
        <x:v>567749.09</x:v>
      </x:c>
      <x:c r="L36" t="n">
        <x:v>10456.2</x:v>
      </x:c>
      <x:c r="M36" t="n">
        <x:f>SUM(E36,J36:L36)</x:f>
        <x:v>7644319.47</x:v>
      </x:c>
      <x:c r="N36" t="n">
        <x:v>2210</x:v>
      </x:c>
      <x:c r="O36" t="n">
        <x:f>D36*N36</x:f>
        <x:v>10928450</x:v>
      </x:c>
      <x:c r="P36" s="22" t="n">
        <x:f>IF(O36=0,0,(M36-O36)/O36)</x:f>
        <x:v>-0.300512014970101</x:v>
      </x:c>
      <x:c r="Q36" s="20" t="n">
        <x:v>45235</x:v>
      </x:c>
    </x:row>
    <x:row r="37" ht="20" customHeight="1">
      <x:c r="A37" t="str">
        <x:v>WO00043</x:v>
      </x:c>
      <x:c r="B37" t="str">
        <x:v>LOT00043</x:v>
      </x:c>
      <x:c r="C37" t="str">
        <x:v>AUTO-MH-A</x:v>
      </x:c>
      <x:c r="D37" t="n">
        <x:v>4945</x:v>
      </x:c>
      <x:c r="E37" t="n">
        <x:v>6655159.75</x:v>
      </x:c>
      <x:c r="F37" t="n">
        <x:v>23.67</x:v>
      </x:c>
      <x:c r="G37" t="n">
        <x:v>0</x:v>
      </x:c>
      <x:c r="H37" t="n">
        <x:v>4.64</x:v>
      </x:c>
      <x:c r="I37" t="n">
        <x:v>1.1</x:v>
      </x:c>
      <x:c r="J37" t="n">
        <x:v>17612.7</x:v>
      </x:c>
      <x:c r="K37" t="n">
        <x:v>406956.25</x:v>
      </x:c>
      <x:c r="L37" t="n">
        <x:v>10067</x:v>
      </x:c>
      <x:c r="M37" t="n">
        <x:f>SUM(E37,J37:L37)</x:f>
        <x:v>7089795.7</x:v>
      </x:c>
      <x:c r="N37" t="n">
        <x:v>1970</x:v>
      </x:c>
      <x:c r="O37" t="n">
        <x:f>D37*N37</x:f>
        <x:v>9741650</x:v>
      </x:c>
      <x:c r="P37" s="22" t="n">
        <x:f>IF(O37=0,0,(M37-O37)/O37)</x:f>
        <x:v>-0.2722181868574625</x:v>
      </x:c>
      <x:c r="Q37" s="20" t="n">
        <x:v>45240</x:v>
      </x:c>
    </x:row>
    <x:row r="38" ht="20" customHeight="1">
      <x:c r="A38" t="str">
        <x:v>WO00044</x:v>
      </x:c>
      <x:c r="B38" t="str">
        <x:v>LOT00044</x:v>
      </x:c>
      <x:c r="C38" t="str">
        <x:v>AUTO-MH-A</x:v>
      </x:c>
      <x:c r="D38" t="n">
        <x:v>4912</x:v>
      </x:c>
      <x:c r="E38" t="n">
        <x:v>7195928.03</x:v>
      </x:c>
      <x:c r="F38" t="n">
        <x:v>25.04</x:v>
      </x:c>
      <x:c r="G38" t="n">
        <x:v>0</x:v>
      </x:c>
      <x:c r="H38" t="n">
        <x:v>3.97</x:v>
      </x:c>
      <x:c r="I38" t="n">
        <x:v>1.17</x:v>
      </x:c>
      <x:c r="J38" t="n">
        <x:v>18181.6</x:v>
      </x:c>
      <x:c r="K38" t="n">
        <x:v>376305.03</x:v>
      </x:c>
      <x:c r="L38" t="n">
        <x:v>10501.4</x:v>
      </x:c>
      <x:c r="M38" t="n">
        <x:f>SUM(E38,J38:L38)</x:f>
        <x:v>7600916.0600000005</x:v>
      </x:c>
      <x:c r="N38" t="n">
        <x:v>1970</x:v>
      </x:c>
      <x:c r="O38" t="n">
        <x:f>D38*N38</x:f>
        <x:v>9676640</x:v>
      </x:c>
      <x:c r="P38" s="22" t="n">
        <x:f>IF(O38=0,0,(M38-O38)/O38)</x:f>
        <x:v>-0.21450874890457838</x:v>
      </x:c>
      <x:c r="Q38" s="20" t="n">
        <x:v>45241</x:v>
      </x:c>
    </x:row>
    <x:row r="39" ht="20" customHeight="1">
      <x:c r="A39" t="str">
        <x:v>WO00057</x:v>
      </x:c>
      <x:c r="B39" t="str">
        <x:v>LOT00057</x:v>
      </x:c>
      <x:c r="C39" t="str">
        <x:v>AUTO-LG-A</x:v>
      </x:c>
      <x:c r="D39" t="n">
        <x:v>6855</x:v>
      </x:c>
      <x:c r="E39" t="n">
        <x:v>3709137.89</x:v>
      </x:c>
      <x:c r="F39" t="n">
        <x:v>41.24</x:v>
      </x:c>
      <x:c r="G39" t="n">
        <x:v>0</x:v>
      </x:c>
      <x:c r="H39" t="n">
        <x:v>5.48</x:v>
      </x:c>
      <x:c r="I39" t="n">
        <x:v>1.31</x:v>
      </x:c>
      <x:c r="J39" t="n">
        <x:v>29436.4</x:v>
      </x:c>
      <x:c r="K39" t="n">
        <x:v>260156.87</x:v>
      </x:c>
      <x:c r="L39" t="n">
        <x:v>16941</x:v>
      </x:c>
      <x:c r="M39" t="n">
        <x:f>SUM(E39,J39:L39)</x:f>
        <x:v>4015672.16</x:v>
      </x:c>
      <x:c r="N39" t="n">
        <x:v>840</x:v>
      </x:c>
      <x:c r="O39" t="n">
        <x:f>D39*N39</x:f>
        <x:v>5758200</x:v>
      </x:c>
      <x:c r="P39" s="22" t="n">
        <x:f>IF(O39=0,0,(M39-O39)/O39)</x:f>
        <x:v>-0.3026167621826265</x:v>
      </x:c>
      <x:c r="Q39" s="20" t="n">
        <x:v>45230</x:v>
      </x:c>
    </x:row>
    <x:row r="40" ht="20" customHeight="1">
      <x:c r="A40" t="str">
        <x:v>WO00056</x:v>
      </x:c>
      <x:c r="B40" t="str">
        <x:v>LOT00056</x:v>
      </x:c>
      <x:c r="C40" t="str">
        <x:v>AUTO-KN-B</x:v>
      </x:c>
      <x:c r="D40" t="n">
        <x:v>6489</x:v>
      </x:c>
      <x:c r="E40" t="n">
        <x:v>11662063.34</x:v>
      </x:c>
      <x:c r="F40" t="n">
        <x:v>33.52</x:v>
      </x:c>
      <x:c r="G40" t="n">
        <x:v>0</x:v>
      </x:c>
      <x:c r="H40" t="n">
        <x:v>4.58</x:v>
      </x:c>
      <x:c r="I40" t="n">
        <x:v>1.33</x:v>
      </x:c>
      <x:c r="J40" t="n">
        <x:v>23986.4</x:v>
      </x:c>
      <x:c r="K40" t="n">
        <x:v>794160.21</x:v>
      </x:c>
      <x:c r="L40" t="n">
        <x:v>13869.4</x:v>
      </x:c>
      <x:c r="M40" t="n">
        <x:f>SUM(E40,J40:L40)</x:f>
        <x:v>12494079.35</x:v>
      </x:c>
      <x:c r="N40" t="n">
        <x:v>2590</x:v>
      </x:c>
      <x:c r="O40" t="n">
        <x:f>D40*N40</x:f>
        <x:v>16806510</x:v>
      </x:c>
      <x:c r="P40" s="22" t="n">
        <x:f>IF(O40=0,0,(M40-O40)/O40)</x:f>
        <x:v>-0.2565928708577807</x:v>
      </x:c>
      <x:c r="Q40" s="20" t="n">
        <x:v>45244</x:v>
      </x:c>
    </x:row>
    <x:row r="41" ht="20" customHeight="1">
      <x:c r="A41" t="str">
        <x:v>WO00055</x:v>
      </x:c>
      <x:c r="B41" t="str">
        <x:v>LOT00055</x:v>
      </x:c>
      <x:c r="C41" t="str">
        <x:v>AUTO-KN-B</x:v>
      </x:c>
      <x:c r="D41" t="n">
        <x:v>6404</x:v>
      </x:c>
      <x:c r="E41" t="n">
        <x:v>11854938.31</x:v>
      </x:c>
      <x:c r="F41" t="n">
        <x:v>31.25</x:v>
      </x:c>
      <x:c r="G41" t="n">
        <x:v>0</x:v>
      </x:c>
      <x:c r="H41" t="n">
        <x:v>5.41</x:v>
      </x:c>
      <x:c r="I41" t="n">
        <x:v>1.26</x:v>
      </x:c>
      <x:c r="J41" t="n">
        <x:v>22909.3</x:v>
      </x:c>
      <x:c r="K41" t="n">
        <x:v>906506.47</x:v>
      </x:c>
      <x:c r="L41" t="n">
        <x:v>13118.6</x:v>
      </x:c>
      <x:c r="M41" t="n">
        <x:f>SUM(E41,J41:L41)</x:f>
        <x:v>12797472.68</x:v>
      </x:c>
      <x:c r="N41" t="n">
        <x:v>2590</x:v>
      </x:c>
      <x:c r="O41" t="n">
        <x:f>D41*N41</x:f>
        <x:v>16586360</x:v>
      </x:c>
      <x:c r="P41" s="22" t="n">
        <x:f>IF(O41=0,0,(M41-O41)/O41)</x:f>
        <x:v>-0.22843392522530562</x:v>
      </x:c>
      <x:c r="Q41" s="20" t="n">
        <x:v>45245</x:v>
      </x:c>
    </x:row>
    <x:row r="42" ht="20" customHeight="1">
      <x:c r="A42" t="str">
        <x:v>WO00052</x:v>
      </x:c>
      <x:c r="B42" t="str">
        <x:v>LOT00052</x:v>
      </x:c>
      <x:c r="C42" t="str">
        <x:v>MECH-CON-B</x:v>
      </x:c>
      <x:c r="D42" t="n">
        <x:v>10</x:v>
      </x:c>
      <x:c r="E42" t="n">
        <x:v>733191.25</x:v>
      </x:c>
      <x:c r="F42" t="n">
        <x:v>790.52</x:v>
      </x:c>
      <x:c r="G42" t="n">
        <x:v>2237.83</x:v>
      </x:c>
      <x:c r="H42" t="n">
        <x:v>1906.63</x:v>
      </x:c>
      <x:c r="I42" t="n">
        <x:v>2.96</x:v>
      </x:c>
      <x:c r="J42" t="n">
        <x:v>2592692</x:v>
      </x:c>
      <x:c r="K42" t="n">
        <x:v>72269.34</x:v>
      </x:c>
      <x:c r="L42" t="n">
        <x:v>1053912.4</x:v>
      </x:c>
      <x:c r="M42" t="n">
        <x:f>SUM(E42,J42:L42)</x:f>
        <x:v>4452064.99</x:v>
      </x:c>
      <x:c r="N42" t="n">
        <x:v>119000</x:v>
      </x:c>
      <x:c r="O42" t="n">
        <x:f>D42*N42</x:f>
        <x:v>1190000</x:v>
      </x:c>
      <x:c r="P42" s="22" t="n">
        <x:f>IF(O42=0,0,(M42-O42)/O42)</x:f>
        <x:v>2.741231084033614</x:v>
      </x:c>
      <x:c r="Q42" s="20" t="n">
        <x:v>45264</x:v>
      </x:c>
    </x:row>
    <x:row r="43" ht="20" customHeight="1">
      <x:c r="A43" t="str">
        <x:v>WO00034</x:v>
      </x:c>
      <x:c r="B43" t="str">
        <x:v>LOT00034</x:v>
      </x:c>
      <x:c r="C43" t="str">
        <x:v>AUTO-FL-B</x:v>
      </x:c>
      <x:c r="D43" t="n">
        <x:v>4945</x:v>
      </x:c>
      <x:c r="E43" t="n">
        <x:v>4064908.88</x:v>
      </x:c>
      <x:c r="F43" t="n">
        <x:v>25.08</x:v>
      </x:c>
      <x:c r="G43" t="n">
        <x:v>0</x:v>
      </x:c>
      <x:c r="H43" t="n">
        <x:v>4.23</x:v>
      </x:c>
      <x:c r="I43" t="n">
        <x:v>1.07</x:v>
      </x:c>
      <x:c r="J43" t="n">
        <x:v>18332.4</x:v>
      </x:c>
      <x:c r="K43" t="n">
        <x:v>271280.23</x:v>
      </x:c>
      <x:c r="L43" t="n">
        <x:v>10528.2</x:v>
      </x:c>
      <x:c r="M43" t="n">
        <x:f>SUM(E43,J43:L43)</x:f>
        <x:v>4365049.71</x:v>
      </x:c>
      <x:c r="N43" t="n">
        <x:v>1170</x:v>
      </x:c>
      <x:c r="O43" t="n">
        <x:f>D43*N43</x:f>
        <x:v>5785650</x:v>
      </x:c>
      <x:c r="P43" s="22" t="n">
        <x:f>IF(O43=0,0,(M43-O43)/O43)</x:f>
        <x:v>-0.24553858079904592</x:v>
      </x:c>
      <x:c r="Q43" s="20" t="n">
        <x:v>45243</x:v>
      </x:c>
    </x:row>
    <x:row r="44" ht="20" customHeight="1">
      <x:c r="A44" t="str">
        <x:v>WO00054</x:v>
      </x:c>
      <x:c r="B44" t="str">
        <x:v>LOT00054</x:v>
      </x:c>
      <x:c r="C44" t="str">
        <x:v>AUTO-BRK-A</x:v>
      </x:c>
      <x:c r="D44" t="n">
        <x:v>5000</x:v>
      </x:c>
      <x:c r="E44" t="n">
        <x:v>4412844.95</x:v>
      </x:c>
      <x:c r="F44" t="n">
        <x:v>25.82</x:v>
      </x:c>
      <x:c r="G44" t="n">
        <x:v>0</x:v>
      </x:c>
      <x:c r="H44" t="n">
        <x:v>3.55</x:v>
      </x:c>
      <x:c r="I44" t="n">
        <x:v>1.02</x:v>
      </x:c>
      <x:c r="J44" t="n">
        <x:v>18487</x:v>
      </x:c>
      <x:c r="K44" t="n">
        <x:v>404425.38</x:v>
      </x:c>
      <x:c r="L44" t="n">
        <x:v>10685.6</x:v>
      </x:c>
      <x:c r="M44" t="n">
        <x:f>SUM(E44,J44:L44)</x:f>
        <x:v>4846442.93</x:v>
      </x:c>
      <x:c r="N44" t="n">
        <x:v>1380</x:v>
      </x:c>
      <x:c r="O44" t="n">
        <x:f>D44*N44</x:f>
        <x:v>6900000</x:v>
      </x:c>
      <x:c r="P44" s="22" t="n">
        <x:f>IF(O44=0,0,(M44-O44)/O44)</x:f>
        <x:v>-0.2976169666666667</x:v>
      </x:c>
      <x:c r="Q44" s="20" t="n">
        <x:v>45242</x:v>
      </x:c>
    </x:row>
    <x:row r="45" ht="20" customHeight="1">
      <x:c r="A45" t="str">
        <x:v>WO00053</x:v>
      </x:c>
      <x:c r="B45" t="str">
        <x:v>LOT00053</x:v>
      </x:c>
      <x:c r="C45" t="str">
        <x:v>AUTO-FL-A</x:v>
      </x:c>
      <x:c r="D45" t="n">
        <x:v>2954</x:v>
      </x:c>
      <x:c r="E45" t="n">
        <x:v>1982809.06</x:v>
      </x:c>
      <x:c r="F45" t="n">
        <x:v>15.82</x:v>
      </x:c>
      <x:c r="G45" t="n">
        <x:v>0</x:v>
      </x:c>
      <x:c r="H45" t="n">
        <x:v>2.7</x:v>
      </x:c>
      <x:c r="I45" t="n">
        <x:v>1.19</x:v>
      </x:c>
      <x:c r="J45" t="n">
        <x:v>11579</x:v>
      </x:c>
      <x:c r="K45" t="n">
        <x:v>147824.84</x:v>
      </x:c>
      <x:c r="L45" t="n">
        <x:v>6800.6</x:v>
      </x:c>
      <x:c r="M45" t="n">
        <x:f>SUM(E45,J45:L45)</x:f>
        <x:v>2149013.5</x:v>
      </x:c>
      <x:c r="N45" t="n">
        <x:v>970</x:v>
      </x:c>
      <x:c r="O45" t="n">
        <x:f>D45*N45</x:f>
        <x:v>2865380</x:v>
      </x:c>
      <x:c r="P45" s="22" t="n">
        <x:f>IF(O45=0,0,(M45-O45)/O45)</x:f>
        <x:v>-0.25000750336779065</x:v>
      </x:c>
      <x:c r="Q45" s="20" t="n">
        <x:v>45246</x:v>
      </x:c>
    </x:row>
    <x:row r="46" ht="20" customHeight="1">
      <x:c r="A46" t="str">
        <x:v>WO00059</x:v>
      </x:c>
      <x:c r="B46" t="str">
        <x:v>LOT00059</x:v>
      </x:c>
      <x:c r="C46" t="str">
        <x:v>MECH-CON-B</x:v>
      </x:c>
      <x:c r="D46" t="n">
        <x:v>15</x:v>
      </x:c>
      <x:c r="E46" t="n">
        <x:v>1135984.05</x:v>
      </x:c>
      <x:c r="F46" t="n">
        <x:v>1079.68</x:v>
      </x:c>
      <x:c r="G46" t="n">
        <x:v>3552.32</x:v>
      </x:c>
      <x:c r="H46" t="n">
        <x:v>2481</x:v>
      </x:c>
      <x:c r="I46" t="n">
        <x:v>3.28</x:v>
      </x:c>
      <x:c r="J46" t="n">
        <x:v>3739878.4</x:v>
      </x:c>
      <x:c r="K46" t="n">
        <x:v>94666.56</x:v>
      </x:c>
      <x:c r="L46" t="n">
        <x:v>1518686.4</x:v>
      </x:c>
      <x:c r="M46" t="n">
        <x:f>SUM(E46,J46:L46)</x:f>
        <x:v>6489215.409999999</x:v>
      </x:c>
      <x:c r="N46" t="n">
        <x:v>119000</x:v>
      </x:c>
      <x:c r="O46" t="n">
        <x:f>D46*N46</x:f>
        <x:v>1785000</x:v>
      </x:c>
      <x:c r="P46" s="22" t="n">
        <x:f>IF(O46=0,0,(M46-O46)/O46)</x:f>
        <x:v>2.635414795518207</x:v>
      </x:c>
      <x:c r="Q46" s="20" t="n">
        <x:v>45276</x:v>
      </x:c>
    </x:row>
    <x:row r="47" ht="20" customHeight="1">
      <x:c r="A47" t="str">
        <x:v>WO00032</x:v>
      </x:c>
      <x:c r="B47" t="str">
        <x:v>LOT00032</x:v>
      </x:c>
      <x:c r="C47" t="str">
        <x:v>AUTO-KN-A</x:v>
      </x:c>
      <x:c r="D47" t="n">
        <x:v>4920</x:v>
      </x:c>
      <x:c r="E47" t="n">
        <x:v>7440815.13</x:v>
      </x:c>
      <x:c r="F47" t="n">
        <x:v>23.82</x:v>
      </x:c>
      <x:c r="G47" t="n">
        <x:v>0</x:v>
      </x:c>
      <x:c r="H47" t="n">
        <x:v>3.6</x:v>
      </x:c>
      <x:c r="I47" t="n">
        <x:v>1.16</x:v>
      </x:c>
      <x:c r="J47" t="n">
        <x:v>17211</x:v>
      </x:c>
      <x:c r="K47" t="n">
        <x:v>622376.76</x:v>
      </x:c>
      <x:c r="L47" t="n">
        <x:v>9975.6</x:v>
      </x:c>
      <x:c r="M47" t="n">
        <x:f>SUM(E47,J47:L47)</x:f>
        <x:v>8090378.49</x:v>
      </x:c>
      <x:c r="N47" t="n">
        <x:v>2210</x:v>
      </x:c>
      <x:c r="O47" t="n">
        <x:f>D47*N47</x:f>
        <x:v>10873200</x:v>
      </x:c>
      <x:c r="P47" s="22" t="n">
        <x:f>IF(O47=0,0,(M47-O47)/O47)</x:f>
        <x:v>-0.25593399459220834</x:v>
      </x:c>
      <x:c r="Q47" s="20" t="n">
        <x:v>45253</x:v>
      </x:c>
    </x:row>
    <x:row r="48" ht="20" customHeight="1">
      <x:c r="A48" t="str">
        <x:v>WO00033</x:v>
      </x:c>
      <x:c r="B48" t="str">
        <x:v>LOT00033</x:v>
      </x:c>
      <x:c r="C48" t="str">
        <x:v>AUTO-KN-A</x:v>
      </x:c>
      <x:c r="D48" t="n">
        <x:v>4947</x:v>
      </x:c>
      <x:c r="E48" t="n">
        <x:v>7644384.18</x:v>
      </x:c>
      <x:c r="F48" t="n">
        <x:v>24.1</x:v>
      </x:c>
      <x:c r="G48" t="n">
        <x:v>0</x:v>
      </x:c>
      <x:c r="H48" t="n">
        <x:v>4.05</x:v>
      </x:c>
      <x:c r="I48" t="n">
        <x:v>1.34</x:v>
      </x:c>
      <x:c r="J48" t="n">
        <x:v>17609</x:v>
      </x:c>
      <x:c r="K48" t="n">
        <x:v>621108.95</x:v>
      </x:c>
      <x:c r="L48" t="n">
        <x:v>10208</x:v>
      </x:c>
      <x:c r="M48" t="n">
        <x:f>SUM(E48,J48:L48)</x:f>
        <x:v>8293310.13</x:v>
      </x:c>
      <x:c r="N48" t="n">
        <x:v>2210</x:v>
      </x:c>
      <x:c r="O48" t="n">
        <x:f>D48*N48</x:f>
        <x:v>10932870</x:v>
      </x:c>
      <x:c r="P48" s="22" t="n">
        <x:f>IF(O48=0,0,(M48-O48)/O48)</x:f>
        <x:v>-0.24143339031745553</x:v>
      </x:c>
      <x:c r="Q48" s="20" t="n">
        <x:v>45263</x:v>
      </x:c>
    </x:row>
    <x:row r="49" ht="20" customHeight="1">
      <x:c r="A49" t="str">
        <x:v>WO00037</x:v>
      </x:c>
      <x:c r="B49" t="str">
        <x:v>LOT00037</x:v>
      </x:c>
      <x:c r="C49" t="str">
        <x:v>MECH-STG-A</x:v>
      </x:c>
      <x:c r="D49" t="n">
        <x:v>17</x:v>
      </x:c>
      <x:c r="E49" t="n">
        <x:v>1193923.3</x:v>
      </x:c>
      <x:c r="F49" t="n">
        <x:v>1267.3</x:v>
      </x:c>
      <x:c r="G49" t="n">
        <x:v>4778.04</x:v>
      </x:c>
      <x:c r="H49" t="n">
        <x:v>3147.56</x:v>
      </x:c>
      <x:c r="I49" t="n">
        <x:v>3.37</x:v>
      </x:c>
      <x:c r="J49" t="n">
        <x:v>4819154.6</x:v>
      </x:c>
      <x:c r="K49" t="n">
        <x:v>100742.06</x:v>
      </x:c>
      <x:c r="L49" t="n">
        <x:v>1941802.6</x:v>
      </x:c>
      <x:c r="M49" t="n">
        <x:f>SUM(E49,J49:L49)</x:f>
        <x:v>8055622.56</x:v>
      </x:c>
      <x:c r="N49" t="n">
        <x:v>104000</x:v>
      </x:c>
      <x:c r="O49" t="n">
        <x:f>D49*N49</x:f>
        <x:v>1768000</x:v>
      </x:c>
      <x:c r="P49" s="22" t="n">
        <x:f>IF(O49=0,0,(M49-O49)/O49)</x:f>
        <x:v>3.5563476018099545</x:v>
      </x:c>
      <x:c r="Q49" s="20" t="n">
        <x:v>45270</x:v>
      </x:c>
    </x:row>
    <x:row r="50" ht="20" customHeight="1">
      <x:c r="A50" t="str">
        <x:v>WO00058</x:v>
      </x:c>
      <x:c r="B50" t="str">
        <x:v>LOT00058</x:v>
      </x:c>
      <x:c r="C50" t="str">
        <x:v>MECH-CON-B</x:v>
      </x:c>
      <x:c r="D50" t="n">
        <x:v>15</x:v>
      </x:c>
      <x:c r="E50" t="n">
        <x:v>1110722.77</x:v>
      </x:c>
      <x:c r="F50" t="n">
        <x:v>1319.88</x:v>
      </x:c>
      <x:c r="G50" t="n">
        <x:v>3509.68</x:v>
      </x:c>
      <x:c r="H50" t="n">
        <x:v>2888.56</x:v>
      </x:c>
      <x:c r="I50" t="n">
        <x:v>2.85</x:v>
      </x:c>
      <x:c r="J50" t="n">
        <x:v>4069464.4</x:v>
      </x:c>
      <x:c r="K50" t="n">
        <x:v>104736.2</x:v>
      </x:c>
      <x:c r="L50" t="n">
        <x:v>1666515</x:v>
      </x:c>
      <x:c r="M50" t="n">
        <x:f>SUM(E50,J50:L50)</x:f>
        <x:v>6951438.369999999</x:v>
      </x:c>
      <x:c r="N50" t="n">
        <x:v>119000</x:v>
      </x:c>
      <x:c r="O50" t="n">
        <x:f>D50*N50</x:f>
        <x:v>1785000</x:v>
      </x:c>
      <x:c r="P50" s="22" t="n">
        <x:f>IF(O50=0,0,(M50-O50)/O50)</x:f>
        <x:v>2.8943632324929967</x:v>
      </x:c>
      <x:c r="Q50" s="20" t="n">
        <x:v>45274</x:v>
      </x:c>
    </x:row>
    <x:row r="51" ht="20" customHeight="1">
      <x:c r="A51" t="str">
        <x:v>WO00038</x:v>
      </x:c>
      <x:c r="B51" t="str">
        <x:v>LOT00038</x:v>
      </x:c>
      <x:c r="C51" t="str">
        <x:v>MECH-STG-A</x:v>
      </x:c>
      <x:c r="D51" t="n">
        <x:v>17</x:v>
      </x:c>
      <x:c r="E51" t="n">
        <x:v>1128543.54</x:v>
      </x:c>
      <x:c r="F51" t="n">
        <x:v>1276.5</x:v>
      </x:c>
      <x:c r="G51" t="n">
        <x:v>4101.16</x:v>
      </x:c>
      <x:c r="H51" t="n">
        <x:v>3240.89</x:v>
      </x:c>
      <x:c r="I51" t="n">
        <x:v>2.88</x:v>
      </x:c>
      <x:c r="J51" t="n">
        <x:v>4517955.4</x:v>
      </x:c>
      <x:c r="K51" t="n">
        <x:v>112953.53</x:v>
      </x:c>
      <x:c r="L51" t="n">
        <x:v>1824708.4</x:v>
      </x:c>
      <x:c r="M51" t="n">
        <x:f>SUM(E51,J51:L51)</x:f>
        <x:v>7584160.87</x:v>
      </x:c>
      <x:c r="N51" t="n">
        <x:v>104000</x:v>
      </x:c>
      <x:c r="O51" t="n">
        <x:f>D51*N51</x:f>
        <x:v>1768000</x:v>
      </x:c>
      <x:c r="P51" s="22" t="n">
        <x:f>IF(O51=0,0,(M51-O51)/O51)</x:f>
        <x:v>3.28968375</x:v>
      </x:c>
      <x:c r="Q51" s="20" t="n">
        <x:v>45274</x:v>
      </x:c>
    </x:row>
    <x:row r="52" ht="20" customHeight="1">
      <x:c r="A52" t="str">
        <x:v>WO00039</x:v>
      </x:c>
      <x:c r="B52" t="str">
        <x:v>LOT00039</x:v>
      </x:c>
      <x:c r="C52" t="str">
        <x:v>MECH-STG-A</x:v>
      </x:c>
      <x:c r="D52" t="n">
        <x:v>16</x:v>
      </x:c>
      <x:c r="E52" t="n">
        <x:v>1161294.08</x:v>
      </x:c>
      <x:c r="F52" t="n">
        <x:v>1300.48</x:v>
      </x:c>
      <x:c r="G52" t="n">
        <x:v>4151.83</x:v>
      </x:c>
      <x:c r="H52" t="n">
        <x:v>2852.97</x:v>
      </x:c>
      <x:c r="I52" t="n">
        <x:v>3</x:v>
      </x:c>
      <x:c r="J52" t="n">
        <x:v>4373689.2</x:v>
      </x:c>
      <x:c r="K52" t="n">
        <x:v>106026.37</x:v>
      </x:c>
      <x:c r="L52" t="n">
        <x:v>1781923.6</x:v>
      </x:c>
      <x:c r="M52" t="n">
        <x:f>SUM(E52,J52:L52)</x:f>
        <x:v>7422933.25</x:v>
      </x:c>
      <x:c r="N52" t="n">
        <x:v>104000</x:v>
      </x:c>
      <x:c r="O52" t="n">
        <x:f>D52*N52</x:f>
        <x:v>1664000</x:v>
      </x:c>
      <x:c r="P52" s="22" t="n">
        <x:f>IF(O52=0,0,(M52-O52)/O52)</x:f>
        <x:v>3.4608973858173075</x:v>
      </x:c>
      <x:c r="Q52" s="20" t="n">
        <x:v>45271</x:v>
      </x:c>
    </x:row>
    <x:row r="53" ht="20" customHeight="1">
      <x:c r="A53" t="str">
        <x:v>WO00047</x:v>
      </x:c>
      <x:c r="B53" t="str">
        <x:v>LOT00047</x:v>
      </x:c>
      <x:c r="C53" t="str">
        <x:v>PM-ALB-A</x:v>
      </x:c>
      <x:c r="D53" t="n">
        <x:v>781</x:v>
      </x:c>
      <x:c r="E53" t="n">
        <x:v>4295472.53</x:v>
      </x:c>
      <x:c r="F53" t="n">
        <x:v>6.94</x:v>
      </x:c>
      <x:c r="G53" t="n">
        <x:v>0</x:v>
      </x:c>
      <x:c r="H53" t="n">
        <x:v>1.33</x:v>
      </x:c>
      <x:c r="I53" t="n">
        <x:v>1.86</x:v>
      </x:c>
      <x:c r="J53" t="n">
        <x:v>5149.4</x:v>
      </x:c>
      <x:c r="K53" t="n">
        <x:v>259544.09</x:v>
      </x:c>
      <x:c r="L53" t="n">
        <x:v>3408</x:v>
      </x:c>
      <x:c r="M53" t="n">
        <x:f>SUM(E53,J53:L53)</x:f>
        <x:v>4563574.0200000005</x:v>
      </x:c>
      <x:c r="N53" t="n">
        <x:v>8100</x:v>
      </x:c>
      <x:c r="O53" t="n">
        <x:f>D53*N53</x:f>
        <x:v>6326100</x:v>
      </x:c>
      <x:c r="P53" s="22" t="n">
        <x:f>IF(O53=0,0,(M53-O53)/O53)</x:f>
        <x:v>-0.27861177976952617</x:v>
      </x:c>
      <x:c r="Q53" s="20" t="n">
        <x:v>45259</x:v>
      </x:c>
    </x:row>
    <x:row r="54" ht="20" customHeight="1">
      <x:c r="A54" t="str">
        <x:v>WO00040</x:v>
      </x:c>
      <x:c r="B54" t="str">
        <x:v>LOT00040</x:v>
      </x:c>
      <x:c r="C54" t="str">
        <x:v>AUTO-MH-B</x:v>
      </x:c>
      <x:c r="D54" t="n">
        <x:v>6398</x:v>
      </x:c>
      <x:c r="E54" t="n">
        <x:v>10412499.09</x:v>
      </x:c>
      <x:c r="F54" t="n">
        <x:v>35.05</x:v>
      </x:c>
      <x:c r="G54" t="n">
        <x:v>0</x:v>
      </x:c>
      <x:c r="H54" t="n">
        <x:v>5.89</x:v>
      </x:c>
      <x:c r="I54" t="n">
        <x:v>1.24</x:v>
      </x:c>
      <x:c r="J54" t="n">
        <x:v>25609.7</x:v>
      </x:c>
      <x:c r="K54" t="n">
        <x:v>565027.19</x:v>
      </x:c>
      <x:c r="L54" t="n">
        <x:v>14633.4</x:v>
      </x:c>
      <x:c r="M54" t="n">
        <x:f>SUM(E54,J54:L54)</x:f>
        <x:v>11017769.379999999</x:v>
      </x:c>
      <x:c r="N54" t="n">
        <x:v>2320</x:v>
      </x:c>
      <x:c r="O54" t="n">
        <x:f>D54*N54</x:f>
        <x:v>14843360</x:v>
      </x:c>
      <x:c r="P54" s="22" t="n">
        <x:f>IF(O54=0,0,(M54-O54)/O54)</x:f>
        <x:v>-0.25773077120005183</x:v>
      </x:c>
      <x:c r="Q54" s="20" t="n">
        <x:v>45255</x:v>
      </x:c>
    </x:row>
    <x:row r="55" ht="20" customHeight="1">
      <x:c r="A55" t="str">
        <x:v>WO00041</x:v>
      </x:c>
      <x:c r="B55" t="str">
        <x:v>LOT00041</x:v>
      </x:c>
      <x:c r="C55" t="str">
        <x:v>AUTO-MH-B</x:v>
      </x:c>
      <x:c r="D55" t="n">
        <x:v>6439</x:v>
      </x:c>
      <x:c r="E55" t="n">
        <x:v>10016648.6</x:v>
      </x:c>
      <x:c r="F55" t="n">
        <x:v>33.94</x:v>
      </x:c>
      <x:c r="G55" t="n">
        <x:v>0</x:v>
      </x:c>
      <x:c r="H55" t="n">
        <x:v>5.81</x:v>
      </x:c>
      <x:c r="I55" t="n">
        <x:v>1.27</x:v>
      </x:c>
      <x:c r="J55" t="n">
        <x:v>24849.8</x:v>
      </x:c>
      <x:c r="K55" t="n">
        <x:v>567796.26</x:v>
      </x:c>
      <x:c r="L55" t="n">
        <x:v>14207.8</x:v>
      </x:c>
      <x:c r="M55" t="n">
        <x:f>SUM(E55,J55:L55)</x:f>
        <x:v>10623502.459999999</x:v>
      </x:c>
      <x:c r="N55" t="n">
        <x:v>2320</x:v>
      </x:c>
      <x:c r="O55" t="n">
        <x:f>D55*N55</x:f>
        <x:v>14938480</x:v>
      </x:c>
      <x:c r="P55" s="22" t="n">
        <x:f>IF(O55=0,0,(M55-O55)/O55)</x:f>
        <x:v>-0.2888498388055546</x:v>
      </x:c>
      <x:c r="Q55" s="20" t="n">
        <x:v>45255</x:v>
      </x:c>
    </x:row>
    <x:row r="56" ht="20" customHeight="1">
      <x:c r="A56" t="str">
        <x:v>WO00035</x:v>
      </x:c>
      <x:c r="B56" t="str">
        <x:v>LOT00035</x:v>
      </x:c>
      <x:c r="C56" t="str">
        <x:v>PM-VAC-A</x:v>
      </x:c>
      <x:c r="D56" t="n">
        <x:v>593</x:v>
      </x:c>
      <x:c r="E56" t="n">
        <x:v>3924155.94</x:v>
      </x:c>
      <x:c r="F56" t="n">
        <x:v>5.06</x:v>
      </x:c>
      <x:c r="G56" t="n">
        <x:v>0</x:v>
      </x:c>
      <x:c r="H56" t="n">
        <x:v>1.18</x:v>
      </x:c>
      <x:c r="I56" t="n">
        <x:v>1.47</x:v>
      </x:c>
      <x:c r="J56" t="n">
        <x:v>3855.4</x:v>
      </x:c>
      <x:c r="K56" t="n">
        <x:v>442370.88</x:v>
      </x:c>
      <x:c r="L56" t="n">
        <x:v>2552.6</x:v>
      </x:c>
      <x:c r="M56" t="n">
        <x:f>SUM(E56,J56:L56)</x:f>
        <x:v>4372934.82</x:v>
      </x:c>
      <x:c r="N56" t="n">
        <x:v>10800</x:v>
      </x:c>
      <x:c r="O56" t="n">
        <x:f>D56*N56</x:f>
        <x:v>6404400</x:v>
      </x:c>
      <x:c r="P56" s="22" t="n">
        <x:f>IF(O56=0,0,(M56-O56)/O56)</x:f>
        <x:v>-0.3171983605021547</x:v>
      </x:c>
      <x:c r="Q56" s="20" t="n">
        <x:v>45262</x:v>
      </x:c>
    </x:row>
    <x:row r="57" ht="20" customHeight="1">
      <x:c r="A57" t="str">
        <x:v>WO00036</x:v>
      </x:c>
      <x:c r="B57" t="str">
        <x:v>LOT00036</x:v>
      </x:c>
      <x:c r="C57" t="str">
        <x:v>PM-VAC-A</x:v>
      </x:c>
      <x:c r="D57" t="n">
        <x:v>595</x:v>
      </x:c>
      <x:c r="E57" t="n">
        <x:v>3725926.57</x:v>
      </x:c>
      <x:c r="F57" t="n">
        <x:v>5.78</x:v>
      </x:c>
      <x:c r="G57" t="n">
        <x:v>0</x:v>
      </x:c>
      <x:c r="H57" t="n">
        <x:v>1.03</x:v>
      </x:c>
      <x:c r="I57" t="n">
        <x:v>1.61</x:v>
      </x:c>
      <x:c r="J57" t="n">
        <x:v>4251.4</x:v>
      </x:c>
      <x:c r="K57" t="n">
        <x:v>443307.98</x:v>
      </x:c>
      <x:c r="L57" t="n">
        <x:v>2844.2</x:v>
      </x:c>
      <x:c r="M57" t="n">
        <x:f>SUM(E57,J57:L57)</x:f>
        <x:v>4176330.15</x:v>
      </x:c>
      <x:c r="N57" t="n">
        <x:v>10800</x:v>
      </x:c>
      <x:c r="O57" t="n">
        <x:f>D57*N57</x:f>
        <x:v>6426000</x:v>
      </x:c>
      <x:c r="P57" s="22" t="n">
        <x:f>IF(O57=0,0,(M57-O57)/O57)</x:f>
        <x:v>-0.3500886788048553</x:v>
      </x:c>
      <x:c r="Q57" s="20" t="n">
        <x:v>45268</x:v>
      </x:c>
    </x:row>
    <x:row r="58" ht="20" customHeight="1">
      <x:c r="A58" t="str">
        <x:v>WO00042</x:v>
      </x:c>
      <x:c r="B58" t="str">
        <x:v>LOT00042</x:v>
      </x:c>
      <x:c r="C58" t="str">
        <x:v>PM-VAC-B</x:v>
      </x:c>
      <x:c r="D58" t="n">
        <x:v>486</x:v>
      </x:c>
      <x:c r="E58" t="n">
        <x:v>4930135.87</x:v>
      </x:c>
      <x:c r="F58" t="n">
        <x:v>4.46</x:v>
      </x:c>
      <x:c r="G58" t="n">
        <x:v>0</x:v>
      </x:c>
      <x:c r="H58" t="n">
        <x:v>0.92</x:v>
      </x:c>
      <x:c r="I58" t="n">
        <x:v>1.52</x:v>
      </x:c>
      <x:c r="J58" t="n">
        <x:v>3340.6</x:v>
      </x:c>
      <x:c r="K58" t="n">
        <x:v>563485.72</x:v>
      </x:c>
      <x:c r="L58" t="n">
        <x:v>2298</x:v>
      </x:c>
      <x:c r="M58" t="n">
        <x:f>SUM(E58,J58:L58)</x:f>
        <x:v>5499260.19</x:v>
      </x:c>
      <x:c r="N58" t="n">
        <x:v>15500</x:v>
      </x:c>
      <x:c r="O58" t="n">
        <x:f>D58*N58</x:f>
        <x:v>7533000</x:v>
      </x:c>
      <x:c r="P58" s="22" t="n">
        <x:f>IF(O58=0,0,(M58-O58)/O58)</x:f>
        <x:v>-0.26997740740740733</x:v>
      </x:c>
      <x:c r="Q58" s="20" t="n">
        <x:v>45272</x:v>
      </x:c>
    </x:row>
    <x:row r="59" ht="20" customHeight="1">
      <x:c r="A59" t="str">
        <x:v>WO00048</x:v>
      </x:c>
      <x:c r="B59" t="str">
        <x:v>LOT00048</x:v>
      </x:c>
      <x:c r="C59" t="str">
        <x:v>PM-BRG-A</x:v>
      </x:c>
      <x:c r="D59" t="n">
        <x:v>492</x:v>
      </x:c>
      <x:c r="E59" t="n">
        <x:v>1271484.95</x:v>
      </x:c>
      <x:c r="F59" t="n">
        <x:v>4.3</x:v>
      </x:c>
      <x:c r="G59" t="n">
        <x:v>0</x:v>
      </x:c>
      <x:c r="H59" t="n">
        <x:v>0.83</x:v>
      </x:c>
      <x:c r="I59" t="n">
        <x:v>1.76</x:v>
      </x:c>
      <x:c r="J59" t="n">
        <x:v>3193.4</x:v>
      </x:c>
      <x:c r="K59" t="n">
        <x:v>91803.67</x:v>
      </x:c>
      <x:c r="L59" t="n">
        <x:v>2294.8</x:v>
      </x:c>
      <x:c r="M59" t="n">
        <x:f>SUM(E59,J59:L59)</x:f>
        <x:v>1368776.8199999998</x:v>
      </x:c>
      <x:c r="N59" t="n">
        <x:v>4450</x:v>
      </x:c>
      <x:c r="O59" t="n">
        <x:f>D59*N59</x:f>
        <x:v>2189400</x:v>
      </x:c>
      <x:c r="P59" s="22" t="n">
        <x:f>IF(O59=0,0,(M59-O59)/O59)</x:f>
        <x:v>-0.3748164702658263</x:v>
      </x:c>
      <x:c r="Q59" s="20" t="n">
        <x:v>45257</x:v>
      </x:c>
    </x:row>
    <x:row r="60" ht="20" customHeight="1">
      <x:c r="A60" t="str">
        <x:v>WO00045</x:v>
      </x:c>
      <x:c r="B60" t="str">
        <x:v>LOT00045</x:v>
      </x:c>
      <x:c r="C60" t="str">
        <x:v>PM-VAC-B</x:v>
      </x:c>
      <x:c r="D60" t="n">
        <x:v>489</x:v>
      </x:c>
      <x:c r="E60" t="n">
        <x:v>4732954.44</x:v>
      </x:c>
      <x:c r="F60" t="n">
        <x:v>4.8</x:v>
      </x:c>
      <x:c r="G60" t="n">
        <x:v>0</x:v>
      </x:c>
      <x:c r="H60" t="n">
        <x:v>0.86</x:v>
      </x:c>
      <x:c r="I60" t="n">
        <x:v>1.58</x:v>
      </x:c>
      <x:c r="J60" t="n">
        <x:v>3532.8</x:v>
      </x:c>
      <x:c r="K60" t="n">
        <x:v>504062.76</x:v>
      </x:c>
      <x:c r="L60" t="n">
        <x:v>2435.6</x:v>
      </x:c>
      <x:c r="M60" t="n">
        <x:f>SUM(E60,J60:L60)</x:f>
        <x:v>5242985.600000001</x:v>
      </x:c>
      <x:c r="N60" t="n">
        <x:v>15500</x:v>
      </x:c>
      <x:c r="O60" t="n">
        <x:f>D60*N60</x:f>
        <x:v>7579500</x:v>
      </x:c>
      <x:c r="P60" s="22" t="n">
        <x:f>IF(O60=0,0,(M60-O60)/O60)</x:f>
        <x:v>-0.3082676165974008</x:v>
      </x:c>
      <x:c r="Q60" s="20" t="n">
        <x:v>45276</x:v>
      </x:c>
    </x:row>
    <x:row r="61" ht="20" customHeight="1">
      <x:c r="A61" t="str">
        <x:v>WO00062</x:v>
      </x:c>
      <x:c r="B61" t="str">
        <x:v>LOT00062</x:v>
      </x:c>
      <x:c r="C61" t="str">
        <x:v>AUTO-LG-B</x:v>
      </x:c>
      <x:c r="D61" t="n">
        <x:v>2962</x:v>
      </x:c>
      <x:c r="E61" t="n">
        <x:v>1714497.94</x:v>
      </x:c>
      <x:c r="F61" t="n">
        <x:v>15.3</x:v>
      </x:c>
      <x:c r="G61" t="n">
        <x:v>0</x:v>
      </x:c>
      <x:c r="H61" t="n">
        <x:v>2.49</x:v>
      </x:c>
      <x:c r="I61" t="n">
        <x:v>1.16</x:v>
      </x:c>
      <x:c r="J61" t="n">
        <x:v>11140.2</x:v>
      </x:c>
      <x:c r="K61" t="n">
        <x:v>145656.58</x:v>
      </x:c>
      <x:c r="L61" t="n">
        <x:v>6560.4</x:v>
      </x:c>
      <x:c r="M61" t="n">
        <x:f>SUM(E61,J61:L61)</x:f>
        <x:v>1877855.1199999999</x:v>
      </x:c>
      <x:c r="N61" t="n">
        <x:v>925</x:v>
      </x:c>
      <x:c r="O61" t="n">
        <x:f>D61*N61</x:f>
        <x:v>2739850</x:v>
      </x:c>
      <x:c r="P61" s="22" t="n">
        <x:f>IF(O61=0,0,(M61-O61)/O61)</x:f>
        <x:v>-0.31461389492125486</x:v>
      </x:c>
      <x:c r="Q61" s="20" t="n">
        <x:v>45261</x:v>
      </x:c>
    </x:row>
    <x:row r="62" ht="20" customHeight="1">
      <x:c r="A62" t="str">
        <x:v>WO00072</x:v>
      </x:c>
      <x:c r="B62" t="str">
        <x:v>LOT00072</x:v>
      </x:c>
      <x:c r="C62" t="str">
        <x:v>AUTO-BRK-B</x:v>
      </x:c>
      <x:c r="D62" t="n">
        <x:v>6915</x:v>
      </x:c>
      <x:c r="E62" t="n">
        <x:v>8089987.64</x:v>
      </x:c>
      <x:c r="F62" t="n">
        <x:v>34.19</x:v>
      </x:c>
      <x:c r="G62" t="n">
        <x:v>0</x:v>
      </x:c>
      <x:c r="H62" t="n">
        <x:v>5.73</x:v>
      </x:c>
      <x:c r="I62" t="n">
        <x:v>1.14</x:v>
      </x:c>
      <x:c r="J62" t="n">
        <x:v>24973.9</x:v>
      </x:c>
      <x:c r="K62" t="n">
        <x:v>604501.01</x:v>
      </x:c>
      <x:c r="L62" t="n">
        <x:v>14251</x:v>
      </x:c>
      <x:c r="M62" t="n">
        <x:f>SUM(E62,J62:L62)</x:f>
        <x:v>8733713.549999999</x:v>
      </x:c>
      <x:c r="N62" t="n">
        <x:v>1660</x:v>
      </x:c>
      <x:c r="O62" t="n">
        <x:f>D62*N62</x:f>
        <x:v>11478900</x:v>
      </x:c>
      <x:c r="P62" s="22" t="n">
        <x:f>IF(O62=0,0,(M62-O62)/O62)</x:f>
        <x:v>-0.23915065467945545</x:v>
      </x:c>
      <x:c r="Q62" s="20" t="n">
        <x:v>45262</x:v>
      </x:c>
    </x:row>
    <x:row r="63" ht="20" customHeight="1">
      <x:c r="A63" t="str">
        <x:v>WO00081</x:v>
      </x:c>
      <x:c r="B63" t="str">
        <x:v>LOT00081</x:v>
      </x:c>
      <x:c r="C63" t="str">
        <x:v>AUTO-BRK-A</x:v>
      </x:c>
      <x:c r="D63" t="n">
        <x:v>4910</x:v>
      </x:c>
      <x:c r="E63" t="n">
        <x:v>4742571.19</x:v>
      </x:c>
      <x:c r="F63" t="n">
        <x:v>24.78</x:v>
      </x:c>
      <x:c r="G63" t="n">
        <x:v>0</x:v>
      </x:c>
      <x:c r="H63" t="n">
        <x:v>4.64</x:v>
      </x:c>
      <x:c r="I63" t="n">
        <x:v>1.2</x:v>
      </x:c>
      <x:c r="J63" t="n">
        <x:v>18334.2</x:v>
      </x:c>
      <x:c r="K63" t="n">
        <x:v>423043.36</x:v>
      </x:c>
      <x:c r="L63" t="n">
        <x:v>10518.8</x:v>
      </x:c>
      <x:c r="M63" t="n">
        <x:f>SUM(E63,J63:L63)</x:f>
        <x:v>5194467.550000001</x:v>
      </x:c>
      <x:c r="N63" t="n">
        <x:v>1380</x:v>
      </x:c>
      <x:c r="O63" t="n">
        <x:f>D63*N63</x:f>
        <x:v>6775800</x:v>
      </x:c>
      <x:c r="P63" s="22" t="n">
        <x:f>IF(O63=0,0,(M63-O63)/O63)</x:f>
        <x:v>-0.23337944596947952</x:v>
      </x:c>
      <x:c r="Q63" s="20" t="n">
        <x:v>45265</x:v>
      </x:c>
    </x:row>
    <x:row r="64" ht="20" customHeight="1">
      <x:c r="A64" t="str">
        <x:v>WO00063</x:v>
      </x:c>
      <x:c r="B64" t="str">
        <x:v>LOT00063</x:v>
      </x:c>
      <x:c r="C64" t="str">
        <x:v>MECH-STG-A</x:v>
      </x:c>
      <x:c r="D64" t="n">
        <x:v>15</x:v>
      </x:c>
      <x:c r="E64" t="n">
        <x:v>1054167.82</x:v>
      </x:c>
      <x:c r="F64" t="n">
        <x:v>1059.33</x:v>
      </x:c>
      <x:c r="G64" t="n">
        <x:v>3200.77</x:v>
      </x:c>
      <x:c r="H64" t="n">
        <x:v>2565.49</x:v>
      </x:c>
      <x:c r="I64" t="n">
        <x:v>3.17</x:v>
      </x:c>
      <x:c r="J64" t="n">
        <x:v>3584400.1</x:v>
      </x:c>
      <x:c r="K64" t="n">
        <x:v>83963.65</x:v>
      </x:c>
      <x:c r="L64" t="n">
        <x:v>1454128.8</x:v>
      </x:c>
      <x:c r="M64" t="n">
        <x:f>SUM(E64,J64:L64)</x:f>
        <x:v>6176660.37</x:v>
      </x:c>
      <x:c r="N64" t="n">
        <x:v>104000</x:v>
      </x:c>
      <x:c r="O64" t="n">
        <x:f>D64*N64</x:f>
        <x:v>1560000</x:v>
      </x:c>
      <x:c r="P64" s="22" t="n">
        <x:f>IF(O64=0,0,(M64-O64)/O64)</x:f>
        <x:v>2.959397673076923</x:v>
      </x:c>
      <x:c r="Q64" s="20" t="n">
        <x:v>45287</x:v>
      </x:c>
    </x:row>
    <x:row r="65" ht="20" customHeight="1">
      <x:c r="A65" t="str">
        <x:v>WO00064</x:v>
      </x:c>
      <x:c r="B65" t="str">
        <x:v>LOT00064</x:v>
      </x:c>
      <x:c r="C65" t="str">
        <x:v>MECH-STG-A</x:v>
      </x:c>
      <x:c r="D65" t="n">
        <x:v>15</x:v>
      </x:c>
      <x:c r="E65" t="n">
        <x:v>1062845.85</x:v>
      </x:c>
      <x:c r="F65" t="n">
        <x:v>1030.01</x:v>
      </x:c>
      <x:c r="G65" t="n">
        <x:v>3659.33</x:v>
      </x:c>
      <x:c r="H65" t="n">
        <x:v>2864.5</x:v>
      </x:c>
      <x:c r="I65" t="n">
        <x:v>2.84</x:v>
      </x:c>
      <x:c r="J65" t="n">
        <x:v>3947318.1</x:v>
      </x:c>
      <x:c r="K65" t="n">
        <x:v>83105.55</x:v>
      </x:c>
      <x:c r="L65" t="n">
        <x:v>1582441.8</x:v>
      </x:c>
      <x:c r="M65" t="n">
        <x:f>SUM(E65,J65:L65)</x:f>
        <x:v>6675711.300000001</x:v>
      </x:c>
      <x:c r="N65" t="n">
        <x:v>104000</x:v>
      </x:c>
      <x:c r="O65" t="n">
        <x:f>D65*N65</x:f>
        <x:v>1560000</x:v>
      </x:c>
      <x:c r="P65" s="22" t="n">
        <x:f>IF(O65=0,0,(M65-O65)/O65)</x:f>
        <x:v>3.279302115384616</x:v>
      </x:c>
      <x:c r="Q65" s="20" t="n">
        <x:v>45288</x:v>
      </x:c>
    </x:row>
    <x:row r="66" ht="20" customHeight="1">
      <x:c r="A66" t="str">
        <x:v>WO00071</x:v>
      </x:c>
      <x:c r="B66" t="str">
        <x:v>LOT00071</x:v>
      </x:c>
      <x:c r="C66" t="str">
        <x:v>PM-ALB-B</x:v>
      </x:c>
      <x:c r="D66" t="n">
        <x:v>779</x:v>
      </x:c>
      <x:c r="E66" t="n">
        <x:v>6075889.33</x:v>
      </x:c>
      <x:c r="F66" t="n">
        <x:v>6.69</x:v>
      </x:c>
      <x:c r="G66" t="n">
        <x:v>0</x:v>
      </x:c>
      <x:c r="H66" t="n">
        <x:v>1.67</x:v>
      </x:c>
      <x:c r="I66" t="n">
        <x:v>1.55</x:v>
      </x:c>
      <x:c r="J66" t="n">
        <x:v>5150.1</x:v>
      </x:c>
      <x:c r="K66" t="n">
        <x:v>341089.36</x:v>
      </x:c>
      <x:c r="L66" t="n">
        <x:v>3274.4</x:v>
      </x:c>
      <x:c r="M66" t="n">
        <x:f>SUM(E66,J66:L66)</x:f>
        <x:v>6425403.19</x:v>
      </x:c>
      <x:c r="N66" t="n">
        <x:v>11750</x:v>
      </x:c>
      <x:c r="O66" t="n">
        <x:f>D66*N66</x:f>
        <x:v>9153250</x:v>
      </x:c>
      <x:c r="P66" s="22" t="n">
        <x:f>IF(O66=0,0,(M66-O66)/O66)</x:f>
        <x:v>-0.29801948051238625</x:v>
      </x:c>
      <x:c r="Q66" s="20" t="n">
        <x:v>45272</x:v>
      </x:c>
    </x:row>
    <x:row r="67" ht="20" customHeight="1">
      <x:c r="A67" t="str">
        <x:v>WO00068</x:v>
      </x:c>
      <x:c r="B67" t="str">
        <x:v>LOT00068</x:v>
      </x:c>
      <x:c r="C67" t="str">
        <x:v>AUTO-BS-B</x:v>
      </x:c>
      <x:c r="D67" t="n">
        <x:v>4932</x:v>
      </x:c>
      <x:c r="E67" t="n">
        <x:v>2063044.82</x:v>
      </x:c>
      <x:c r="F67" t="n">
        <x:v>27.11</x:v>
      </x:c>
      <x:c r="G67" t="n">
        <x:v>0</x:v>
      </x:c>
      <x:c r="H67" t="n">
        <x:v>3.61</x:v>
      </x:c>
      <x:c r="I67" t="n">
        <x:v>1.15</x:v>
      </x:c>
      <x:c r="J67" t="n">
        <x:v>19354.3</x:v>
      </x:c>
      <x:c r="K67" t="n">
        <x:v>181414.59</x:v>
      </x:c>
      <x:c r="L67" t="n">
        <x:v>11224.4</x:v>
      </x:c>
      <x:c r="M67" t="n">
        <x:f>SUM(E67,J67:L67)</x:f>
        <x:v>2275038.11</x:v>
      </x:c>
      <x:c r="N67" t="n">
        <x:v>650</x:v>
      </x:c>
      <x:c r="O67" t="n">
        <x:f>D67*N67</x:f>
        <x:v>3205800</x:v>
      </x:c>
      <x:c r="P67" s="22" t="n">
        <x:f>IF(O67=0,0,(M67-O67)/O67)</x:f>
        <x:v>-0.29033685507517626</x:v>
      </x:c>
      <x:c r="Q67" s="20" t="n">
        <x:v>45262</x:v>
      </x:c>
    </x:row>
    <x:row r="68" ht="20" customHeight="1">
      <x:c r="A68" t="str">
        <x:v>WO00069</x:v>
      </x:c>
      <x:c r="B68" t="str">
        <x:v>LOT00069</x:v>
      </x:c>
      <x:c r="C68" t="str">
        <x:v>PM-BRG-B</x:v>
      </x:c>
      <x:c r="D68" t="n">
        <x:v>781</x:v>
      </x:c>
      <x:c r="E68" t="n">
        <x:v>2499501.84</x:v>
      </x:c>
      <x:c r="F68" t="n">
        <x:v>6.67</x:v>
      </x:c>
      <x:c r="G68" t="n">
        <x:v>0</x:v>
      </x:c>
      <x:c r="H68" t="n">
        <x:v>1.33</x:v>
      </x:c>
      <x:c r="I68" t="n">
        <x:v>1.97</x:v>
      </x:c>
      <x:c r="J68" t="n">
        <x:v>4973.9</x:v>
      </x:c>
      <x:c r="K68" t="n">
        <x:v>221894.75</x:v>
      </x:c>
      <x:c r="L68" t="n">
        <x:v>3338.4</x:v>
      </x:c>
      <x:c r="M68" t="n">
        <x:f>SUM(E68,J68:L68)</x:f>
        <x:v>2729708.8899999997</x:v>
      </x:c>
      <x:c r="N68" t="n">
        <x:v>5400</x:v>
      </x:c>
      <x:c r="O68" t="n">
        <x:f>D68*N68</x:f>
        <x:v>4217400</x:v>
      </x:c>
      <x:c r="P68" s="22" t="n">
        <x:f>IF(O68=0,0,(M68-O68)/O68)</x:f>
        <x:v>-0.35275077298809704</x:v>
      </x:c>
      <x:c r="Q68" s="20" t="n">
        <x:v>45270</x:v>
      </x:c>
    </x:row>
    <x:row r="69" ht="20" customHeight="1">
      <x:c r="A69" t="str">
        <x:v>WO00080</x:v>
      </x:c>
      <x:c r="B69" t="str">
        <x:v>LOT00080</x:v>
      </x:c>
      <x:c r="C69" t="str">
        <x:v>AUTO-KN-A</x:v>
      </x:c>
      <x:c r="D69" t="n">
        <x:v>2966</x:v>
      </x:c>
      <x:c r="E69" t="n">
        <x:v>4472744.72</x:v>
      </x:c>
      <x:c r="F69" t="n">
        <x:v>15.96</x:v>
      </x:c>
      <x:c r="G69" t="n">
        <x:v>0</x:v>
      </x:c>
      <x:c r="H69" t="n">
        <x:v>2.32</x:v>
      </x:c>
      <x:c r="I69" t="n">
        <x:v>1.1</x:v>
      </x:c>
      <x:c r="J69" t="n">
        <x:v>11487.6</x:v>
      </x:c>
      <x:c r="K69" t="n">
        <x:v>376087.43</x:v>
      </x:c>
      <x:c r="L69" t="n">
        <x:v>6766</x:v>
      </x:c>
      <x:c r="M69" t="n">
        <x:f>SUM(E69,J69:L69)</x:f>
        <x:v>4867085.75</x:v>
      </x:c>
      <x:c r="N69" t="n">
        <x:v>2210</x:v>
      </x:c>
      <x:c r="O69" t="n">
        <x:f>D69*N69</x:f>
        <x:v>6554860</x:v>
      </x:c>
      <x:c r="P69" s="22" t="n">
        <x:f>IF(O69=0,0,(M69-O69)/O69)</x:f>
        <x:v>-0.25748440851520854</x:v>
      </x:c>
      <x:c r="Q69" s="20" t="n">
        <x:v>45271</x:v>
      </x:c>
    </x:row>
    <x:row r="70" ht="20" customHeight="1">
      <x:c r="A70" t="str">
        <x:v>WO00070</x:v>
      </x:c>
      <x:c r="B70" t="str">
        <x:v>LOT00070</x:v>
      </x:c>
      <x:c r="C70" t="str">
        <x:v>PM-BRG-B</x:v>
      </x:c>
      <x:c r="D70" t="n">
        <x:v>787</x:v>
      </x:c>
      <x:c r="E70" t="n">
        <x:v>2514074.47</x:v>
      </x:c>
      <x:c r="F70" t="n">
        <x:v>6.35</x:v>
      </x:c>
      <x:c r="G70" t="n">
        <x:v>0</x:v>
      </x:c>
      <x:c r="H70" t="n">
        <x:v>1.69</x:v>
      </x:c>
      <x:c r="I70" t="n">
        <x:v>1.41</x:v>
      </x:c>
      <x:c r="J70" t="n">
        <x:v>4938.7</x:v>
      </x:c>
      <x:c r="K70" t="n">
        <x:v>223819.17</x:v>
      </x:c>
      <x:c r="L70" t="n">
        <x:v>3106.4</x:v>
      </x:c>
      <x:c r="M70" t="n">
        <x:f>SUM(E70,J70:L70)</x:f>
        <x:v>2745938.74</x:v>
      </x:c>
      <x:c r="N70" t="n">
        <x:v>5400</x:v>
      </x:c>
      <x:c r="O70" t="n">
        <x:f>D70*N70</x:f>
        <x:v>4249800</x:v>
      </x:c>
      <x:c r="P70" s="22" t="n">
        <x:f>IF(O70=0,0,(M70-O70)/O70)</x:f>
        <x:v>-0.3538663607699185</x:v>
      </x:c>
      <x:c r="Q70" s="20" t="n">
        <x:v>45270</x:v>
      </x:c>
    </x:row>
    <x:row r="71" ht="20" customHeight="1">
      <x:c r="A71" t="str">
        <x:v>WO00077</x:v>
      </x:c>
      <x:c r="B71" t="str">
        <x:v>LOT00077</x:v>
      </x:c>
      <x:c r="C71" t="str">
        <x:v>SEMI-WH-A</x:v>
      </x:c>
      <x:c r="D71" t="n">
        <x:v>79</x:v>
      </x:c>
      <x:c r="E71" t="n">
        <x:v>4273509.3</x:v>
      </x:c>
      <x:c r="F71" t="n">
        <x:v>1.93</x:v>
      </x:c>
      <x:c r="G71" t="n">
        <x:v>0</x:v>
      </x:c>
      <x:c r="H71" t="n">
        <x:v>0.72</x:v>
      </x:c>
      <x:c r="I71" t="n">
        <x:v>3.12</x:v>
      </x:c>
      <x:c r="J71" t="n">
        <x:v>1600.1</x:v>
      </x:c>
      <x:c r="K71" t="n">
        <x:v>532659.32</x:v>
      </x:c>
      <x:c r="L71" t="n">
        <x:v>1784.6</x:v>
      </x:c>
      <x:c r="M71" t="n">
        <x:f>SUM(E71,J71:L71)</x:f>
        <x:v>4809553.319999999</x:v>
      </x:c>
      <x:c r="N71" t="n">
        <x:v>88000</x:v>
      </x:c>
      <x:c r="O71" t="n">
        <x:f>D71*N71</x:f>
        <x:v>6952000</x:v>
      </x:c>
      <x:c r="P71" s="22" t="n">
        <x:f>IF(O71=0,0,(M71-O71)/O71)</x:f>
        <x:v>-0.3081770253164558</x:v>
      </x:c>
      <x:c r="Q71" s="20" t="n">
        <x:v>45300</x:v>
      </x:c>
    </x:row>
    <x:row r="72" ht="20" customHeight="1">
      <x:c r="A72" t="str">
        <x:v>WO00065</x:v>
      </x:c>
      <x:c r="B72" t="str">
        <x:v>LOT00065</x:v>
      </x:c>
      <x:c r="C72" t="str">
        <x:v>AUTO-BS-A</x:v>
      </x:c>
      <x:c r="D72" t="n">
        <x:v>4894</x:v>
      </x:c>
      <x:c r="E72" t="n">
        <x:v>1661249.49</x:v>
      </x:c>
      <x:c r="F72" t="n">
        <x:v>22.71</x:v>
      </x:c>
      <x:c r="G72" t="n">
        <x:v>0</x:v>
      </x:c>
      <x:c r="H72" t="n">
        <x:v>4.35</x:v>
      </x:c>
      <x:c r="I72" t="n">
        <x:v>1.12</x:v>
      </x:c>
      <x:c r="J72" t="n">
        <x:v>16849.5</x:v>
      </x:c>
      <x:c r="K72" t="n">
        <x:v>163291.75</x:v>
      </x:c>
      <x:c r="L72" t="n">
        <x:v>9661.8</x:v>
      </x:c>
      <x:c r="M72" t="n">
        <x:f>SUM(E72,J72:L72)</x:f>
        <x:v>1851052.54</x:v>
      </x:c>
      <x:c r="N72" t="n">
        <x:v>550</x:v>
      </x:c>
      <x:c r="O72" t="n">
        <x:f>D72*N72</x:f>
        <x:v>2691700</x:v>
      </x:c>
      <x:c r="P72" s="22" t="n">
        <x:f>IF(O72=0,0,(M72-O72)/O72)</x:f>
        <x:v>-0.31231097819222053</x:v>
      </x:c>
      <x:c r="Q72" s="20" t="n">
        <x:v>45264</x:v>
      </x:c>
    </x:row>
    <x:row r="73" ht="20" customHeight="1">
      <x:c r="A73" t="str">
        <x:v>WO00073</x:v>
      </x:c>
      <x:c r="B73" t="str">
        <x:v>LOT00073</x:v>
      </x:c>
      <x:c r="C73" t="str">
        <x:v>AUTO-LG-A</x:v>
      </x:c>
      <x:c r="D73" t="n">
        <x:v>4927</x:v>
      </x:c>
      <x:c r="E73" t="n">
        <x:v>2683788.23</x:v>
      </x:c>
      <x:c r="F73" t="n">
        <x:v>26.38</x:v>
      </x:c>
      <x:c r="G73" t="n">
        <x:v>0</x:v>
      </x:c>
      <x:c r="H73" t="n">
        <x:v>4.09</x:v>
      </x:c>
      <x:c r="I73" t="n">
        <x:v>1.1</x:v>
      </x:c>
      <x:c r="J73" t="n">
        <x:v>19110.2</x:v>
      </x:c>
      <x:c r="K73" t="n">
        <x:v>202543.68</x:v>
      </x:c>
      <x:c r="L73" t="n">
        <x:v>11008.8</x:v>
      </x:c>
      <x:c r="M73" t="n">
        <x:f>SUM(E73,J73:L73)</x:f>
        <x:v>2916450.91</x:v>
      </x:c>
      <x:c r="N73" t="n">
        <x:v>840</x:v>
      </x:c>
      <x:c r="O73" t="n">
        <x:f>D73*N73</x:f>
        <x:v>4138680</x:v>
      </x:c>
      <x:c r="P73" s="22" t="n">
        <x:f>IF(O73=0,0,(M73-O73)/O73)</x:f>
        <x:v>-0.2953185774208201</x:v>
      </x:c>
      <x:c r="Q73" s="20" t="n">
        <x:v>45269</x:v>
      </x:c>
    </x:row>
    <x:row r="74" ht="20" customHeight="1">
      <x:c r="A74" t="str">
        <x:v>WO00076</x:v>
      </x:c>
      <x:c r="B74" t="str">
        <x:v>LOT00076</x:v>
      </x:c>
      <x:c r="C74" t="str">
        <x:v>SEMI-WH-A</x:v>
      </x:c>
      <x:c r="D74" t="n">
        <x:v>79</x:v>
      </x:c>
      <x:c r="E74" t="n">
        <x:v>4368936.03</x:v>
      </x:c>
      <x:c r="F74" t="n">
        <x:v>2.13</x:v>
      </x:c>
      <x:c r="G74" t="n">
        <x:v>0</x:v>
      </x:c>
      <x:c r="H74" t="n">
        <x:v>0.76</x:v>
      </x:c>
      <x:c r="I74" t="n">
        <x:v>3</x:v>
      </x:c>
      <x:c r="J74" t="n">
        <x:v>1749.3</x:v>
      </x:c>
      <x:c r="K74" t="n">
        <x:v>601041.27</x:v>
      </x:c>
      <x:c r="L74" t="n">
        <x:v>1831</x:v>
      </x:c>
      <x:c r="M74" t="n">
        <x:f>SUM(E74,J74:L74)</x:f>
        <x:v>4973557.600000001</x:v>
      </x:c>
      <x:c r="N74" t="n">
        <x:v>88000</x:v>
      </x:c>
      <x:c r="O74" t="n">
        <x:f>D74*N74</x:f>
        <x:v>6952000</x:v>
      </x:c>
      <x:c r="P74" s="22" t="n">
        <x:f>IF(O74=0,0,(M74-O74)/O74)</x:f>
        <x:v>-0.284586075949367</x:v>
      </x:c>
      <x:c r="Q74" s="20" t="n">
        <x:v>45311</x:v>
      </x:c>
    </x:row>
    <x:row r="75" ht="20" customHeight="1">
      <x:c r="A75" t="str">
        <x:v>WO00074</x:v>
      </x:c>
      <x:c r="B75" t="str">
        <x:v>LOT00074</x:v>
      </x:c>
      <x:c r="C75" t="str">
        <x:v>AUTO-LG-A</x:v>
      </x:c>
      <x:c r="D75" t="n">
        <x:v>4987</x:v>
      </x:c>
      <x:c r="E75" t="n">
        <x:v>2740216</x:v>
      </x:c>
      <x:c r="F75" t="n">
        <x:v>25.14</x:v>
      </x:c>
      <x:c r="G75" t="n">
        <x:v>0</x:v>
      </x:c>
      <x:c r="H75" t="n">
        <x:v>3.59</x:v>
      </x:c>
      <x:c r="I75" t="n">
        <x:v>1.18</x:v>
      </x:c>
      <x:c r="J75" t="n">
        <x:v>18064.2</x:v>
      </x:c>
      <x:c r="K75" t="n">
        <x:v>186033.96</x:v>
      </x:c>
      <x:c r="L75" t="n">
        <x:v>10481.6</x:v>
      </x:c>
      <x:c r="M75" t="n">
        <x:f>SUM(E75,J75:L75)</x:f>
        <x:v>2954795.76</x:v>
      </x:c>
      <x:c r="N75" t="n">
        <x:v>840</x:v>
      </x:c>
      <x:c r="O75" t="n">
        <x:f>D75*N75</x:f>
        <x:v>4189080</x:v>
      </x:c>
      <x:c r="P75" s="22" t="n">
        <x:f>IF(O75=0,0,(M75-O75)/O75)</x:f>
        <x:v>-0.29464327250852224</x:v>
      </x:c>
      <x:c r="Q75" s="20" t="n">
        <x:v>45273</x:v>
      </x:c>
    </x:row>
    <x:row r="76" ht="20" customHeight="1">
      <x:c r="A76" t="str">
        <x:v>WO00066</x:v>
      </x:c>
      <x:c r="B76" t="str">
        <x:v>LOT00066</x:v>
      </x:c>
      <x:c r="C76" t="str">
        <x:v>AUTO-BS-A</x:v>
      </x:c>
      <x:c r="D76" t="n">
        <x:v>6401</x:v>
      </x:c>
      <x:c r="E76" t="n">
        <x:v>2187866.99</x:v>
      </x:c>
      <x:c r="F76" t="n">
        <x:v>32.21</x:v>
      </x:c>
      <x:c r="G76" t="n">
        <x:v>0</x:v>
      </x:c>
      <x:c r="H76" t="n">
        <x:v>4.67</x:v>
      </x:c>
      <x:c r="I76" t="n">
        <x:v>1.04</x:v>
      </x:c>
      <x:c r="J76" t="n">
        <x:v>23178.1</x:v>
      </x:c>
      <x:c r="K76" t="n">
        <x:v>192316.51</x:v>
      </x:c>
      <x:c r="L76" t="n">
        <x:v>13299</x:v>
      </x:c>
      <x:c r="M76" t="n">
        <x:f>SUM(E76,J76:L76)</x:f>
        <x:v>2416660.6</x:v>
      </x:c>
      <x:c r="N76" t="n">
        <x:v>550</x:v>
      </x:c>
      <x:c r="O76" t="n">
        <x:f>D76*N76</x:f>
        <x:v>3520550</x:v>
      </x:c>
      <x:c r="P76" s="22" t="n">
        <x:f>IF(O76=0,0,(M76-O76)/O76)</x:f>
        <x:v>-0.31355595006462056</x:v>
      </x:c>
      <x:c r="Q76" s="20" t="n">
        <x:v>45272</x:v>
      </x:c>
    </x:row>
    <x:row r="77" ht="20" customHeight="1">
      <x:c r="A77" t="str">
        <x:v>WO00082</x:v>
      </x:c>
      <x:c r="B77" t="str">
        <x:v>LOT00082</x:v>
      </x:c>
      <x:c r="C77" t="str">
        <x:v>AUTO-MH-A</x:v>
      </x:c>
      <x:c r="D77" t="n">
        <x:v>2976</x:v>
      </x:c>
      <x:c r="E77" t="n">
        <x:v>4217550.13</x:v>
      </x:c>
      <x:c r="F77" t="n">
        <x:v>15.31</x:v>
      </x:c>
      <x:c r="G77" t="n">
        <x:v>0</x:v>
      </x:c>
      <x:c r="H77" t="n">
        <x:v>2.19</x:v>
      </x:c>
      <x:c r="I77" t="n">
        <x:v>1.21</x:v>
      </x:c>
      <x:c r="J77" t="n">
        <x:v>11002.7</x:v>
      </x:c>
      <x:c r="K77" t="n">
        <x:v>223849.07</x:v>
      </x:c>
      <x:c r="L77" t="n">
        <x:v>6531.2</x:v>
      </x:c>
      <x:c r="M77" t="n">
        <x:f>SUM(E77,J77:L77)</x:f>
        <x:v>4458933.1</x:v>
      </x:c>
      <x:c r="N77" t="n">
        <x:v>1970</x:v>
      </x:c>
      <x:c r="O77" t="n">
        <x:f>D77*N77</x:f>
        <x:v>5862720</x:v>
      </x:c>
      <x:c r="P77" s="22" t="n">
        <x:f>IF(O77=0,0,(M77-O77)/O77)</x:f>
        <x:v>-0.23944293774903122</x:v>
      </x:c>
      <x:c r="Q77" s="20" t="n">
        <x:v>45279</x:v>
      </x:c>
    </x:row>
    <x:row r="78" ht="20" customHeight="1">
      <x:c r="A78" t="str">
        <x:v>WO00067</x:v>
      </x:c>
      <x:c r="B78" t="str">
        <x:v>LOT00067</x:v>
      </x:c>
      <x:c r="C78" t="str">
        <x:v>AUTO-BS-A</x:v>
      </x:c>
      <x:c r="D78" t="n">
        <x:v>6386</x:v>
      </x:c>
      <x:c r="E78" t="n">
        <x:v>2094188.27</x:v>
      </x:c>
      <x:c r="F78" t="n">
        <x:v>34.78</x:v>
      </x:c>
      <x:c r="G78" t="n">
        <x:v>0</x:v>
      </x:c>
      <x:c r="H78" t="n">
        <x:v>5.88</x:v>
      </x:c>
      <x:c r="I78" t="n">
        <x:v>1.32</x:v>
      </x:c>
      <x:c r="J78" t="n">
        <x:v>25429.4</x:v>
      </x:c>
      <x:c r="K78" t="n">
        <x:v>211812.79</x:v>
      </x:c>
      <x:c r="L78" t="n">
        <x:v>14553.2</x:v>
      </x:c>
      <x:c r="M78" t="n">
        <x:f>SUM(E78,J78:L78)</x:f>
        <x:v>2345983.66</x:v>
      </x:c>
      <x:c r="N78" t="n">
        <x:v>550</x:v>
      </x:c>
      <x:c r="O78" t="n">
        <x:f>D78*N78</x:f>
        <x:v>3512300</x:v>
      </x:c>
      <x:c r="P78" s="22" t="n">
        <x:f>IF(O78=0,0,(M78-O78)/O78)</x:f>
        <x:v>-0.33206626427127517</x:v>
      </x:c>
      <x:c r="Q78" s="20" t="n">
        <x:v>45274</x:v>
      </x:c>
    </x:row>
    <x:row r="79" ht="20" customHeight="1">
      <x:c r="A79" t="str">
        <x:v>WO00075</x:v>
      </x:c>
      <x:c r="B79" t="str">
        <x:v>LOT00075</x:v>
      </x:c>
      <x:c r="C79" t="str">
        <x:v>MECH-CON-A</x:v>
      </x:c>
      <x:c r="D79" t="n">
        <x:v>10</x:v>
      </x:c>
      <x:c r="E79" t="n">
        <x:v>531697.89</x:v>
      </x:c>
      <x:c r="F79" t="n">
        <x:v>861.66</x:v>
      </x:c>
      <x:c r="G79" t="n">
        <x:v>2332.53</x:v>
      </x:c>
      <x:c r="H79" t="n">
        <x:v>1629.23</x:v>
      </x:c>
      <x:c r="I79" t="n">
        <x:v>3.17</x:v>
      </x:c>
      <x:c r="J79" t="n">
        <x:v>2555025</x:v>
      </x:c>
      <x:c r="K79" t="n">
        <x:v>47055.71</x:v>
      </x:c>
      <x:c r="L79" t="n">
        <x:v>1055564.6</x:v>
      </x:c>
      <x:c r="M79" t="n">
        <x:f>SUM(E79,J79:L79)</x:f>
        <x:v>4189343.2</x:v>
      </x:c>
      <x:c r="N79" t="n">
        <x:v>83000</x:v>
      </x:c>
      <x:c r="O79" t="n">
        <x:f>D79*N79</x:f>
        <x:v>830000</x:v>
      </x:c>
      <x:c r="P79" s="22" t="n">
        <x:f>IF(O79=0,0,(M79-O79)/O79)</x:f>
        <x:v>4.047401445783133</x:v>
      </x:c>
      <x:c r="Q79" s="20" t="n">
        <x:v>45299</x:v>
      </x:c>
    </x:row>
    <x:row r="80" ht="20" customHeight="1">
      <x:c r="A80" t="str">
        <x:v>WO00060</x:v>
      </x:c>
      <x:c r="B80" t="str">
        <x:v>LOT00060</x:v>
      </x:c>
      <x:c r="C80" t="str">
        <x:v>SEMI-WH-A</x:v>
      </x:c>
      <x:c r="D80" t="n">
        <x:v>39</x:v>
      </x:c>
      <x:c r="E80" t="n">
        <x:v>2106113.36</x:v>
      </x:c>
      <x:c r="F80" t="n">
        <x:v>0.94</x:v>
      </x:c>
      <x:c r="G80" t="n">
        <x:v>0</x:v>
      </x:c>
      <x:c r="H80" t="n">
        <x:v>0.39</x:v>
      </x:c>
      <x:c r="I80" t="n">
        <x:v>2.86</x:v>
      </x:c>
      <x:c r="J80" t="n">
        <x:v>798.2</x:v>
      </x:c>
      <x:c r="K80" t="n">
        <x:v>266298.98</x:v>
      </x:c>
      <x:c r="L80" t="n">
        <x:v>1277.6</x:v>
      </x:c>
      <x:c r="M80" t="n">
        <x:f>SUM(E80,J80:L80)</x:f>
        <x:v>2374488.1399999997</x:v>
      </x:c>
      <x:c r="N80" t="n">
        <x:v>88000</x:v>
      </x:c>
      <x:c r="O80" t="n">
        <x:f>D80*N80</x:f>
        <x:v>3432000</x:v>
      </x:c>
      <x:c r="P80" s="22" t="n">
        <x:f>IF(O80=0,0,(M80-O80)/O80)</x:f>
        <x:v>-0.30813282634032646</x:v>
      </x:c>
      <x:c r="Q80" s="20" t="n">
        <x:v>45317</x:v>
      </x:c>
    </x:row>
    <x:row r="81" ht="20" customHeight="1">
      <x:c r="A81" t="str">
        <x:v>WO00079</x:v>
      </x:c>
      <x:c r="B81" t="str">
        <x:v>LOT00079</x:v>
      </x:c>
      <x:c r="C81" t="str">
        <x:v>AUTO-BRK-B</x:v>
      </x:c>
      <x:c r="D81" t="n">
        <x:v>6395</x:v>
      </x:c>
      <x:c r="E81" t="n">
        <x:v>7271867.42</x:v>
      </x:c>
      <x:c r="F81" t="n">
        <x:v>31.74</x:v>
      </x:c>
      <x:c r="G81" t="n">
        <x:v>0</x:v>
      </x:c>
      <x:c r="H81" t="n">
        <x:v>6.05</x:v>
      </x:c>
      <x:c r="I81" t="n">
        <x:v>1.37</x:v>
      </x:c>
      <x:c r="J81" t="n">
        <x:v>23535</x:v>
      </x:c>
      <x:c r="K81" t="n">
        <x:v>559964.4</x:v>
      </x:c>
      <x:c r="L81" t="n">
        <x:v>13440.2</x:v>
      </x:c>
      <x:c r="M81" t="n">
        <x:f>SUM(E81,J81:L81)</x:f>
        <x:v>7868807.02</x:v>
      </x:c>
      <x:c r="N81" t="n">
        <x:v>1660</x:v>
      </x:c>
      <x:c r="O81" t="n">
        <x:f>D81*N81</x:f>
        <x:v>10615700</x:v>
      </x:c>
      <x:c r="P81" s="22" t="n">
        <x:f>IF(O81=0,0,(M81-O81)/O81)</x:f>
        <x:v>-0.2587575929990486</x:v>
      </x:c>
      <x:c r="Q81" s="20" t="n">
        <x:v>45285</x:v>
      </x:c>
    </x:row>
    <x:row r="82" ht="20" customHeight="1">
      <x:c r="A82" t="str">
        <x:v>WO00078</x:v>
      </x:c>
      <x:c r="B82" t="str">
        <x:v>LOT00078</x:v>
      </x:c>
      <x:c r="C82" t="str">
        <x:v>AUTO-BRK-B</x:v>
      </x:c>
      <x:c r="D82" t="n">
        <x:v>6422</x:v>
      </x:c>
      <x:c r="E82" t="n">
        <x:v>7434910.93</x:v>
      </x:c>
      <x:c r="F82" t="n">
        <x:v>34.76</x:v>
      </x:c>
      <x:c r="G82" t="n">
        <x:v>0</x:v>
      </x:c>
      <x:c r="H82" t="n">
        <x:v>4.67</x:v>
      </x:c>
      <x:c r="I82" t="n">
        <x:v>1.13</x:v>
      </x:c>
      <x:c r="J82" t="n">
        <x:v>24835.6</x:v>
      </x:c>
      <x:c r="K82" t="n">
        <x:v>600792.33</x:v>
      </x:c>
      <x:c r="L82" t="n">
        <x:v>14295</x:v>
      </x:c>
      <x:c r="M82" t="n">
        <x:f>SUM(E82,J82:L82)</x:f>
        <x:v>8074833.859999999</x:v>
      </x:c>
      <x:c r="N82" t="n">
        <x:v>1660</x:v>
      </x:c>
      <x:c r="O82" t="n">
        <x:f>D82*N82</x:f>
        <x:v>10660520</x:v>
      </x:c>
      <x:c r="P82" s="22" t="n">
        <x:f>IF(O82=0,0,(M82-O82)/O82)</x:f>
        <x:v>-0.24254784382000133</x:v>
      </x:c>
      <x:c r="Q82" s="20" t="n">
        <x:v>45288</x:v>
      </x:c>
    </x:row>
    <x:row r="83" ht="20" customHeight="1">
      <x:c r="A83" t="str">
        <x:v>WO00094</x:v>
      </x:c>
      <x:c r="B83" t="str">
        <x:v>LOT00094</x:v>
      </x:c>
      <x:c r="C83" t="str">
        <x:v>AUTO-KN-B</x:v>
      </x:c>
      <x:c r="D83" t="n">
        <x:v>4912</x:v>
      </x:c>
      <x:c r="E83" t="n">
        <x:v>8838219.44</x:v>
      </x:c>
      <x:c r="F83" t="n">
        <x:v>23.74</x:v>
      </x:c>
      <x:c r="G83" t="n">
        <x:v>0</x:v>
      </x:c>
      <x:c r="H83" t="n">
        <x:v>4.42</x:v>
      </x:c>
      <x:c r="I83" t="n">
        <x:v>1.29</x:v>
      </x:c>
      <x:c r="J83" t="n">
        <x:v>17552.6</x:v>
      </x:c>
      <x:c r="K83" t="n">
        <x:v>665375.15</x:v>
      </x:c>
      <x:c r="L83" t="n">
        <x:v>10115.4</x:v>
      </x:c>
      <x:c r="M83" t="n">
        <x:f>SUM(E83,J83:L83)</x:f>
        <x:v>9531262.59</x:v>
      </x:c>
      <x:c r="N83" t="n">
        <x:v>2590</x:v>
      </x:c>
      <x:c r="O83" t="n">
        <x:f>D83*N83</x:f>
        <x:v>12722080</x:v>
      </x:c>
      <x:c r="P83" s="22" t="n">
        <x:f>IF(O83=0,0,(M83-O83)/O83)</x:f>
        <x:v>-0.25080941245456717</x:v>
      </x:c>
      <x:c r="Q83" s="20" t="n">
        <x:v>45289</x:v>
      </x:c>
    </x:row>
    <x:row r="84" ht="20" customHeight="1">
      <x:c r="A84" t="str">
        <x:v>WO00061</x:v>
      </x:c>
      <x:c r="B84" t="str">
        <x:v>LOT00061</x:v>
      </x:c>
      <x:c r="C84" t="str">
        <x:v>AUTO-KN-B</x:v>
      </x:c>
      <x:c r="D84" t="n">
        <x:v>4920</x:v>
      </x:c>
      <x:c r="E84" t="n">
        <x:v>8802960.24</x:v>
      </x:c>
      <x:c r="F84" t="n">
        <x:v>24.99</x:v>
      </x:c>
      <x:c r="G84" t="n">
        <x:v>0</x:v>
      </x:c>
      <x:c r="H84" t="n">
        <x:v>3.77</x:v>
      </x:c>
      <x:c r="I84" t="n">
        <x:v>1.25</x:v>
      </x:c>
      <x:c r="J84" t="n">
        <x:v>18053.1</x:v>
      </x:c>
      <x:c r="K84" t="n">
        <x:v>632727.81</x:v>
      </x:c>
      <x:c r="L84" t="n">
        <x:v>10474.4</x:v>
      </x:c>
      <x:c r="M84" t="n">
        <x:f>SUM(E84,J84:L84)</x:f>
        <x:v>9464215.55</x:v>
      </x:c>
      <x:c r="N84" t="n">
        <x:v>2590</x:v>
      </x:c>
      <x:c r="O84" t="n">
        <x:f>D84*N84</x:f>
        <x:v>12742800</x:v>
      </x:c>
      <x:c r="P84" s="22" t="n">
        <x:f>IF(O84=0,0,(M84-O84)/O84)</x:f>
        <x:v>-0.25728917113978084</x:v>
      </x:c>
      <x:c r="Q84" s="20" t="n">
        <x:v>45290</x:v>
      </x:c>
    </x:row>
    <x:row r="85" ht="20" customHeight="1">
      <x:c r="A85" t="str">
        <x:v>WO00083</x:v>
      </x:c>
      <x:c r="B85" t="str">
        <x:v>LOT00083</x:v>
      </x:c>
      <x:c r="C85" t="str">
        <x:v>AUTO-KN-A</x:v>
      </x:c>
      <x:c r="D85" t="n">
        <x:v>2958</x:v>
      </x:c>
      <x:c r="E85" t="n">
        <x:v>4384941.57</x:v>
      </x:c>
      <x:c r="F85" t="n">
        <x:v>14.49</x:v>
      </x:c>
      <x:c r="G85" t="n">
        <x:v>0</x:v>
      </x:c>
      <x:c r="H85" t="n">
        <x:v>2.69</x:v>
      </x:c>
      <x:c r="I85" t="n">
        <x:v>1.24</x:v>
      </x:c>
      <x:c r="J85" t="n">
        <x:v>10709.7</x:v>
      </x:c>
      <x:c r="K85" t="n">
        <x:v>382702.38</x:v>
      </x:c>
      <x:c r="L85" t="n">
        <x:v>6308.6</x:v>
      </x:c>
      <x:c r="M85" t="n">
        <x:f>SUM(E85,J85:L85)</x:f>
        <x:v>4784662.25</x:v>
      </x:c>
      <x:c r="N85" t="n">
        <x:v>2210</x:v>
      </x:c>
      <x:c r="O85" t="n">
        <x:f>D85*N85</x:f>
        <x:v>6537180</x:v>
      </x:c>
      <x:c r="P85" s="22" t="n">
        <x:f>IF(O85=0,0,(M85-O85)/O85)</x:f>
        <x:v>-0.2680846710661172</x:v>
      </x:c>
      <x:c r="Q85" s="20" t="n">
        <x:v>45297</x:v>
      </x:c>
    </x:row>
    <x:row r="86" ht="20" customHeight="1">
      <x:c r="A86" t="str">
        <x:v>WO00101</x:v>
      </x:c>
      <x:c r="B86" t="str">
        <x:v>LOT00101</x:v>
      </x:c>
      <x:c r="C86" t="str">
        <x:v>AUTO-BS-A</x:v>
      </x:c>
      <x:c r="D86" t="n">
        <x:v>4930</x:v>
      </x:c>
      <x:c r="E86" t="n">
        <x:v>1625346.5</x:v>
      </x:c>
      <x:c r="F86" t="n">
        <x:v>25.97</x:v>
      </x:c>
      <x:c r="G86" t="n">
        <x:v>0</x:v>
      </x:c>
      <x:c r="H86" t="n">
        <x:v>3.59</x:v>
      </x:c>
      <x:c r="I86" t="n">
        <x:v>1.14</x:v>
      </x:c>
      <x:c r="J86" t="n">
        <x:v>18603.7</x:v>
      </x:c>
      <x:c r="K86" t="n">
        <x:v>156165.3</x:v>
      </x:c>
      <x:c r="L86" t="n">
        <x:v>10785</x:v>
      </x:c>
      <x:c r="M86" t="n">
        <x:f>SUM(E86,J86:L86)</x:f>
        <x:v>1810900.5</x:v>
      </x:c>
      <x:c r="N86" t="n">
        <x:v>550</x:v>
      </x:c>
      <x:c r="O86" t="n">
        <x:f>D86*N86</x:f>
        <x:v>2711500</x:v>
      </x:c>
      <x:c r="P86" s="22" t="n">
        <x:f>IF(O86=0,0,(M86-O86)/O86)</x:f>
        <x:v>-0.33214069703116356</x:v>
      </x:c>
      <x:c r="Q86" s="20" t="n">
        <x:v>45284</x:v>
      </x:c>
    </x:row>
    <x:row r="87" ht="20" customHeight="1">
      <x:c r="A87" t="str">
        <x:v>WO00104</x:v>
      </x:c>
      <x:c r="B87" t="str">
        <x:v>LOT00104</x:v>
      </x:c>
      <x:c r="C87" t="str">
        <x:v>PM-ALB-B</x:v>
      </x:c>
      <x:c r="D87" t="n">
        <x:v>782</x:v>
      </x:c>
      <x:c r="E87" t="n">
        <x:v>6378941.06</x:v>
      </x:c>
      <x:c r="F87" t="n">
        <x:v>6.82</x:v>
      </x:c>
      <x:c r="G87" t="n">
        <x:v>0</x:v>
      </x:c>
      <x:c r="H87" t="n">
        <x:v>1.36</x:v>
      </x:c>
      <x:c r="I87" t="n">
        <x:v>1.46</x:v>
      </x:c>
      <x:c r="J87" t="n">
        <x:v>5085.8</x:v>
      </x:c>
      <x:c r="K87" t="n">
        <x:v>328301.74</x:v>
      </x:c>
      <x:c r="L87" t="n">
        <x:v>3247.2</x:v>
      </x:c>
      <x:c r="M87" t="n">
        <x:f>SUM(E87,J87:L87)</x:f>
        <x:v>6715575.8</x:v>
      </x:c>
      <x:c r="N87" t="n">
        <x:v>11750</x:v>
      </x:c>
      <x:c r="O87" t="n">
        <x:f>D87*N87</x:f>
        <x:v>9188500</x:v>
      </x:c>
      <x:c r="P87" s="22" t="n">
        <x:f>IF(O87=0,0,(M87-O87)/O87)</x:f>
        <x:v>-0.2691325243510911</x:v>
      </x:c>
      <x:c r="Q87" s="20" t="n">
        <x:v>45309</x:v>
      </x:c>
    </x:row>
    <x:row r="88" ht="20" customHeight="1">
      <x:c r="A88" t="str">
        <x:v>WO00093</x:v>
      </x:c>
      <x:c r="B88" t="str">
        <x:v>LOT00093</x:v>
      </x:c>
      <x:c r="C88" t="str">
        <x:v>AUTO-BS-A</x:v>
      </x:c>
      <x:c r="D88" t="n">
        <x:v>4928</x:v>
      </x:c>
      <x:c r="E88" t="n">
        <x:v>1634321.48</x:v>
      </x:c>
      <x:c r="F88" t="n">
        <x:v>24.11</x:v>
      </x:c>
      <x:c r="G88" t="n">
        <x:v>0</x:v>
      </x:c>
      <x:c r="H88" t="n">
        <x:v>3.8</x:v>
      </x:c>
      <x:c r="I88" t="n">
        <x:v>1.22</x:v>
      </x:c>
      <x:c r="J88" t="n">
        <x:v>17495.5</x:v>
      </x:c>
      <x:c r="K88" t="n">
        <x:v>135937.24</x:v>
      </x:c>
      <x:c r="L88" t="n">
        <x:v>10135.8</x:v>
      </x:c>
      <x:c r="M88" t="n">
        <x:f>SUM(E88,J88:L88)</x:f>
        <x:v>1797890.02</x:v>
      </x:c>
      <x:c r="N88" t="n">
        <x:v>550</x:v>
      </x:c>
      <x:c r="O88" t="n">
        <x:f>D88*N88</x:f>
        <x:v>2710400</x:v>
      </x:c>
      <x:c r="P88" s="22" t="n">
        <x:f>IF(O88=0,0,(M88-O88)/O88)</x:f>
        <x:v>-0.33666985684769773</x:v>
      </x:c>
      <x:c r="Q88" s="20" t="n">
        <x:v>45286</x:v>
      </x:c>
    </x:row>
    <x:row r="89" ht="20" customHeight="1">
      <x:c r="A89" t="str">
        <x:v>WO00089</x:v>
      </x:c>
      <x:c r="B89" t="str">
        <x:v>LOT00089</x:v>
      </x:c>
      <x:c r="C89" t="str">
        <x:v>PM-VAC-A</x:v>
      </x:c>
      <x:c r="D89" t="n">
        <x:v>297</x:v>
      </x:c>
      <x:c r="E89" t="n">
        <x:v>1951492.41</x:v>
      </x:c>
      <x:c r="F89" t="n">
        <x:v>2.69</x:v>
      </x:c>
      <x:c r="G89" t="n">
        <x:v>0</x:v>
      </x:c>
      <x:c r="H89" t="n">
        <x:v>0.55</x:v>
      </x:c>
      <x:c r="I89" t="n">
        <x:v>1.83</x:v>
      </x:c>
      <x:c r="J89" t="n">
        <x:v>2012.5</x:v>
      </x:c>
      <x:c r="K89" t="n">
        <x:v>237839.03</x:v>
      </x:c>
      <x:c r="L89" t="n">
        <x:v>1659.2</x:v>
      </x:c>
      <x:c r="M89" t="n">
        <x:f>SUM(E89,J89:L89)</x:f>
        <x:v>2193003.14</x:v>
      </x:c>
      <x:c r="N89" t="n">
        <x:v>10800</x:v>
      </x:c>
      <x:c r="O89" t="n">
        <x:f>D89*N89</x:f>
        <x:v>3207600</x:v>
      </x:c>
      <x:c r="P89" s="22" t="n">
        <x:f>IF(O89=0,0,(M89-O89)/O89)</x:f>
        <x:v>-0.3163102818306522</x:v>
      </x:c>
      <x:c r="Q89" s="20" t="n">
        <x:v>45310</x:v>
      </x:c>
    </x:row>
    <x:row r="90" ht="20" customHeight="1">
      <x:c r="A90" t="str">
        <x:v>WO00099</x:v>
      </x:c>
      <x:c r="B90" t="str">
        <x:v>LOT00099</x:v>
      </x:c>
      <x:c r="C90" t="str">
        <x:v>AUTO-BS-B</x:v>
      </x:c>
      <x:c r="D90" t="n">
        <x:v>6445</x:v>
      </x:c>
      <x:c r="E90" t="n">
        <x:v>2615916.62</x:v>
      </x:c>
      <x:c r="F90" t="n">
        <x:v>34.83</x:v>
      </x:c>
      <x:c r="G90" t="n">
        <x:v>0</x:v>
      </x:c>
      <x:c r="H90" t="n">
        <x:v>5.12</x:v>
      </x:c>
      <x:c r="I90" t="n">
        <x:v>1.14</x:v>
      </x:c>
      <x:c r="J90" t="n">
        <x:v>25097.1</x:v>
      </x:c>
      <x:c r="K90" t="n">
        <x:v>234758.7</x:v>
      </x:c>
      <x:c r="L90" t="n">
        <x:v>14396.6</x:v>
      </x:c>
      <x:c r="M90" t="n">
        <x:f>SUM(E90,J90:L90)</x:f>
        <x:v>2890169.02</x:v>
      </x:c>
      <x:c r="N90" t="n">
        <x:v>650</x:v>
      </x:c>
      <x:c r="O90" t="n">
        <x:f>D90*N90</x:f>
        <x:v>4189250</x:v>
      </x:c>
      <x:c r="P90" s="22" t="n">
        <x:f>IF(O90=0,0,(M90-O90)/O90)</x:f>
        <x:v>-0.31009870024467384</x:v>
      </x:c>
      <x:c r="Q90" s="20" t="n">
        <x:v>45288</x:v>
      </x:c>
    </x:row>
    <x:row r="91" ht="20" customHeight="1">
      <x:c r="A91" t="str">
        <x:v>WO00102</x:v>
      </x:c>
      <x:c r="B91" t="str">
        <x:v>LOT00102</x:v>
      </x:c>
      <x:c r="C91" t="str">
        <x:v>AUTO-BS-A</x:v>
      </x:c>
      <x:c r="D91" t="n">
        <x:v>4958</x:v>
      </x:c>
      <x:c r="E91" t="n">
        <x:v>1606743.48</x:v>
      </x:c>
      <x:c r="F91" t="n">
        <x:v>25.38</x:v>
      </x:c>
      <x:c r="G91" t="n">
        <x:v>0</x:v>
      </x:c>
      <x:c r="H91" t="n">
        <x:v>4.04</x:v>
      </x:c>
      <x:c r="I91" t="n">
        <x:v>1</x:v>
      </x:c>
      <x:c r="J91" t="n">
        <x:v>18436.2</x:v>
      </x:c>
      <x:c r="K91" t="n">
        <x:v>145619.84</x:v>
      </x:c>
      <x:c r="L91" t="n">
        <x:v>10590.8</x:v>
      </x:c>
      <x:c r="M91" t="n">
        <x:f>SUM(E91,J91:L91)</x:f>
        <x:v>1781390.32</x:v>
      </x:c>
      <x:c r="N91" t="n">
        <x:v>550</x:v>
      </x:c>
      <x:c r="O91" t="n">
        <x:f>D91*N91</x:f>
        <x:v>2726900</x:v>
      </x:c>
      <x:c r="P91" s="22" t="n">
        <x:f>IF(O91=0,0,(M91-O91)/O91)</x:f>
        <x:v>-0.3467342696835234</x:v>
      </x:c>
      <x:c r="Q91" s="20" t="n">
        <x:v>45285</x:v>
      </x:c>
    </x:row>
    <x:row r="92" ht="20" customHeight="1">
      <x:c r="A92" t="str">
        <x:v>WO00105</x:v>
      </x:c>
      <x:c r="B92" t="str">
        <x:v>LOT00105</x:v>
      </x:c>
      <x:c r="C92" t="str">
        <x:v>PM-ALB-B</x:v>
      </x:c>
      <x:c r="D92" t="n">
        <x:v>779</x:v>
      </x:c>
      <x:c r="E92" t="n">
        <x:v>6385139</x:v>
      </x:c>
      <x:c r="F92" t="n">
        <x:v>6.53</x:v>
      </x:c>
      <x:c r="G92" t="n">
        <x:v>0</x:v>
      </x:c>
      <x:c r="H92" t="n">
        <x:v>1.38</x:v>
      </x:c>
      <x:c r="I92" t="n">
        <x:v>1.76</x:v>
      </x:c>
      <x:c r="J92" t="n">
        <x:v>4906.9</x:v>
      </x:c>
      <x:c r="K92" t="n">
        <x:v>371338.13</x:v>
      </x:c>
      <x:c r="L92" t="n">
        <x:v>3230.2</x:v>
      </x:c>
      <x:c r="M92" t="n">
        <x:f>SUM(E92,J92:L92)</x:f>
        <x:v>6764614.23</x:v>
      </x:c>
      <x:c r="N92" t="n">
        <x:v>11750</x:v>
      </x:c>
      <x:c r="O92" t="n">
        <x:f>D92*N92</x:f>
        <x:v>9153250</x:v>
      </x:c>
      <x:c r="P92" s="22" t="n">
        <x:f>IF(O92=0,0,(M92-O92)/O92)</x:f>
        <x:v>-0.2609603987654658</x:v>
      </x:c>
      <x:c r="Q92" s="20" t="n">
        <x:v>45300</x:v>
      </x:c>
    </x:row>
    <x:row r="93" ht="20" customHeight="1">
      <x:c r="A93" t="str">
        <x:v>WO00091</x:v>
      </x:c>
      <x:c r="B93" t="str">
        <x:v>LOT00091</x:v>
      </x:c>
      <x:c r="C93" t="str">
        <x:v>AUTO-BS-B</x:v>
      </x:c>
      <x:c r="D93" t="n">
        <x:v>2988</x:v>
      </x:c>
      <x:c r="E93" t="n">
        <x:v>1163259.29</x:v>
      </x:c>
      <x:c r="F93" t="n">
        <x:v>16.18</x:v>
      </x:c>
      <x:c r="G93" t="n">
        <x:v>0</x:v>
      </x:c>
      <x:c r="H93" t="n">
        <x:v>2.82</x:v>
      </x:c>
      <x:c r="I93" t="n">
        <x:v>1.2</x:v>
      </x:c>
      <x:c r="J93" t="n">
        <x:v>11870.6</x:v>
      </x:c>
      <x:c r="K93" t="n">
        <x:v>112610.75</x:v>
      </x:c>
      <x:c r="L93" t="n">
        <x:v>6959.6</x:v>
      </x:c>
      <x:c r="M93" t="n">
        <x:f>SUM(E93,J93:L93)</x:f>
        <x:v>1294700.24</x:v>
      </x:c>
      <x:c r="N93" t="n">
        <x:v>650</x:v>
      </x:c>
      <x:c r="O93" t="n">
        <x:f>D93*N93</x:f>
        <x:v>1942200</x:v>
      </x:c>
      <x:c r="P93" s="22" t="n">
        <x:f>IF(O93=0,0,(M93-O93)/O93)</x:f>
        <x:v>-0.3333846977654207</x:v>
      </x:c>
      <x:c r="Q93" s="20" t="n">
        <x:v>45288</x:v>
      </x:c>
    </x:row>
    <x:row r="94" ht="20" customHeight="1">
      <x:c r="A94" t="str">
        <x:v>WO00092</x:v>
      </x:c>
      <x:c r="B94" t="str">
        <x:v>LOT00092</x:v>
      </x:c>
      <x:c r="C94" t="str">
        <x:v>AUTO-BS-A</x:v>
      </x:c>
      <x:c r="D94" t="n">
        <x:v>4922</x:v>
      </x:c>
      <x:c r="E94" t="n">
        <x:v>1631385.44</x:v>
      </x:c>
      <x:c r="F94" t="n">
        <x:v>25.62</x:v>
      </x:c>
      <x:c r="G94" t="n">
        <x:v>0</x:v>
      </x:c>
      <x:c r="H94" t="n">
        <x:v>4.11</x:v>
      </x:c>
      <x:c r="I94" t="n">
        <x:v>1.21</x:v>
      </x:c>
      <x:c r="J94" t="n">
        <x:v>18625.8</x:v>
      </x:c>
      <x:c r="K94" t="n">
        <x:v>157404.45</x:v>
      </x:c>
      <x:c r="L94" t="n">
        <x:v>10756.2</x:v>
      </x:c>
      <x:c r="M94" t="n">
        <x:f>SUM(E94,J94:L94)</x:f>
        <x:v>1818171.89</x:v>
      </x:c>
      <x:c r="N94" t="n">
        <x:v>550</x:v>
      </x:c>
      <x:c r="O94" t="n">
        <x:f>D94*N94</x:f>
        <x:v>2707100</x:v>
      </x:c>
      <x:c r="P94" s="22" t="n">
        <x:f>IF(O94=0,0,(M94-O94)/O94)</x:f>
        <x:v>-0.3283691441025452</x:v>
      </x:c>
      <x:c r="Q94" s="20" t="n">
        <x:v>45285</x:v>
      </x:c>
    </x:row>
    <x:row r="95" ht="20" customHeight="1">
      <x:c r="A95" t="str">
        <x:v>WO00097</x:v>
      </x:c>
      <x:c r="B95" t="str">
        <x:v>LOT00097</x:v>
      </x:c>
      <x:c r="C95" t="str">
        <x:v>AUTO-KN-B</x:v>
      </x:c>
      <x:c r="D95" t="n">
        <x:v>4919</x:v>
      </x:c>
      <x:c r="E95" t="n">
        <x:v>8654033.27</x:v>
      </x:c>
      <x:c r="F95" t="n">
        <x:v>24.89</x:v>
      </x:c>
      <x:c r="G95" t="n">
        <x:v>0</x:v>
      </x:c>
      <x:c r="H95" t="n">
        <x:v>3.57</x:v>
      </x:c>
      <x:c r="I95" t="n">
        <x:v>1.33</x:v>
      </x:c>
      <x:c r="J95" t="n">
        <x:v>17892.1</x:v>
      </x:c>
      <x:c r="K95" t="n">
        <x:v>600897.14</x:v>
      </x:c>
      <x:c r="L95" t="n">
        <x:v>10428.4</x:v>
      </x:c>
      <x:c r="M95" t="n">
        <x:f>SUM(E95,J95:L95)</x:f>
        <x:v>9283250.91</x:v>
      </x:c>
      <x:c r="N95" t="n">
        <x:v>2590</x:v>
      </x:c>
      <x:c r="O95" t="n">
        <x:f>D95*N95</x:f>
        <x:v>12740210</x:v>
      </x:c>
      <x:c r="P95" s="22" t="n">
        <x:f>IF(O95=0,0,(M95-O95)/O95)</x:f>
        <x:v>-0.2713423946701035</x:v>
      </x:c>
      <x:c r="Q95" s="20" t="n">
        <x:v>45302</x:v>
      </x:c>
    </x:row>
    <x:row r="96" ht="20" customHeight="1">
      <x:c r="A96" t="str">
        <x:v>WO00100</x:v>
      </x:c>
      <x:c r="B96" t="str">
        <x:v>LOT00100</x:v>
      </x:c>
      <x:c r="C96" t="str">
        <x:v>AUTO-BS-B</x:v>
      </x:c>
      <x:c r="D96" t="n">
        <x:v>6433</x:v>
      </x:c>
      <x:c r="E96" t="n">
        <x:v>2591232.88</x:v>
      </x:c>
      <x:c r="F96" t="n">
        <x:v>32.49</x:v>
      </x:c>
      <x:c r="G96" t="n">
        <x:v>0</x:v>
      </x:c>
      <x:c r="H96" t="n">
        <x:v>5.23</x:v>
      </x:c>
      <x:c r="I96" t="n">
        <x:v>1.17</x:v>
      </x:c>
      <x:c r="J96" t="n">
        <x:v>23628.9</x:v>
      </x:c>
      <x:c r="K96" t="n">
        <x:v>236848.88</x:v>
      </x:c>
      <x:c r="L96" t="n">
        <x:v>13534</x:v>
      </x:c>
      <x:c r="M96" t="n">
        <x:f>SUM(E96,J96:L96)</x:f>
        <x:v>2865244.66</x:v>
      </x:c>
      <x:c r="N96" t="n">
        <x:v>650</x:v>
      </x:c>
      <x:c r="O96" t="n">
        <x:f>D96*N96</x:f>
        <x:v>4181450</x:v>
      </x:c>
      <x:c r="P96" s="22" t="n">
        <x:f>IF(O96=0,0,(M96-O96)/O96)</x:f>
        <x:v>-0.31477246888041227</x:v>
      </x:c>
      <x:c r="Q96" s="20" t="n">
        <x:v>45286</x:v>
      </x:c>
    </x:row>
    <x:row r="97" ht="20" customHeight="1">
      <x:c r="A97" t="str">
        <x:v>WO00095</x:v>
      </x:c>
      <x:c r="B97" t="str">
        <x:v>LOT00095</x:v>
      </x:c>
      <x:c r="C97" t="str">
        <x:v>AUTO-BS-A</x:v>
      </x:c>
      <x:c r="D97" t="n">
        <x:v>6992</x:v>
      </x:c>
      <x:c r="E97" t="n">
        <x:v>2345741.9</x:v>
      </x:c>
      <x:c r="F97" t="n">
        <x:v>38.34</x:v>
      </x:c>
      <x:c r="G97" t="n">
        <x:v>0</x:v>
      </x:c>
      <x:c r="H97" t="n">
        <x:v>5.13</x:v>
      </x:c>
      <x:c r="I97" t="n">
        <x:v>1.02</x:v>
      </x:c>
      <x:c r="J97" t="n">
        <x:v>27383.4</x:v>
      </x:c>
      <x:c r="K97" t="n">
        <x:v>196735.27</x:v>
      </x:c>
      <x:c r="L97" t="n">
        <x:v>15696</x:v>
      </x:c>
      <x:c r="M97" t="n">
        <x:f>SUM(E97,J97:L97)</x:f>
        <x:v>2585556.57</x:v>
      </x:c>
      <x:c r="N97" t="n">
        <x:v>550</x:v>
      </x:c>
      <x:c r="O97" t="n">
        <x:f>D97*N97</x:f>
        <x:v>3845600</x:v>
      </x:c>
      <x:c r="P97" s="22" t="n">
        <x:f>IF(O97=0,0,(M97-O97)/O97)</x:f>
        <x:v>-0.32765847462034536</x:v>
      </x:c>
      <x:c r="Q97" s="20" t="n">
        <x:v>45294</x:v>
      </x:c>
    </x:row>
    <x:row r="98" ht="20" customHeight="1">
      <x:c r="A98" t="str">
        <x:v>WO00084</x:v>
      </x:c>
      <x:c r="B98" t="str">
        <x:v>LOT00084</x:v>
      </x:c>
      <x:c r="C98" t="str">
        <x:v>AUTO-KN-A</x:v>
      </x:c>
      <x:c r="D98" t="n">
        <x:v>2941</x:v>
      </x:c>
      <x:c r="E98" t="n">
        <x:v>4357210.09</x:v>
      </x:c>
      <x:c r="F98" t="n">
        <x:v>15.31</x:v>
      </x:c>
      <x:c r="G98" t="n">
        <x:v>0</x:v>
      </x:c>
      <x:c r="H98" t="n">
        <x:v>2.51</x:v>
      </x:c>
      <x:c r="I98" t="n">
        <x:v>1.27</x:v>
      </x:c>
      <x:c r="J98" t="n">
        <x:v>11156.3</x:v>
      </x:c>
      <x:c r="K98" t="n">
        <x:v>362546.51</x:v>
      </x:c>
      <x:c r="L98" t="n">
        <x:v>6600.4</x:v>
      </x:c>
      <x:c r="M98" t="n">
        <x:f>SUM(E98,J98:L98)</x:f>
        <x:v>4737513.3</x:v>
      </x:c>
      <x:c r="N98" t="n">
        <x:v>2210</x:v>
      </x:c>
      <x:c r="O98" t="n">
        <x:f>D98*N98</x:f>
        <x:v>6499610</x:v>
      </x:c>
      <x:c r="P98" s="22" t="n">
        <x:f>IF(O98=0,0,(M98-O98)/O98)</x:f>
        <x:v>-0.27110806648398905</x:v>
      </x:c>
      <x:c r="Q98" s="20" t="n">
        <x:v>45299</x:v>
      </x:c>
    </x:row>
    <x:row r="99" ht="20" customHeight="1">
      <x:c r="A99" t="str">
        <x:v>WO00090</x:v>
      </x:c>
      <x:c r="B99" t="str">
        <x:v>LOT00090</x:v>
      </x:c>
      <x:c r="C99" t="str">
        <x:v>AUTO-FL-A</x:v>
      </x:c>
      <x:c r="D99" t="n">
        <x:v>4977</x:v>
      </x:c>
      <x:c r="E99" t="n">
        <x:v>3230039.65</x:v>
      </x:c>
      <x:c r="F99" t="n">
        <x:v>24.25</x:v>
      </x:c>
      <x:c r="G99" t="n">
        <x:v>0</x:v>
      </x:c>
      <x:c r="H99" t="n">
        <x:v>4.14</x:v>
      </x:c>
      <x:c r="I99" t="n">
        <x:v>1.3</x:v>
      </x:c>
      <x:c r="J99" t="n">
        <x:v>17749.7</x:v>
      </x:c>
      <x:c r="K99" t="n">
        <x:v>229871.54</x:v>
      </x:c>
      <x:c r="L99" t="n">
        <x:v>10267.4</x:v>
      </x:c>
      <x:c r="M99" t="n">
        <x:f>SUM(E99,J99:L99)</x:f>
        <x:v>3487928.29</x:v>
      </x:c>
      <x:c r="N99" t="n">
        <x:v>970</x:v>
      </x:c>
      <x:c r="O99" t="n">
        <x:f>D99*N99</x:f>
        <x:v>4827690</x:v>
      </x:c>
      <x:c r="P99" s="22" t="n">
        <x:f>IF(O99=0,0,(M99-O99)/O99)</x:f>
        <x:v>-0.27751610190380904</x:v>
      </x:c>
      <x:c r="Q99" s="20" t="n">
        <x:v>45298</x:v>
      </x:c>
    </x:row>
    <x:row r="100" ht="20" customHeight="1">
      <x:c r="A100" t="str">
        <x:v>WO00098</x:v>
      </x:c>
      <x:c r="B100" t="str">
        <x:v>LOT00098</x:v>
      </x:c>
      <x:c r="C100" t="str">
        <x:v>PM-SUS-B</x:v>
      </x:c>
      <x:c r="D100" t="n">
        <x:v>295</x:v>
      </x:c>
      <x:c r="E100" t="n">
        <x:v>2132035.08</x:v>
      </x:c>
      <x:c r="F100" t="n">
        <x:v>2.87</x:v>
      </x:c>
      <x:c r="G100" t="n">
        <x:v>0</x:v>
      </x:c>
      <x:c r="H100" t="n">
        <x:v>0.55</x:v>
      </x:c>
      <x:c r="I100" t="n">
        <x:v>1.7</x:v>
      </x:c>
      <x:c r="J100" t="n">
        <x:v>2129.5</x:v>
      </x:c>
      <x:c r="K100" t="n">
        <x:v>217799.68</x:v>
      </x:c>
      <x:c r="L100" t="n">
        <x:v>1688.6</x:v>
      </x:c>
      <x:c r="M100" t="n">
        <x:f>SUM(E100,J100:L100)</x:f>
        <x:v>2353652.86</x:v>
      </x:c>
      <x:c r="N100" t="n">
        <x:v>11100</x:v>
      </x:c>
      <x:c r="O100" t="n">
        <x:f>D100*N100</x:f>
        <x:v>3274500</x:v>
      </x:c>
      <x:c r="P100" s="22" t="n">
        <x:f>IF(O100=0,0,(M100-O100)/O100)</x:f>
        <x:v>-0.28121763322644683</x:v>
      </x:c>
      <x:c r="Q100" s="20" t="n">
        <x:v>45314</x:v>
      </x:c>
    </x:row>
    <x:row r="101" ht="20" customHeight="1">
      <x:c r="A101" t="str">
        <x:v>WO00087</x:v>
      </x:c>
      <x:c r="B101" t="str">
        <x:v>LOT00087</x:v>
      </x:c>
      <x:c r="C101" t="str">
        <x:v>SEMI-WH-B</x:v>
      </x:c>
      <x:c r="D101" t="n">
        <x:v>58</x:v>
      </x:c>
      <x:c r="E101" t="n">
        <x:v>4519872.17</x:v>
      </x:c>
      <x:c r="F101" t="n">
        <x:v>1.43</x:v>
      </x:c>
      <x:c r="G101" t="n">
        <x:v>0</x:v>
      </x:c>
      <x:c r="H101" t="n">
        <x:v>0.54</x:v>
      </x:c>
      <x:c r="I101" t="n">
        <x:v>2.59</x:v>
      </x:c>
      <x:c r="J101" t="n">
        <x:v>1188.7</x:v>
      </x:c>
      <x:c r="K101" t="n">
        <x:v>570572.18</x:v>
      </x:c>
      <x:c r="L101" t="n">
        <x:v>1406.8</x:v>
      </x:c>
      <x:c r="M101" t="n">
        <x:f>SUM(E101,J101:L101)</x:f>
        <x:v>5093039.85</x:v>
      </x:c>
      <x:c r="N101" t="n">
        <x:v>130000</x:v>
      </x:c>
      <x:c r="O101" t="n">
        <x:f>D101*N101</x:f>
        <x:v>7540000</x:v>
      </x:c>
      <x:c r="P101" s="22" t="n">
        <x:f>IF(O101=0,0,(M101-O101)/O101)</x:f>
        <x:v>-0.3245305238726791</x:v>
      </x:c>
      <x:c r="Q101" s="20" t="n">
        <x:v>45342</x:v>
      </x:c>
    </x:row>
    <x:row r="102" ht="20" customHeight="1">
      <x:c r="A102" t="str">
        <x:v>WO00088</x:v>
      </x:c>
      <x:c r="B102" t="str">
        <x:v>LOT00088</x:v>
      </x:c>
      <x:c r="C102" t="str">
        <x:v>SEMI-WH-B</x:v>
      </x:c>
      <x:c r="D102" t="n">
        <x:v>59</x:v>
      </x:c>
      <x:c r="E102" t="n">
        <x:v>4757053.96</x:v>
      </x:c>
      <x:c r="F102" t="n">
        <x:v>1.54</x:v>
      </x:c>
      <x:c r="G102" t="n">
        <x:v>0</x:v>
      </x:c>
      <x:c r="H102" t="n">
        <x:v>0.56</x:v>
      </x:c>
      <x:c r="I102" t="n">
        <x:v>3.11</x:v>
      </x:c>
      <x:c r="J102" t="n">
        <x:v>1269.8</x:v>
      </x:c>
      <x:c r="K102" t="n">
        <x:v>556628</x:v>
      </x:c>
      <x:c r="L102" t="n">
        <x:v>1607.8</x:v>
      </x:c>
      <x:c r="M102" t="n">
        <x:f>SUM(E102,J102:L102)</x:f>
        <x:v>5316559.5600000005</x:v>
      </x:c>
      <x:c r="N102" t="n">
        <x:v>130000</x:v>
      </x:c>
      <x:c r="O102" t="n">
        <x:f>D102*N102</x:f>
        <x:v>7670000</x:v>
      </x:c>
      <x:c r="P102" s="22" t="n">
        <x:f>IF(O102=0,0,(M102-O102)/O102)</x:f>
        <x:v>-0.30683708474576266</x:v>
      </x:c>
      <x:c r="Q102" s="20" t="n">
        <x:v>45344</x:v>
      </x:c>
    </x:row>
    <x:row r="103" ht="20" customHeight="1">
      <x:c r="A103" t="str">
        <x:v>WO00086</x:v>
      </x:c>
      <x:c r="B103" t="str">
        <x:v>LOT00086</x:v>
      </x:c>
      <x:c r="C103" t="str">
        <x:v>AUTO-MH-B</x:v>
      </x:c>
      <x:c r="D103" t="n">
        <x:v>6920</x:v>
      </x:c>
      <x:c r="E103" t="n">
        <x:v>11285988.62</x:v>
      </x:c>
      <x:c r="F103" t="n">
        <x:v>36.98</x:v>
      </x:c>
      <x:c r="G103" t="n">
        <x:v>0</x:v>
      </x:c>
      <x:c r="H103" t="n">
        <x:v>5.38</x:v>
      </x:c>
      <x:c r="I103" t="n">
        <x:v>1.13</x:v>
      </x:c>
      <x:c r="J103" t="n">
        <x:v>26619.4</x:v>
      </x:c>
      <x:c r="K103" t="n">
        <x:v>698741.4</x:v>
      </x:c>
      <x:c r="L103" t="n">
        <x:v>15252.2</x:v>
      </x:c>
      <x:c r="M103" t="n">
        <x:f>SUM(E103,J103:L103)</x:f>
        <x:v>12026601.62</x:v>
      </x:c>
      <x:c r="N103" t="n">
        <x:v>2320</x:v>
      </x:c>
      <x:c r="O103" t="n">
        <x:f>D103*N103</x:f>
        <x:v>16054400</x:v>
      </x:c>
      <x:c r="P103" s="22" t="n">
        <x:f>IF(O103=0,0,(M103-O103)/O103)</x:f>
        <x:v>-0.25088439181781946</x:v>
      </x:c>
      <x:c r="Q103" s="20" t="n">
        <x:v>45310</x:v>
      </x:c>
    </x:row>
    <x:row r="104" ht="20" customHeight="1">
      <x:c r="A104" t="str">
        <x:v>WO00096</x:v>
      </x:c>
      <x:c r="B104" t="str">
        <x:v>LOT00096</x:v>
      </x:c>
      <x:c r="C104" t="str">
        <x:v>PM-ALB-A</x:v>
      </x:c>
      <x:c r="D104" t="n">
        <x:v>293</x:v>
      </x:c>
      <x:c r="E104" t="n">
        <x:v>1656029.32</x:v>
      </x:c>
      <x:c r="F104" t="n">
        <x:v>2.28</x:v>
      </x:c>
      <x:c r="G104" t="n">
        <x:v>0</x:v>
      </x:c>
      <x:c r="H104" t="n">
        <x:v>0.59</x:v>
      </x:c>
      <x:c r="I104" t="n">
        <x:v>1.61</x:v>
      </x:c>
      <x:c r="J104" t="n">
        <x:v>1765.2</x:v>
      </x:c>
      <x:c r="K104" t="n">
        <x:v>98773.96</x:v>
      </x:c>
      <x:c r="L104" t="n">
        <x:v>1443.8</x:v>
      </x:c>
      <x:c r="M104" t="n">
        <x:f>SUM(E104,J104:L104)</x:f>
        <x:v>1758012.28</x:v>
      </x:c>
      <x:c r="N104" t="n">
        <x:v>8100</x:v>
      </x:c>
      <x:c r="O104" t="n">
        <x:f>D104*N104</x:f>
        <x:v>2373300</x:v>
      </x:c>
      <x:c r="P104" s="22" t="n">
        <x:f>IF(O104=0,0,(M104-O104)/O104)</x:f>
        <x:v>-0.2592540850292841</x:v>
      </x:c>
      <x:c r="Q104" s="20" t="n">
        <x:v>45312</x:v>
      </x:c>
    </x:row>
    <x:row r="105" ht="20" customHeight="1">
      <x:c r="A105" t="str">
        <x:v>WO00123</x:v>
      </x:c>
      <x:c r="B105" t="str">
        <x:v>LOT00123</x:v>
      </x:c>
      <x:c r="C105" t="str">
        <x:v>AUTO-LG-A</x:v>
      </x:c>
      <x:c r="D105" t="n">
        <x:v>6442</x:v>
      </x:c>
      <x:c r="E105" t="n">
        <x:v>3408295.25</x:v>
      </x:c>
      <x:c r="F105" t="n">
        <x:v>31.41</x:v>
      </x:c>
      <x:c r="G105" t="n">
        <x:v>0</x:v>
      </x:c>
      <x:c r="H105" t="n">
        <x:v>6.11</x:v>
      </x:c>
      <x:c r="I105" t="n">
        <x:v>1.01</x:v>
      </x:c>
      <x:c r="J105" t="n">
        <x:v>23349.3</x:v>
      </x:c>
      <x:c r="K105" t="n">
        <x:v>248533.55</x:v>
      </x:c>
      <x:c r="L105" t="n">
        <x:v>13216.4</x:v>
      </x:c>
      <x:c r="M105" t="n">
        <x:f>SUM(E105,J105:L105)</x:f>
        <x:v>3693394.5</x:v>
      </x:c>
      <x:c r="N105" t="n">
        <x:v>840</x:v>
      </x:c>
      <x:c r="O105" t="n">
        <x:f>D105*N105</x:f>
        <x:v>5411280</x:v>
      </x:c>
      <x:c r="P105" s="22" t="n">
        <x:f>IF(O105=0,0,(M105-O105)/O105)</x:f>
        <x:v>-0.31746379784450257</x:v>
      </x:c>
      <x:c r="Q105" s="20" t="n">
        <x:v>45308</x:v>
      </x:c>
    </x:row>
    <x:row r="106" ht="20" customHeight="1">
      <x:c r="A106" t="str">
        <x:v>WO00124</x:v>
      </x:c>
      <x:c r="B106" t="str">
        <x:v>LOT00124</x:v>
      </x:c>
      <x:c r="C106" t="str">
        <x:v>AUTO-LG-A</x:v>
      </x:c>
      <x:c r="D106" t="n">
        <x:v>6433</x:v>
      </x:c>
      <x:c r="E106" t="n">
        <x:v>3495321.78</x:v>
      </x:c>
      <x:c r="F106" t="n">
        <x:v>33.51</x:v>
      </x:c>
      <x:c r="G106" t="n">
        <x:v>0</x:v>
      </x:c>
      <x:c r="H106" t="n">
        <x:v>4.59</x:v>
      </x:c>
      <x:c r="I106" t="n">
        <x:v>1.14</x:v>
      </x:c>
      <x:c r="J106" t="n">
        <x:v>23984.7</x:v>
      </x:c>
      <x:c r="K106" t="n">
        <x:v>253279.92</x:v>
      </x:c>
      <x:c r="L106" t="n">
        <x:v>13810.2</x:v>
      </x:c>
      <x:c r="M106" t="n">
        <x:f>SUM(E106,J106:L106)</x:f>
        <x:v>3786396.5999999996</x:v>
      </x:c>
      <x:c r="N106" t="n">
        <x:v>840</x:v>
      </x:c>
      <x:c r="O106" t="n">
        <x:f>D106*N106</x:f>
        <x:v>5403720</x:v>
      </x:c>
      <x:c r="P106" s="22" t="n">
        <x:f>IF(O106=0,0,(M106-O106)/O106)</x:f>
        <x:v>-0.299298150163221</x:v>
      </x:c>
      <x:c r="Q106" s="20" t="n">
        <x:v>45310</x:v>
      </x:c>
    </x:row>
    <x:row r="107" ht="20" customHeight="1">
      <x:c r="A107" t="str">
        <x:v>WO00119</x:v>
      </x:c>
      <x:c r="B107" t="str">
        <x:v>LOT00119</x:v>
      </x:c>
      <x:c r="C107" t="str">
        <x:v>PM-BRG-B</x:v>
      </x:c>
      <x:c r="D107" t="n">
        <x:v>776</x:v>
      </x:c>
      <x:c r="E107" t="n">
        <x:v>2588076.69</x:v>
      </x:c>
      <x:c r="F107" t="n">
        <x:v>7.2</x:v>
      </x:c>
      <x:c r="G107" t="n">
        <x:v>0</x:v>
      </x:c>
      <x:c r="H107" t="n">
        <x:v>1.48</x:v>
      </x:c>
      <x:c r="I107" t="n">
        <x:v>1.78</x:v>
      </x:c>
      <x:c r="J107" t="n">
        <x:v>5390.4</x:v>
      </x:c>
      <x:c r="K107" t="n">
        <x:v>216666.38</x:v>
      </x:c>
      <x:c r="L107" t="n">
        <x:v>3506.8</x:v>
      </x:c>
      <x:c r="M107" t="n">
        <x:f>SUM(E107,J107:L107)</x:f>
        <x:v>2813640.27</x:v>
      </x:c>
      <x:c r="N107" t="n">
        <x:v>5400</x:v>
      </x:c>
      <x:c r="O107" t="n">
        <x:f>D107*N107</x:f>
        <x:v>4190400</x:v>
      </x:c>
      <x:c r="P107" s="22" t="n">
        <x:f>IF(O107=0,0,(M107-O107)/O107)</x:f>
        <x:v>-0.32855090922107677</x:v>
      </x:c>
      <x:c r="Q107" s="20" t="n">
        <x:v>45319</x:v>
      </x:c>
    </x:row>
    <x:row r="108" ht="20" customHeight="1">
      <x:c r="A108" t="str">
        <x:v>WO00085</x:v>
      </x:c>
      <x:c r="B108" t="str">
        <x:v>LOT00085</x:v>
      </x:c>
      <x:c r="C108" t="str">
        <x:v>AUTO-BRK-B</x:v>
      </x:c>
      <x:c r="D108" t="n">
        <x:v>4928</x:v>
      </x:c>
      <x:c r="E108" t="n">
        <x:v>5280467.57</x:v>
      </x:c>
      <x:c r="F108" t="n">
        <x:v>24.51</x:v>
      </x:c>
      <x:c r="G108" t="n">
        <x:v>0</x:v>
      </x:c>
      <x:c r="H108" t="n">
        <x:v>4.12</x:v>
      </x:c>
      <x:c r="I108" t="n">
        <x:v>1.12</x:v>
      </x:c>
      <x:c r="J108" t="n">
        <x:v>17909.1</x:v>
      </x:c>
      <x:c r="K108" t="n">
        <x:v>413911.69</x:v>
      </x:c>
      <x:c r="L108" t="n">
        <x:v>10309</x:v>
      </x:c>
      <x:c r="M108" t="n">
        <x:f>SUM(E108,J108:L108)</x:f>
        <x:v>5722597.36</x:v>
      </x:c>
      <x:c r="N108" t="n">
        <x:v>1660</x:v>
      </x:c>
      <x:c r="O108" t="n">
        <x:f>D108*N108</x:f>
        <x:v>8180480</x:v>
      </x:c>
      <x:c r="P108" s="22" t="n">
        <x:f>IF(O108=0,0,(M108-O108)/O108)</x:f>
        <x:v>-0.30045701963698945</x:v>
      </x:c>
      <x:c r="Q108" s="20" t="n">
        <x:v>45314</x:v>
      </x:c>
    </x:row>
    <x:row r="109" ht="20" customHeight="1">
      <x:c r="A109" t="str">
        <x:v>WO00136</x:v>
      </x:c>
      <x:c r="B109" t="str">
        <x:v>LOT00136</x:v>
      </x:c>
      <x:c r="C109" t="str">
        <x:v>MECH-CON-B</x:v>
      </x:c>
      <x:c r="D109" t="n">
        <x:v>20</x:v>
      </x:c>
      <x:c r="E109" t="n">
        <x:v>1462080.65</x:v>
      </x:c>
      <x:c r="F109" t="n">
        <x:v>1454.95</x:v>
      </x:c>
      <x:c r="G109" t="n">
        <x:v>4619.42</x:v>
      </x:c>
      <x:c r="H109" t="n">
        <x:v>3195.3</x:v>
      </x:c>
      <x:c r="I109" t="n">
        <x:v>2.86</x:v>
      </x:c>
      <x:c r="J109" t="n">
        <x:v>4881559.9</x:v>
      </x:c>
      <x:c r="K109" t="n">
        <x:v>136014.54</x:v>
      </x:c>
      <x:c r="L109" t="n">
        <x:v>1988871</x:v>
      </x:c>
      <x:c r="M109" t="n">
        <x:f>SUM(E109,J109:L109)</x:f>
        <x:v>8468526.09</x:v>
      </x:c>
      <x:c r="N109" t="n">
        <x:v>119000</x:v>
      </x:c>
      <x:c r="O109" t="n">
        <x:f>D109*N109</x:f>
        <x:v>2380000</x:v>
      </x:c>
      <x:c r="P109" s="22" t="n">
        <x:f>IF(O109=0,0,(M109-O109)/O109)</x:f>
        <x:v>2.5582042394957982</x:v>
      </x:c>
      <x:c r="Q109" s="20" t="n">
        <x:v>45343</x:v>
      </x:c>
    </x:row>
    <x:row r="110" ht="20" customHeight="1">
      <x:c r="A110" t="str">
        <x:v>WO00116</x:v>
      </x:c>
      <x:c r="B110" t="str">
        <x:v>LOT00116</x:v>
      </x:c>
      <x:c r="C110" t="str">
        <x:v>PM-BRG-A</x:v>
      </x:c>
      <x:c r="D110" t="n">
        <x:v>786</x:v>
      </x:c>
      <x:c r="E110" t="n">
        <x:v>2118250.66</x:v>
      </x:c>
      <x:c r="F110" t="n">
        <x:v>6.65</x:v>
      </x:c>
      <x:c r="G110" t="n">
        <x:v>0</x:v>
      </x:c>
      <x:c r="H110" t="n">
        <x:v>1.5</x:v>
      </x:c>
      <x:c r="I110" t="n">
        <x:v>1.65</x:v>
      </x:c>
      <x:c r="J110" t="n">
        <x:v>5042.5</x:v>
      </x:c>
      <x:c r="K110" t="n">
        <x:v>148763.08</x:v>
      </x:c>
      <x:c r="L110" t="n">
        <x:v>3262</x:v>
      </x:c>
      <x:c r="M110" t="n">
        <x:f>SUM(E110,J110:L110)</x:f>
        <x:v>2275318.24</x:v>
      </x:c>
      <x:c r="N110" t="n">
        <x:v>4450</x:v>
      </x:c>
      <x:c r="O110" t="n">
        <x:f>D110*N110</x:f>
        <x:v>3497700</x:v>
      </x:c>
      <x:c r="P110" s="22" t="n">
        <x:f>IF(O110=0,0,(M110-O110)/O110)</x:f>
        <x:v>-0.34948159075964197</x:v>
      </x:c>
      <x:c r="Q110" s="20" t="n">
        <x:v>45316</x:v>
      </x:c>
    </x:row>
    <x:row r="111" ht="20" customHeight="1">
      <x:c r="A111" t="str">
        <x:v>WO00135</x:v>
      </x:c>
      <x:c r="B111" t="str">
        <x:v>LOT00135</x:v>
      </x:c>
      <x:c r="C111" t="str">
        <x:v>MECH-CON-B</x:v>
      </x:c>
      <x:c r="D111" t="n">
        <x:v>20</x:v>
      </x:c>
      <x:c r="E111" t="n">
        <x:v>1623711.31</x:v>
      </x:c>
      <x:c r="F111" t="n">
        <x:v>1464.02</x:v>
      </x:c>
      <x:c r="G111" t="n">
        <x:v>5415.19</x:v>
      </x:c>
      <x:c r="H111" t="n">
        <x:v>3550.69</x:v>
      </x:c>
      <x:c r="I111" t="n">
        <x:v>3.26</x:v>
      </x:c>
      <x:c r="J111" t="n">
        <x:v>5471843</x:v>
      </x:c>
      <x:c r="K111" t="n">
        <x:v>138548.85</x:v>
      </x:c>
      <x:c r="L111" t="n">
        <x:v>2208454</x:v>
      </x:c>
      <x:c r="M111" t="n">
        <x:f>SUM(E111,J111:L111)</x:f>
        <x:v>9442557.16</x:v>
      </x:c>
      <x:c r="N111" t="n">
        <x:v>119000</x:v>
      </x:c>
      <x:c r="O111" t="n">
        <x:f>D111*N111</x:f>
        <x:v>2380000</x:v>
      </x:c>
      <x:c r="P111" s="22" t="n">
        <x:f>IF(O111=0,0,(M111-O111)/O111)</x:f>
        <x:v>2.9674609915966386</x:v>
      </x:c>
      <x:c r="Q111" s="20" t="n">
        <x:v>45338</x:v>
      </x:c>
    </x:row>
    <x:row r="112" ht="20" customHeight="1">
      <x:c r="A112" t="str">
        <x:v>WO00103</x:v>
      </x:c>
      <x:c r="B112" t="str">
        <x:v>LOT00103</x:v>
      </x:c>
      <x:c r="C112" t="str">
        <x:v>SEMI-WH-B</x:v>
      </x:c>
      <x:c r="D112" t="n">
        <x:v>78</x:v>
      </x:c>
      <x:c r="E112" t="n">
        <x:v>6596935.89</x:v>
      </x:c>
      <x:c r="F112" t="n">
        <x:v>2.04</x:v>
      </x:c>
      <x:c r="G112" t="n">
        <x:v>0</x:v>
      </x:c>
      <x:c r="H112" t="n">
        <x:v>0.71</x:v>
      </x:c>
      <x:c r="I112" t="n">
        <x:v>3.21</x:v>
      </x:c>
      <x:c r="J112" t="n">
        <x:v>1666.8</x:v>
      </x:c>
      <x:c r="K112" t="n">
        <x:v>846794.31</x:v>
      </x:c>
      <x:c r="L112" t="n">
        <x:v>1851.8</x:v>
      </x:c>
      <x:c r="M112" t="n">
        <x:f>SUM(E112,J112:L112)</x:f>
        <x:v>7447248.8</x:v>
      </x:c>
      <x:c r="N112" t="n">
        <x:v>130000</x:v>
      </x:c>
      <x:c r="O112" t="n">
        <x:f>D112*N112</x:f>
        <x:v>10140000</x:v>
      </x:c>
      <x:c r="P112" s="22" t="n">
        <x:f>IF(O112=0,0,(M112-O112)/O112)</x:f>
        <x:v>-0.26555731755424067</x:v>
      </x:c>
      <x:c r="Q112" s="20" t="n">
        <x:v>45369</x:v>
      </x:c>
    </x:row>
    <x:row r="113" ht="20" customHeight="1">
      <x:c r="A113" t="str">
        <x:v>WO00138</x:v>
      </x:c>
      <x:c r="B113" t="str">
        <x:v>LOT00138</x:v>
      </x:c>
      <x:c r="C113" t="str">
        <x:v>MECH-CON-A</x:v>
      </x:c>
      <x:c r="D113" t="n">
        <x:v>19</x:v>
      </x:c>
      <x:c r="E113" t="n">
        <x:v>1008512.48</x:v>
      </x:c>
      <x:c r="F113" t="n">
        <x:v>1414.42</x:v>
      </x:c>
      <x:c r="G113" t="n">
        <x:v>4669.51</x:v>
      </x:c>
      <x:c r="H113" t="n">
        <x:v>3775.91</x:v>
      </x:c>
      <x:c r="I113" t="n">
        <x:v>2.67</x:v>
      </x:c>
      <x:c r="J113" t="n">
        <x:v>5159955</x:v>
      </x:c>
      <x:c r="K113" t="n">
        <x:v>94707.93</x:v>
      </x:c>
      <x:c r="L113" t="n">
        <x:v>2076328.2</x:v>
      </x:c>
      <x:c r="M113" t="n">
        <x:f>SUM(E113,J113:L113)</x:f>
        <x:v>8339503.609999999</x:v>
      </x:c>
      <x:c r="N113" t="n">
        <x:v>83000</x:v>
      </x:c>
      <x:c r="O113" t="n">
        <x:f>D113*N113</x:f>
        <x:v>1577000</x:v>
      </x:c>
      <x:c r="P113" s="22" t="n">
        <x:f>IF(O113=0,0,(M113-O113)/O113)</x:f>
        <x:v>4.288207742549144</x:v>
      </x:c>
      <x:c r="Q113" s="20" t="n">
        <x:v>45337</x:v>
      </x:c>
    </x:row>
    <x:row r="114" ht="20" customHeight="1">
      <x:c r="A114" t="str">
        <x:v>WO00115</x:v>
      </x:c>
      <x:c r="B114" t="str">
        <x:v>LOT00115</x:v>
      </x:c>
      <x:c r="C114" t="str">
        <x:v>PM-BRG-A</x:v>
      </x:c>
      <x:c r="D114" t="n">
        <x:v>782</x:v>
      </x:c>
      <x:c r="E114" t="n">
        <x:v>1970676.97</x:v>
      </x:c>
      <x:c r="F114" t="n">
        <x:v>6.13</x:v>
      </x:c>
      <x:c r="G114" t="n">
        <x:v>0</x:v>
      </x:c>
      <x:c r="H114" t="n">
        <x:v>1.68</x:v>
      </x:c>
      <x:c r="I114" t="n">
        <x:v>1.61</x:v>
      </x:c>
      <x:c r="J114" t="n">
        <x:v>4790.9</x:v>
      </x:c>
      <x:c r="K114" t="n">
        <x:v>179017.98</x:v>
      </x:c>
      <x:c r="L114" t="n">
        <x:v>3081.2</x:v>
      </x:c>
      <x:c r="M114" t="n">
        <x:f>SUM(E114,J114:L114)</x:f>
        <x:v>2157567.05</x:v>
      </x:c>
      <x:c r="N114" t="n">
        <x:v>4450</x:v>
      </x:c>
      <x:c r="O114" t="n">
        <x:f>D114*N114</x:f>
        <x:v>3479900</x:v>
      </x:c>
      <x:c r="P114" s="22" t="n">
        <x:f>IF(O114=0,0,(M114-O114)/O114)</x:f>
        <x:v>-0.3799916520589673</x:v>
      </x:c>
      <x:c r="Q114" s="20" t="n">
        <x:v>45316</x:v>
      </x:c>
    </x:row>
    <x:row r="115" ht="20" customHeight="1">
      <x:c r="A115" t="str">
        <x:v>WO00129</x:v>
      </x:c>
      <x:c r="B115" t="str">
        <x:v>LOT00129</x:v>
      </x:c>
      <x:c r="C115" t="str">
        <x:v>PM-BRG-B</x:v>
      </x:c>
      <x:c r="D115" t="n">
        <x:v>294</x:v>
      </x:c>
      <x:c r="E115" t="n">
        <x:v>922966.9</x:v>
      </x:c>
      <x:c r="F115" t="n">
        <x:v>2.61</x:v>
      </x:c>
      <x:c r="G115" t="n">
        <x:v>0</x:v>
      </x:c>
      <x:c r="H115" t="n">
        <x:v>0.59</x:v>
      </x:c>
      <x:c r="I115" t="n">
        <x:v>1.55</x:v>
      </x:c>
      <x:c r="J115" t="n">
        <x:v>1979.7</x:v>
      </x:c>
      <x:c r="K115" t="n">
        <x:v>80899.98</x:v>
      </x:c>
      <x:c r="L115" t="n">
        <x:v>1551.2</x:v>
      </x:c>
      <x:c r="M115" t="n">
        <x:f>SUM(E115,J115:L115)</x:f>
        <x:v>1007397.78</x:v>
      </x:c>
      <x:c r="N115" t="n">
        <x:v>5400</x:v>
      </x:c>
      <x:c r="O115" t="n">
        <x:f>D115*N115</x:f>
        <x:v>1587600</x:v>
      </x:c>
      <x:c r="P115" s="22" t="n">
        <x:f>IF(O115=0,0,(M115-O115)/O115)</x:f>
        <x:v>-0.3654586923658352</x:v>
      </x:c>
      <x:c r="Q115" s="20" t="n">
        <x:v>45323</x:v>
      </x:c>
    </x:row>
    <x:row r="116" ht="20" customHeight="1">
      <x:c r="A116" t="str">
        <x:v>WO00139</x:v>
      </x:c>
      <x:c r="B116" t="str">
        <x:v>LOT00139</x:v>
      </x:c>
      <x:c r="C116" t="str">
        <x:v>MECH-CON-A</x:v>
      </x:c>
      <x:c r="D116" t="n">
        <x:v>20</x:v>
      </x:c>
      <x:c r="E116" t="n">
        <x:v>1094009.74</x:v>
      </x:c>
      <x:c r="F116" t="n">
        <x:v>1442.67</x:v>
      </x:c>
      <x:c r="G116" t="n">
        <x:v>5275.49</x:v>
      </x:c>
      <x:c r="H116" t="n">
        <x:v>3439.2</x:v>
      </x:c>
      <x:c r="I116" t="n">
        <x:v>3.32</x:v>
      </x:c>
      <x:c r="J116" t="n">
        <x:v>5331806.3</x:v>
      </x:c>
      <x:c r="K116" t="n">
        <x:v>96524.99</x:v>
      </x:c>
      <x:c r="L116" t="n">
        <x:v>2154580.6</x:v>
      </x:c>
      <x:c r="M116" t="n">
        <x:f>SUM(E116,J116:L116)</x:f>
        <x:v>8676921.63</x:v>
      </x:c>
      <x:c r="N116" t="n">
        <x:v>83000</x:v>
      </x:c>
      <x:c r="O116" t="n">
        <x:f>D116*N116</x:f>
        <x:v>1660000</x:v>
      </x:c>
      <x:c r="P116" s="22" t="n">
        <x:f>IF(O116=0,0,(M116-O116)/O116)</x:f>
        <x:v>4.2270612228915665</x:v>
      </x:c>
      <x:c r="Q116" s="20" t="n">
        <x:v>45335</x:v>
      </x:c>
    </x:row>
    <x:row r="117" ht="20" customHeight="1">
      <x:c r="A117" t="str">
        <x:v>WO00107</x:v>
      </x:c>
      <x:c r="B117" t="str">
        <x:v>LOT00107</x:v>
      </x:c>
      <x:c r="C117" t="str">
        <x:v>AUTO-BRK-A</x:v>
      </x:c>
      <x:c r="D117" t="n">
        <x:v>6933</x:v>
      </x:c>
      <x:c r="E117" t="n">
        <x:v>6435315.82</x:v>
      </x:c>
      <x:c r="F117" t="n">
        <x:v>35.18</x:v>
      </x:c>
      <x:c r="G117" t="n">
        <x:v>0</x:v>
      </x:c>
      <x:c r="H117" t="n">
        <x:v>5.93</x:v>
      </x:c>
      <x:c r="I117" t="n">
        <x:v>1.18</x:v>
      </x:c>
      <x:c r="J117" t="n">
        <x:v>25713.4</x:v>
      </x:c>
      <x:c r="K117" t="n">
        <x:v>505315.11</x:v>
      </x:c>
      <x:c r="L117" t="n">
        <x:v>14671.2</x:v>
      </x:c>
      <x:c r="M117" t="n">
        <x:f>SUM(E117,J117:L117)</x:f>
        <x:v>6981015.53</x:v>
      </x:c>
      <x:c r="N117" t="n">
        <x:v>1380</x:v>
      </x:c>
      <x:c r="O117" t="n">
        <x:f>D117*N117</x:f>
        <x:v>9567540</x:v>
      </x:c>
      <x:c r="P117" s="22" t="n">
        <x:f>IF(O117=0,0,(M117-O117)/O117)</x:f>
        <x:v>-0.27034373203561207</x:v>
      </x:c>
      <x:c r="Q117" s="20" t="n">
        <x:v>45322</x:v>
      </x:c>
    </x:row>
    <x:row r="118" ht="20" customHeight="1">
      <x:c r="A118" t="str">
        <x:v>WO00127</x:v>
      </x:c>
      <x:c r="B118" t="str">
        <x:v>LOT00127</x:v>
      </x:c>
      <x:c r="C118" t="str">
        <x:v>PM-SUS-B</x:v>
      </x:c>
      <x:c r="D118" t="n">
        <x:v>783</x:v>
      </x:c>
      <x:c r="E118" t="n">
        <x:v>5547167.73</x:v>
      </x:c>
      <x:c r="F118" t="n">
        <x:v>7.27</x:v>
      </x:c>
      <x:c r="G118" t="n">
        <x:v>0</x:v>
      </x:c>
      <x:c r="H118" t="n">
        <x:v>1.65</x:v>
      </x:c>
      <x:c r="I118" t="n">
        <x:v>1.59</x:v>
      </x:c>
      <x:c r="J118" t="n">
        <x:v>5517.5</x:v>
      </x:c>
      <x:c r="K118" t="n">
        <x:v>584507.63</x:v>
      </x:c>
      <x:c r="L118" t="n">
        <x:v>3503.6</x:v>
      </x:c>
      <x:c r="M118" t="n">
        <x:f>SUM(E118,J118:L118)</x:f>
        <x:v>6140696.460000001</x:v>
      </x:c>
      <x:c r="N118" t="n">
        <x:v>11100</x:v>
      </x:c>
      <x:c r="O118" t="n">
        <x:f>D118*N118</x:f>
        <x:v>8691300</x:v>
      </x:c>
      <x:c r="P118" s="22" t="n">
        <x:f>IF(O118=0,0,(M118-O118)/O118)</x:f>
        <x:v>-0.2934662869766317</x:v>
      </x:c>
      <x:c r="Q118" s="20" t="n">
        <x:v>45335</x:v>
      </x:c>
    </x:row>
    <x:row r="119" ht="20" customHeight="1">
      <x:c r="A119" t="str">
        <x:v>WO00128</x:v>
      </x:c>
      <x:c r="B119" t="str">
        <x:v>LOT00128</x:v>
      </x:c>
      <x:c r="C119" t="str">
        <x:v>PM-SUS-B</x:v>
      </x:c>
      <x:c r="D119" t="n">
        <x:v>789</x:v>
      </x:c>
      <x:c r="E119" t="n">
        <x:v>5685563.74</x:v>
      </x:c>
      <x:c r="F119" t="n">
        <x:v>6.51</x:v>
      </x:c>
      <x:c r="G119" t="n">
        <x:v>0</x:v>
      </x:c>
      <x:c r="H119" t="n">
        <x:v>1.68</x:v>
      </x:c>
      <x:c r="I119" t="n">
        <x:v>1.64</x:v>
      </x:c>
      <x:c r="J119" t="n">
        <x:v>5037.9</x:v>
      </x:c>
      <x:c r="K119" t="n">
        <x:v>573352.37</x:v>
      </x:c>
      <x:c r="L119" t="n">
        <x:v>3234.6</x:v>
      </x:c>
      <x:c r="M119" t="n">
        <x:f>SUM(E119,J119:L119)</x:f>
        <x:v>6267188.61</x:v>
      </x:c>
      <x:c r="N119" t="n">
        <x:v>11100</x:v>
      </x:c>
      <x:c r="O119" t="n">
        <x:f>D119*N119</x:f>
        <x:v>8757900</x:v>
      </x:c>
      <x:c r="P119" s="22" t="n">
        <x:f>IF(O119=0,0,(M119-O119)/O119)</x:f>
        <x:v>-0.2843959613606001</x:v>
      </x:c>
      <x:c r="Q119" s="20" t="n">
        <x:v>45330</x:v>
      </x:c>
    </x:row>
    <x:row r="120" ht="20" customHeight="1">
      <x:c r="A120" t="str">
        <x:v>WO00131</x:v>
      </x:c>
      <x:c r="B120" t="str">
        <x:v>LOT00131</x:v>
      </x:c>
      <x:c r="C120" t="str">
        <x:v>PM-SUS-B</x:v>
      </x:c>
      <x:c r="D120" t="n">
        <x:v>585</x:v>
      </x:c>
      <x:c r="E120" t="n">
        <x:v>4140688.28</x:v>
      </x:c>
      <x:c r="F120" t="n">
        <x:v>5.57</x:v>
      </x:c>
      <x:c r="G120" t="n">
        <x:v>0</x:v>
      </x:c>
      <x:c r="H120" t="n">
        <x:v>1.01</x:v>
      </x:c>
      <x:c r="I120" t="n">
        <x:v>1.85</x:v>
      </x:c>
      <x:c r="J120" t="n">
        <x:v>4105.3</x:v>
      </x:c>
      <x:c r="K120" t="n">
        <x:v>453404.44</x:v>
      </x:c>
      <x:c r="L120" t="n">
        <x:v>2833.2</x:v>
      </x:c>
      <x:c r="M120" t="n">
        <x:f>SUM(E120,J120:L120)</x:f>
        <x:v>4601031.22</x:v>
      </x:c>
      <x:c r="N120" t="n">
        <x:v>11100</x:v>
      </x:c>
      <x:c r="O120" t="n">
        <x:f>D120*N120</x:f>
        <x:v>6493500</x:v>
      </x:c>
      <x:c r="P120" s="22" t="n">
        <x:f>IF(O120=0,0,(M120-O120)/O120)</x:f>
        <x:v>-0.2914404835604836</x:v>
      </x:c>
      <x:c r="Q120" s="20" t="n">
        <x:v>45331</x:v>
      </x:c>
    </x:row>
    <x:row r="121" ht="20" customHeight="1">
      <x:c r="A121" t="str">
        <x:v>WO00120</x:v>
      </x:c>
      <x:c r="B121" t="str">
        <x:v>LOT00120</x:v>
      </x:c>
      <x:c r="C121" t="str">
        <x:v>PM-VAC-A</x:v>
      </x:c>
      <x:c r="D121" t="n">
        <x:v>779</x:v>
      </x:c>
      <x:c r="E121" t="n">
        <x:v>4893109.38</x:v>
      </x:c>
      <x:c r="F121" t="n">
        <x:v>7.8</x:v>
      </x:c>
      <x:c r="G121" t="n">
        <x:v>0</x:v>
      </x:c>
      <x:c r="H121" t="n">
        <x:v>1.52</x:v>
      </x:c>
      <x:c r="I121" t="n">
        <x:v>1.67</x:v>
      </x:c>
      <x:c r="J121" t="n">
        <x:v>5799.6</x:v>
      </x:c>
      <x:c r="K121" t="n">
        <x:v>685794.66</x:v>
      </x:c>
      <x:c r="L121" t="n">
        <x:v>3708.2</x:v>
      </x:c>
      <x:c r="M121" t="n">
        <x:f>SUM(E121,J121:L121)</x:f>
        <x:v>5588411.84</x:v>
      </x:c>
      <x:c r="N121" t="n">
        <x:v>10800</x:v>
      </x:c>
      <x:c r="O121" t="n">
        <x:f>D121*N121</x:f>
        <x:v>8413200</x:v>
      </x:c>
      <x:c r="P121" s="22" t="n">
        <x:f>IF(O121=0,0,(M121-O121)/O121)</x:f>
        <x:v>-0.33575668711073076</x:v>
      </x:c>
      <x:c r="Q121" s="20" t="n">
        <x:v>45343</x:v>
      </x:c>
    </x:row>
    <x:row r="122" ht="20" customHeight="1">
      <x:c r="A122" t="str">
        <x:v>WO00125</x:v>
      </x:c>
      <x:c r="B122" t="str">
        <x:v>LOT00125</x:v>
      </x:c>
      <x:c r="C122" t="str">
        <x:v>PM-BRG-A</x:v>
      </x:c>
      <x:c r="D122" t="n">
        <x:v>491</x:v>
      </x:c>
      <x:c r="E122" t="n">
        <x:v>1282156.75</x:v>
      </x:c>
      <x:c r="F122" t="n">
        <x:v>4.38</x:v>
      </x:c>
      <x:c r="G122" t="n">
        <x:v>0</x:v>
      </x:c>
      <x:c r="H122" t="n">
        <x:v>0.83</x:v>
      </x:c>
      <x:c r="I122" t="n">
        <x:v>1.72</x:v>
      </x:c>
      <x:c r="J122" t="n">
        <x:v>3245.4</x:v>
      </x:c>
      <x:c r="K122" t="n">
        <x:v>107463.95</x:v>
      </x:c>
      <x:c r="L122" t="n">
        <x:v>2313.2</x:v>
      </x:c>
      <x:c r="M122" t="n">
        <x:f>SUM(E122,J122:L122)</x:f>
        <x:v>1395179.3</x:v>
      </x:c>
      <x:c r="N122" t="n">
        <x:v>4450</x:v>
      </x:c>
      <x:c r="O122" t="n">
        <x:f>D122*N122</x:f>
        <x:v>2184950</x:v>
      </x:c>
      <x:c r="P122" s="22" t="n">
        <x:f>IF(O122=0,0,(M122-O122)/O122)</x:f>
        <x:v>-0.3614593926634477</x:v>
      </x:c>
      <x:c r="Q122" s="20" t="n">
        <x:v>45324</x:v>
      </x:c>
    </x:row>
    <x:row r="123" ht="20" customHeight="1">
      <x:c r="A123" t="str">
        <x:v>WO00132</x:v>
      </x:c>
      <x:c r="B123" t="str">
        <x:v>LOT00132</x:v>
      </x:c>
      <x:c r="C123" t="str">
        <x:v>PM-SUS-B</x:v>
      </x:c>
      <x:c r="D123" t="n">
        <x:v>589</x:v>
      </x:c>
      <x:c r="E123" t="n">
        <x:v>4175281</x:v>
      </x:c>
      <x:c r="F123" t="n">
        <x:v>5.49</x:v>
      </x:c>
      <x:c r="G123" t="n">
        <x:v>0</x:v>
      </x:c>
      <x:c r="H123" t="n">
        <x:v>1.04</x:v>
      </x:c>
      <x:c r="I123" t="n">
        <x:v>1.59</x:v>
      </x:c>
      <x:c r="J123" t="n">
        <x:v>4067.7</x:v>
      </x:c>
      <x:c r="K123" t="n">
        <x:v>397327.81</x:v>
      </x:c>
      <x:c r="L123" t="n">
        <x:v>2729.6</x:v>
      </x:c>
      <x:c r="M123" t="n">
        <x:f>SUM(E123,J123:L123)</x:f>
        <x:v>4579406.11</x:v>
      </x:c>
      <x:c r="N123" t="n">
        <x:v>11100</x:v>
      </x:c>
      <x:c r="O123" t="n">
        <x:f>D123*N123</x:f>
        <x:v>6537900</x:v>
      </x:c>
      <x:c r="P123" s="22" t="n">
        <x:f>IF(O123=0,0,(M123-O123)/O123)</x:f>
        <x:v>-0.29956008657214084</x:v>
      </x:c>
      <x:c r="Q123" s="20" t="n">
        <x:v>45331</x:v>
      </x:c>
    </x:row>
    <x:row r="124" ht="20" customHeight="1">
      <x:c r="A124" t="str">
        <x:v>WO00113</x:v>
      </x:c>
      <x:c r="B124" t="str">
        <x:v>LOT00113</x:v>
      </x:c>
      <x:c r="C124" t="str">
        <x:v>PM-SUS-A</x:v>
      </x:c>
      <x:c r="D124" t="n">
        <x:v>588</x:v>
      </x:c>
      <x:c r="E124" t="n">
        <x:v>2604038.2</x:v>
      </x:c>
      <x:c r="F124" t="n">
        <x:v>5.58</x:v>
      </x:c>
      <x:c r="G124" t="n">
        <x:v>0</x:v>
      </x:c>
      <x:c r="H124" t="n">
        <x:v>1.07</x:v>
      </x:c>
      <x:c r="I124" t="n">
        <x:v>1.63</x:v>
      </x:c>
      <x:c r="J124" t="n">
        <x:v>4140.6</x:v>
      </x:c>
      <x:c r="K124" t="n">
        <x:v>332507.98</x:v>
      </x:c>
      <x:c r="L124" t="n">
        <x:v>2780.6</x:v>
      </x:c>
      <x:c r="M124" t="n">
        <x:f>SUM(E124,J124:L124)</x:f>
        <x:v>2943467.38</x:v>
      </x:c>
      <x:c r="N124" t="n">
        <x:v>7500</x:v>
      </x:c>
      <x:c r="O124" t="n">
        <x:f>D124*N124</x:f>
        <x:v>4410000</x:v>
      </x:c>
      <x:c r="P124" s="22" t="n">
        <x:f>IF(O124=0,0,(M124-O124)/O124)</x:f>
        <x:v>-0.3325470793650794</x:v>
      </x:c>
      <x:c r="Q124" s="20" t="n">
        <x:v>45326</x:v>
      </x:c>
    </x:row>
    <x:row r="125" ht="20" customHeight="1">
      <x:c r="A125" t="str">
        <x:v>WO00114</x:v>
      </x:c>
      <x:c r="B125" t="str">
        <x:v>LOT00114</x:v>
      </x:c>
      <x:c r="C125" t="str">
        <x:v>PM-SUS-A</x:v>
      </x:c>
      <x:c r="D125" t="n">
        <x:v>589</x:v>
      </x:c>
      <x:c r="E125" t="n">
        <x:v>2653535.87</x:v>
      </x:c>
      <x:c r="F125" t="n">
        <x:v>4.82</x:v>
      </x:c>
      <x:c r="G125" t="n">
        <x:v>0</x:v>
      </x:c>
      <x:c r="H125" t="n">
        <x:v>1.19</x:v>
      </x:c>
      <x:c r="I125" t="n">
        <x:v>1.64</x:v>
      </x:c>
      <x:c r="J125" t="n">
        <x:v>3704.2</x:v>
      </x:c>
      <x:c r="K125" t="n">
        <x:v>298535.71</x:v>
      </x:c>
      <x:c r="L125" t="n">
        <x:v>2514</x:v>
      </x:c>
      <x:c r="M125" t="n">
        <x:f>SUM(E125,J125:L125)</x:f>
        <x:v>2958289.7800000003</x:v>
      </x:c>
      <x:c r="N125" t="n">
        <x:v>7500</x:v>
      </x:c>
      <x:c r="O125" t="n">
        <x:f>D125*N125</x:f>
        <x:v>4417500</x:v>
      </x:c>
      <x:c r="P125" s="22" t="n">
        <x:f>IF(O125=0,0,(M125-O125)/O125)</x:f>
        <x:v>-0.3303248941709111</x:v>
      </x:c>
      <x:c r="Q125" s="20" t="n">
        <x:v>45327</x:v>
      </x:c>
    </x:row>
    <x:row r="126" ht="20" customHeight="1">
      <x:c r="A126" t="str">
        <x:v>WO00121</x:v>
      </x:c>
      <x:c r="B126" t="str">
        <x:v>LOT00121</x:v>
      </x:c>
      <x:c r="C126" t="str">
        <x:v>PM-VAC-A</x:v>
      </x:c>
      <x:c r="D126" t="n">
        <x:v>783</x:v>
      </x:c>
      <x:c r="E126" t="n">
        <x:v>4892180.47</x:v>
      </x:c>
      <x:c r="F126" t="n">
        <x:v>6.58</x:v>
      </x:c>
      <x:c r="G126" t="n">
        <x:v>0</x:v>
      </x:c>
      <x:c r="H126" t="n">
        <x:v>1.7</x:v>
      </x:c>
      <x:c r="I126" t="n">
        <x:v>1.69</x:v>
      </x:c>
      <x:c r="J126" t="n">
        <x:v>5093</x:v>
      </x:c>
      <x:c r="K126" t="n">
        <x:v>658977.08</x:v>
      </x:c>
      <x:c r="L126" t="n">
        <x:v>3279.4</x:v>
      </x:c>
      <x:c r="M126" t="n">
        <x:f>SUM(E126,J126:L126)</x:f>
        <x:v>5559529.949999999</x:v>
      </x:c>
      <x:c r="N126" t="n">
        <x:v>10800</x:v>
      </x:c>
      <x:c r="O126" t="n">
        <x:f>D126*N126</x:f>
        <x:v>8456400</x:v>
      </x:c>
      <x:c r="P126" s="22" t="n">
        <x:f>IF(O126=0,0,(M126-O126)/O126)</x:f>
        <x:v>-0.3425654001702853</x:v>
      </x:c>
      <x:c r="Q126" s="20" t="n">
        <x:v>45337</x:v>
      </x:c>
    </x:row>
    <x:row r="127" ht="20" customHeight="1">
      <x:c r="A127" t="str">
        <x:v>WO00109</x:v>
      </x:c>
      <x:c r="B127" t="str">
        <x:v>LOT00109</x:v>
      </x:c>
      <x:c r="C127" t="str">
        <x:v>AUTO-BRK-A</x:v>
      </x:c>
      <x:c r="D127" t="n">
        <x:v>6360</x:v>
      </x:c>
      <x:c r="E127" t="n">
        <x:v>6021212.01</x:v>
      </x:c>
      <x:c r="F127" t="n">
        <x:v>30.1</x:v>
      </x:c>
      <x:c r="G127" t="n">
        <x:v>0</x:v>
      </x:c>
      <x:c r="H127" t="n">
        <x:v>4.91</x:v>
      </x:c>
      <x:c r="I127" t="n">
        <x:v>1.24</x:v>
      </x:c>
      <x:c r="J127" t="n">
        <x:v>21921.8</x:v>
      </x:c>
      <x:c r="K127" t="n">
        <x:v>567412.76</x:v>
      </x:c>
      <x:c r="L127" t="n">
        <x:v>12595.6</x:v>
      </x:c>
      <x:c r="M127" t="n">
        <x:f>SUM(E127,J127:L127)</x:f>
        <x:v>6623142.17</x:v>
      </x:c>
      <x:c r="N127" t="n">
        <x:v>1380</x:v>
      </x:c>
      <x:c r="O127" t="n">
        <x:f>D127*N127</x:f>
        <x:v>8776800</x:v>
      </x:c>
      <x:c r="P127" s="22" t="n">
        <x:f>IF(O127=0,0,(M127-O127)/O127)</x:f>
        <x:v>-0.24538075722358949</x:v>
      </x:c>
      <x:c r="Q127" s="20" t="n">
        <x:v>45328</x:v>
      </x:c>
    </x:row>
    <x:row r="128" ht="20" customHeight="1">
      <x:c r="A128" t="str">
        <x:v>WO00108</x:v>
      </x:c>
      <x:c r="B128" t="str">
        <x:v>LOT00108</x:v>
      </x:c>
      <x:c r="C128" t="str">
        <x:v>AUTO-BRK-A</x:v>
      </x:c>
      <x:c r="D128" t="n">
        <x:v>6426</x:v>
      </x:c>
      <x:c r="E128" t="n">
        <x:v>6196445.3</x:v>
      </x:c>
      <x:c r="F128" t="n">
        <x:v>32.62</x:v>
      </x:c>
      <x:c r="G128" t="n">
        <x:v>0</x:v>
      </x:c>
      <x:c r="H128" t="n">
        <x:v>4.61</x:v>
      </x:c>
      <x:c r="I128" t="n">
        <x:v>1.3</x:v>
      </x:c>
      <x:c r="J128" t="n">
        <x:v>23415.8</x:v>
      </x:c>
      <x:c r="K128" t="n">
        <x:v>485754.34</x:v>
      </x:c>
      <x:c r="L128" t="n">
        <x:v>13523.2</x:v>
      </x:c>
      <x:c r="M128" t="n">
        <x:f>SUM(E128,J128:L128)</x:f>
        <x:v>6719138.64</x:v>
      </x:c>
      <x:c r="N128" t="n">
        <x:v>1380</x:v>
      </x:c>
      <x:c r="O128" t="n">
        <x:f>D128*N128</x:f>
        <x:v>8867880</x:v>
      </x:c>
      <x:c r="P128" s="22" t="n">
        <x:f>IF(O128=0,0,(M128-O128)/O128)</x:f>
        <x:v>-0.24230609345187354</x:v>
      </x:c>
      <x:c r="Q128" s="20" t="n">
        <x:v>45329</x:v>
      </x:c>
    </x:row>
    <x:row r="129" ht="20" customHeight="1">
      <x:c r="A129" t="str">
        <x:v>WO00106</x:v>
      </x:c>
      <x:c r="B129" t="str">
        <x:v>LOT00106</x:v>
      </x:c>
      <x:c r="C129" t="str">
        <x:v>PM-BRG-A</x:v>
      </x:c>
      <x:c r="D129" t="n">
        <x:v>290</x:v>
      </x:c>
      <x:c r="E129" t="n">
        <x:v>761047.35</x:v>
      </x:c>
      <x:c r="F129" t="n">
        <x:v>2.76</x:v>
      </x:c>
      <x:c r="G129" t="n">
        <x:v>0</x:v>
      </x:c>
      <x:c r="H129" t="n">
        <x:v>0.54</x:v>
      </x:c>
      <x:c r="I129" t="n">
        <x:v>1.54</x:v>
      </x:c>
      <x:c r="J129" t="n">
        <x:v>2053.2</x:v>
      </x:c>
      <x:c r="K129" t="n">
        <x:v>60769.19</x:v>
      </x:c>
      <x:c r="L129" t="n">
        <x:v>1597.2</x:v>
      </x:c>
      <x:c r="M129" t="n">
        <x:f>SUM(E129,J129:L129)</x:f>
        <x:v>825466.94</x:v>
      </x:c>
      <x:c r="N129" t="n">
        <x:v>4450</x:v>
      </x:c>
      <x:c r="O129" t="n">
        <x:f>D129*N129</x:f>
        <x:v>1290500</x:v>
      </x:c>
      <x:c r="P129" s="22" t="n">
        <x:f>IF(O129=0,0,(M129-O129)/O129)</x:f>
        <x:v>-0.36035107322743126</x:v>
      </x:c>
      <x:c r="Q129" s="20" t="n">
        <x:v>45333</x:v>
      </x:c>
    </x:row>
    <x:row r="130" ht="20" customHeight="1">
      <x:c r="A130" t="str">
        <x:v>WO00130</x:v>
      </x:c>
      <x:c r="B130" t="str">
        <x:v>LOT00130</x:v>
      </x:c>
      <x:c r="C130" t="str">
        <x:v>PM-ALB-A</x:v>
      </x:c>
      <x:c r="D130" t="n">
        <x:v>786</x:v>
      </x:c>
      <x:c r="E130" t="n">
        <x:v>4072277.34</x:v>
      </x:c>
      <x:c r="F130" t="n">
        <x:v>6.49</x:v>
      </x:c>
      <x:c r="G130" t="n">
        <x:v>0</x:v>
      </x:c>
      <x:c r="H130" t="n">
        <x:v>1.48</x:v>
      </x:c>
      <x:c r="I130" t="n">
        <x:v>1.47</x:v>
      </x:c>
      <x:c r="J130" t="n">
        <x:v>4928.9</x:v>
      </x:c>
      <x:c r="K130" t="n">
        <x:v>246970.53</x:v>
      </x:c>
      <x:c r="L130" t="n">
        <x:v>3144</x:v>
      </x:c>
      <x:c r="M130" t="n">
        <x:f>SUM(E130,J130:L130)</x:f>
        <x:v>4327320.77</x:v>
      </x:c>
      <x:c r="N130" t="n">
        <x:v>8100</x:v>
      </x:c>
      <x:c r="O130" t="n">
        <x:f>D130*N130</x:f>
        <x:v>6366600</x:v>
      </x:c>
      <x:c r="P130" s="22" t="n">
        <x:f>IF(O130=0,0,(M130-O130)/O130)</x:f>
        <x:v>-0.32030899224075654</x:v>
      </x:c>
      <x:c r="Q130" s="20" t="n">
        <x:v>45339</x:v>
      </x:c>
    </x:row>
    <x:row r="131" ht="20" customHeight="1">
      <x:c r="A131" t="str">
        <x:v>WO00122</x:v>
      </x:c>
      <x:c r="B131" t="str">
        <x:v>LOT00122</x:v>
      </x:c>
      <x:c r="C131" t="str">
        <x:v>PM-VAC-B</x:v>
      </x:c>
      <x:c r="D131" t="n">
        <x:v>295</x:v>
      </x:c>
      <x:c r="E131" t="n">
        <x:v>2857895.66</x:v>
      </x:c>
      <x:c r="F131" t="n">
        <x:v>2.63</x:v>
      </x:c>
      <x:c r="G131" t="n">
        <x:v>0</x:v>
      </x:c>
      <x:c r="H131" t="n">
        <x:v>0.58</x:v>
      </x:c>
      <x:c r="I131" t="n">
        <x:v>1.58</x:v>
      </x:c>
      <x:c r="J131" t="n">
        <x:v>1987.9</x:v>
      </x:c>
      <x:c r="K131" t="n">
        <x:v>324021.88</x:v>
      </x:c>
      <x:c r="L131" t="n">
        <x:v>1566.2</x:v>
      </x:c>
      <x:c r="M131" t="n">
        <x:f>SUM(E131,J131:L131)</x:f>
        <x:v>3185471.64</x:v>
      </x:c>
      <x:c r="N131" t="n">
        <x:v>15500</x:v>
      </x:c>
      <x:c r="O131" t="n">
        <x:f>D131*N131</x:f>
        <x:v>4572500</x:v>
      </x:c>
      <x:c r="P131" s="22" t="n">
        <x:f>IF(O131=0,0,(M131-O131)/O131)</x:f>
        <x:v>-0.3033413581191908</x:v>
      </x:c>
      <x:c r="Q131" s="20" t="n">
        <x:v>45354</x:v>
      </x:c>
    </x:row>
    <x:row r="132" ht="20" customHeight="1">
      <x:c r="A132" t="str">
        <x:v>WO00137</x:v>
      </x:c>
      <x:c r="B132" t="str">
        <x:v>LOT00137</x:v>
      </x:c>
      <x:c r="C132" t="str">
        <x:v>SEMI-WH-B</x:v>
      </x:c>
      <x:c r="D132" t="n">
        <x:v>39</x:v>
      </x:c>
      <x:c r="E132" t="n">
        <x:v>3024056.32</x:v>
      </x:c>
      <x:c r="F132" t="n">
        <x:v>0.96</x:v>
      </x:c>
      <x:c r="G132" t="n">
        <x:v>0</x:v>
      </x:c>
      <x:c r="H132" t="n">
        <x:v>0.37</x:v>
      </x:c>
      <x:c r="I132" t="n">
        <x:v>2.75</x:v>
      </x:c>
      <x:c r="J132" t="n">
        <x:v>801.6</x:v>
      </x:c>
      <x:c r="K132" t="n">
        <x:v>386439.34</x:v>
      </x:c>
      <x:c r="L132" t="n">
        <x:v>1249</x:v>
      </x:c>
      <x:c r="M132" t="n">
        <x:f>SUM(E132,J132:L132)</x:f>
        <x:v>3412546.26</x:v>
      </x:c>
      <x:c r="N132" t="n">
        <x:v>130000</x:v>
      </x:c>
      <x:c r="O132" t="n">
        <x:f>D132*N132</x:f>
        <x:v>5070000</x:v>
      </x:c>
      <x:c r="P132" s="22" t="n">
        <x:f>IF(O132=0,0,(M132-O132)/O132)</x:f>
        <x:v>-0.32691395266272194</x:v>
      </x:c>
      <x:c r="Q132" s="20" t="n">
        <x:v>45373</x:v>
      </x:c>
    </x:row>
    <x:row r="133" ht="20" customHeight="1">
      <x:c r="A133" t="str">
        <x:v>WO00141</x:v>
      </x:c>
      <x:c r="B133" t="str">
        <x:v>LOT00141</x:v>
      </x:c>
      <x:c r="C133" t="str">
        <x:v>AUTO-MH-B</x:v>
      </x:c>
      <x:c r="D133" t="n">
        <x:v>4927</x:v>
      </x:c>
      <x:c r="E133" t="n">
        <x:v>8522623.44</x:v>
      </x:c>
      <x:c r="F133" t="n">
        <x:v>24.19</x:v>
      </x:c>
      <x:c r="G133" t="n">
        <x:v>0</x:v>
      </x:c>
      <x:c r="H133" t="n">
        <x:v>4.54</x:v>
      </x:c>
      <x:c r="I133" t="n">
        <x:v>1.27</x:v>
      </x:c>
      <x:c r="J133" t="n">
        <x:v>17902.7</x:v>
      </x:c>
      <x:c r="K133" t="n">
        <x:v>452258.82</x:v>
      </x:c>
      <x:c r="L133" t="n">
        <x:v>10299.6</x:v>
      </x:c>
      <x:c r="M133" t="n">
        <x:f>SUM(E133,J133:L133)</x:f>
        <x:v>9003084.559999999</x:v>
      </x:c>
      <x:c r="N133" t="n">
        <x:v>2320</x:v>
      </x:c>
      <x:c r="O133" t="n">
        <x:f>D133*N133</x:f>
        <x:v>11430640</x:v>
      </x:c>
      <x:c r="P133" s="22" t="n">
        <x:f>IF(O133=0,0,(M133-O133)/O133)</x:f>
        <x:v>-0.21237266154825987</x:v>
      </x:c>
      <x:c r="Q133" s="20" t="n">
        <x:v>45344</x:v>
      </x:c>
    </x:row>
    <x:row r="134" ht="20" customHeight="1">
      <x:c r="A134" t="str">
        <x:v>WO00110</x:v>
      </x:c>
      <x:c r="B134" t="str">
        <x:v>LOT00110</x:v>
      </x:c>
      <x:c r="C134" t="str">
        <x:v>MECH-STG-A</x:v>
      </x:c>
      <x:c r="D134" t="n">
        <x:v>17</x:v>
      </x:c>
      <x:c r="E134" t="n">
        <x:v>1228788.23</x:v>
      </x:c>
      <x:c r="F134" t="n">
        <x:v>1364.46</x:v>
      </x:c>
      <x:c r="G134" t="n">
        <x:v>3820.61</x:v>
      </x:c>
      <x:c r="H134" t="n">
        <x:v>3216.62</x:v>
      </x:c>
      <x:c r="I134" t="n">
        <x:v>2.95</x:v>
      </x:c>
      <x:c r="J134" t="n">
        <x:v>4417593.8</x:v>
      </x:c>
      <x:c r="K134" t="n">
        <x:v>102591.28</x:v>
      </x:c>
      <x:c r="L134" t="n">
        <x:v>1798161</x:v>
      </x:c>
      <x:c r="M134" t="n">
        <x:f>SUM(E134,J134:L134)</x:f>
        <x:v>7547134.3100000005</x:v>
      </x:c>
      <x:c r="N134" t="n">
        <x:v>104000</x:v>
      </x:c>
      <x:c r="O134" t="n">
        <x:f>D134*N134</x:f>
        <x:v>1768000</x:v>
      </x:c>
      <x:c r="P134" s="22" t="n">
        <x:f>IF(O134=0,0,(M134-O134)/O134)</x:f>
        <x:v>3.268741125565611</x:v>
      </x:c>
      <x:c r="Q134" s="20" t="n">
        <x:v>45361</x:v>
      </x:c>
    </x:row>
    <x:row r="135" ht="20" customHeight="1">
      <x:c r="A135" t="str">
        <x:v>WO00112</x:v>
      </x:c>
      <x:c r="B135" t="str">
        <x:v>LOT00112</x:v>
      </x:c>
      <x:c r="C135" t="str">
        <x:v>MECH-STG-A</x:v>
      </x:c>
      <x:c r="D135" t="n">
        <x:v>16</x:v>
      </x:c>
      <x:c r="E135" t="n">
        <x:v>1138695.51</x:v>
      </x:c>
      <x:c r="F135" t="n">
        <x:v>1198.51</x:v>
      </x:c>
      <x:c r="G135" t="n">
        <x:v>4115.61</x:v>
      </x:c>
      <x:c r="H135" t="n">
        <x:v>2539.59</x:v>
      </x:c>
      <x:c r="I135" t="n">
        <x:v>2.78</x:v>
      </x:c>
      <x:c r="J135" t="n">
        <x:v>4138151.9</x:v>
      </x:c>
      <x:c r="K135" t="n">
        <x:v>104477.14</x:v>
      </x:c>
      <x:c r="L135" t="n">
        <x:v>1685724.2</x:v>
      </x:c>
      <x:c r="M135" t="n">
        <x:f>SUM(E135,J135:L135)</x:f>
        <x:v>7067048.75</x:v>
      </x:c>
      <x:c r="N135" t="n">
        <x:v>104000</x:v>
      </x:c>
      <x:c r="O135" t="n">
        <x:f>D135*N135</x:f>
        <x:v>1664000</x:v>
      </x:c>
      <x:c r="P135" s="22" t="n">
        <x:f>IF(O135=0,0,(M135-O135)/O135)</x:f>
        <x:v>3.2470244891826923</x:v>
      </x:c>
      <x:c r="Q135" s="20" t="n">
        <x:v>45365</x:v>
      </x:c>
    </x:row>
    <x:row r="136" ht="20" customHeight="1">
      <x:c r="A136" t="str">
        <x:v>WO00111</x:v>
      </x:c>
      <x:c r="B136" t="str">
        <x:v>LOT00111</x:v>
      </x:c>
      <x:c r="C136" t="str">
        <x:v>MECH-STG-A</x:v>
      </x:c>
      <x:c r="D136" t="n">
        <x:v>17</x:v>
      </x:c>
      <x:c r="E136" t="n">
        <x:v>1230036.66</x:v>
      </x:c>
      <x:c r="F136" t="n">
        <x:v>1381.12</x:v>
      </x:c>
      <x:c r="G136" t="n">
        <x:v>4006.35</x:v>
      </x:c>
      <x:c r="H136" t="n">
        <x:v>3334.37</x:v>
      </x:c>
      <x:c r="I136" t="n">
        <x:v>3.47</x:v>
      </x:c>
      <x:c r="J136" t="n">
        <x:v>4581527.6</x:v>
      </x:c>
      <x:c r="K136" t="n">
        <x:v>100164.58</x:v>
      </x:c>
      <x:c r="L136" t="n">
        <x:v>1860635.8</x:v>
      </x:c>
      <x:c r="M136" t="n">
        <x:f>SUM(E136,J136:L136)</x:f>
        <x:v>7772364.64</x:v>
      </x:c>
      <x:c r="N136" t="n">
        <x:v>104000</x:v>
      </x:c>
      <x:c r="O136" t="n">
        <x:f>D136*N136</x:f>
        <x:v>1768000</x:v>
      </x:c>
      <x:c r="P136" s="22" t="n">
        <x:f>IF(O136=0,0,(M136-O136)/O136)</x:f>
        <x:v>3.396133846153846</x:v>
      </x:c>
      <x:c r="Q136" s="20" t="n">
        <x:v>45372</x:v>
      </x:c>
    </x:row>
    <x:row r="137" ht="20" customHeight="1">
      <x:c r="A137" t="str">
        <x:v>WO00118</x:v>
      </x:c>
      <x:c r="B137" t="str">
        <x:v>LOT00118</x:v>
      </x:c>
      <x:c r="C137" t="str">
        <x:v>PM-VAC-B</x:v>
      </x:c>
      <x:c r="D137" t="n">
        <x:v>787</x:v>
      </x:c>
      <x:c r="E137" t="n">
        <x:v>7636655.7</x:v>
      </x:c>
      <x:c r="F137" t="n">
        <x:v>6.91</x:v>
      </x:c>
      <x:c r="G137" t="n">
        <x:v>0</x:v>
      </x:c>
      <x:c r="H137" t="n">
        <x:v>1.4</x:v>
      </x:c>
      <x:c r="I137" t="n">
        <x:v>1.58</x:v>
      </x:c>
      <x:c r="J137" t="n">
        <x:v>5163.5</x:v>
      </x:c>
      <x:c r="K137" t="n">
        <x:v>848023.44</x:v>
      </x:c>
      <x:c r="L137" t="n">
        <x:v>3323.8</x:v>
      </x:c>
      <x:c r="M137" t="n">
        <x:f>SUM(E137,J137:L137)</x:f>
        <x:v>8493166.44</x:v>
      </x:c>
      <x:c r="N137" t="n">
        <x:v>15500</x:v>
      </x:c>
      <x:c r="O137" t="n">
        <x:f>D137*N137</x:f>
        <x:v>12198500</x:v>
      </x:c>
      <x:c r="P137" s="22" t="n">
        <x:f>IF(O137=0,0,(M137-O137)/O137)</x:f>
        <x:v>-0.3037532122801984</x:v>
      </x:c>
      <x:c r="Q137" s="20" t="n">
        <x:v>45360</x:v>
      </x:c>
    </x:row>
    <x:row r="138" ht="20" customHeight="1">
      <x:c r="A138" t="str">
        <x:v>WO00151</x:v>
      </x:c>
      <x:c r="B138" t="str">
        <x:v>LOT00151</x:v>
      </x:c>
      <x:c r="C138" t="str">
        <x:v>PM-SUS-A</x:v>
      </x:c>
      <x:c r="D138" t="n">
        <x:v>291</x:v>
      </x:c>
      <x:c r="E138" t="n">
        <x:v>1374861.82</x:v>
      </x:c>
      <x:c r="F138" t="n">
        <x:v>2.38</x:v>
      </x:c>
      <x:c r="G138" t="n">
        <x:v>0</x:v>
      </x:c>
      <x:c r="H138" t="n">
        <x:v>0.55</x:v>
      </x:c>
      <x:c r="I138" t="n">
        <x:v>1.74</x:v>
      </x:c>
      <x:c r="J138" t="n">
        <x:v>1811</x:v>
      </x:c>
      <x:c r="K138" t="n">
        <x:v>162457.58</x:v>
      </x:c>
      <x:c r="L138" t="n">
        <x:v>1514.4</x:v>
      </x:c>
      <x:c r="M138" t="n">
        <x:f>SUM(E138,J138:L138)</x:f>
        <x:v>1540644.8</x:v>
      </x:c>
      <x:c r="N138" t="n">
        <x:v>7500</x:v>
      </x:c>
      <x:c r="O138" t="n">
        <x:f>D138*N138</x:f>
        <x:v>2182500</x:v>
      </x:c>
      <x:c r="P138" s="22" t="n">
        <x:f>IF(O138=0,0,(M138-O138)/O138)</x:f>
        <x:v>-0.2940917296678121</x:v>
      </x:c>
      <x:c r="Q138" s="20" t="n">
        <x:v>45351</x:v>
      </x:c>
    </x:row>
    <x:row r="139" ht="20" customHeight="1">
      <x:c r="A139" t="str">
        <x:v>WO00126</x:v>
      </x:c>
      <x:c r="B139" t="str">
        <x:v>LOT00126</x:v>
      </x:c>
      <x:c r="C139" t="str">
        <x:v>PM-ALB-B</x:v>
      </x:c>
      <x:c r="D139" t="n">
        <x:v>495</x:v>
      </x:c>
      <x:c r="E139" t="n">
        <x:v>3993785.7</x:v>
      </x:c>
      <x:c r="F139" t="n">
        <x:v>4.24</x:v>
      </x:c>
      <x:c r="G139" t="n">
        <x:v>0</x:v>
      </x:c>
      <x:c r="H139" t="n">
        <x:v>1.03</x:v>
      </x:c>
      <x:c r="I139" t="n">
        <x:v>1.6</x:v>
      </x:c>
      <x:c r="J139" t="n">
        <x:v>3250.4</x:v>
      </x:c>
      <x:c r="K139" t="n">
        <x:v>233310.02</x:v>
      </x:c>
      <x:c r="L139" t="n">
        <x:v>2256</x:v>
      </x:c>
      <x:c r="M139" t="n">
        <x:f>SUM(E139,J139:L139)</x:f>
        <x:v>4232602.12</x:v>
      </x:c>
      <x:c r="N139" t="n">
        <x:v>11750</x:v>
      </x:c>
      <x:c r="O139" t="n">
        <x:f>D139*N139</x:f>
        <x:v>5816250</x:v>
      </x:c>
      <x:c r="P139" s="22" t="n">
        <x:f>IF(O139=0,0,(M139-O139)/O139)</x:f>
        <x:v>-0.2722798848055018</x:v>
      </x:c>
      <x:c r="Q139" s="20" t="n">
        <x:v>45358</x:v>
      </x:c>
    </x:row>
    <x:row r="140" ht="20" customHeight="1">
      <x:c r="A140" t="str">
        <x:v>WO00117</x:v>
      </x:c>
      <x:c r="B140" t="str">
        <x:v>LOT00117</x:v>
      </x:c>
      <x:c r="C140" t="str">
        <x:v>PM-VAC-B</x:v>
      </x:c>
      <x:c r="D140" t="n">
        <x:v>780</x:v>
      </x:c>
      <x:c r="E140" t="n">
        <x:v>7425634.77</x:v>
      </x:c>
      <x:c r="F140" t="n">
        <x:v>7.15</x:v>
      </x:c>
      <x:c r="G140" t="n">
        <x:v>0</x:v>
      </x:c>
      <x:c r="H140" t="n">
        <x:v>1.56</x:v>
      </x:c>
      <x:c r="I140" t="n">
        <x:v>1.54</x:v>
      </x:c>
      <x:c r="J140" t="n">
        <x:v>5396.3</x:v>
      </x:c>
      <x:c r="K140" t="n">
        <x:v>869782.26</x:v>
      </x:c>
      <x:c r="L140" t="n">
        <x:v>3428.6</x:v>
      </x:c>
      <x:c r="M140" t="n">
        <x:f>SUM(E140,J140:L140)</x:f>
        <x:v>8304241.93</x:v>
      </x:c>
      <x:c r="N140" t="n">
        <x:v>15500</x:v>
      </x:c>
      <x:c r="O140" t="n">
        <x:f>D140*N140</x:f>
        <x:v>12090000</x:v>
      </x:c>
      <x:c r="P140" s="22" t="n">
        <x:f>IF(O140=0,0,(M140-O140)/O140)</x:f>
        <x:v>-0.3131313540115798</x:v>
      </x:c>
      <x:c r="Q140" s="20" t="n">
        <x:v>45361</x:v>
      </x:c>
    </x:row>
    <x:row r="141" ht="20" customHeight="1">
      <x:c r="A141" t="str">
        <x:v>WO00164</x:v>
      </x:c>
      <x:c r="B141" t="str">
        <x:v>LOT00164</x:v>
      </x:c>
      <x:c r="C141" t="str">
        <x:v>PM-BRG-B</x:v>
      </x:c>
      <x:c r="D141" t="n">
        <x:v>296</x:v>
      </x:c>
      <x:c r="E141" t="n">
        <x:v>916785.59</x:v>
      </x:c>
      <x:c r="F141" t="n">
        <x:v>2.48</x:v>
      </x:c>
      <x:c r="G141" t="n">
        <x:v>0</x:v>
      </x:c>
      <x:c r="H141" t="n">
        <x:v>0.52</x:v>
      </x:c>
      <x:c r="I141" t="n">
        <x:v>1.86</x:v>
      </x:c>
      <x:c r="J141" t="n">
        <x:v>1861.6</x:v>
      </x:c>
      <x:c r="K141" t="n">
        <x:v>76277.96</x:v>
      </x:c>
      <x:c r="L141" t="n">
        <x:v>1583.6</x:v>
      </x:c>
      <x:c r="M141" t="n">
        <x:f>SUM(E141,J141:L141)</x:f>
        <x:v>996508.75</x:v>
      </x:c>
      <x:c r="N141" t="n">
        <x:v>5400</x:v>
      </x:c>
      <x:c r="O141" t="n">
        <x:f>D141*N141</x:f>
        <x:v>1598400</x:v>
      </x:c>
      <x:c r="P141" s="22" t="n">
        <x:f>IF(O141=0,0,(M141-O141)/O141)</x:f>
        <x:v>-0.37655858983983986</x:v>
      </x:c>
      <x:c r="Q141" s="20" t="n">
        <x:v>45351</x:v>
      </x:c>
    </x:row>
    <x:row r="142" ht="20" customHeight="1">
      <x:c r="A142" t="str">
        <x:v>WO00133</x:v>
      </x:c>
      <x:c r="B142" t="str">
        <x:v>LOT00133</x:v>
      </x:c>
      <x:c r="C142" t="str">
        <x:v>AUTO-KN-A</x:v>
      </x:c>
      <x:c r="D142" t="n">
        <x:v>6374</x:v>
      </x:c>
      <x:c r="E142" t="n">
        <x:v>9074963</x:v>
      </x:c>
      <x:c r="F142" t="n">
        <x:v>33.66</x:v>
      </x:c>
      <x:c r="G142" t="n">
        <x:v>0</x:v>
      </x:c>
      <x:c r="H142" t="n">
        <x:v>5.26</x:v>
      </x:c>
      <x:c r="I142" t="n">
        <x:v>1.23</x:v>
      </x:c>
      <x:c r="J142" t="n">
        <x:v>24403.8</x:v>
      </x:c>
      <x:c r="K142" t="n">
        <x:v>869052.93</x:v>
      </x:c>
      <x:c r="L142" t="n">
        <x:v>14001.4</x:v>
      </x:c>
      <x:c r="M142" t="n">
        <x:f>SUM(E142,J142:L142)</x:f>
        <x:v>9982421.13</x:v>
      </x:c>
      <x:c r="N142" t="n">
        <x:v>2210</x:v>
      </x:c>
      <x:c r="O142" t="n">
        <x:f>D142*N142</x:f>
        <x:v>14086540</x:v>
      </x:c>
      <x:c r="P142" s="22" t="n">
        <x:f>IF(O142=0,0,(M142-O142)/O142)</x:f>
        <x:v>-0.29135038625524784</x:v>
      </x:c>
      <x:c r="Q142" s="20" t="n">
        <x:v>45353</x:v>
      </x:c>
    </x:row>
    <x:row r="143" ht="20" customHeight="1">
      <x:c r="A143" t="str">
        <x:v>WO00134</x:v>
      </x:c>
      <x:c r="B143" t="str">
        <x:v>LOT00134</x:v>
      </x:c>
      <x:c r="C143" t="str">
        <x:v>AUTO-KN-A</x:v>
      </x:c>
      <x:c r="D143" t="n">
        <x:v>6415</x:v>
      </x:c>
      <x:c r="E143" t="n">
        <x:v>9844194.78</x:v>
      </x:c>
      <x:c r="F143" t="n">
        <x:v>33.42</x:v>
      </x:c>
      <x:c r="G143" t="n">
        <x:v>0</x:v>
      </x:c>
      <x:c r="H143" t="n">
        <x:v>5.96</x:v>
      </x:c>
      <x:c r="I143" t="n">
        <x:v>1.1</x:v>
      </x:c>
      <x:c r="J143" t="n">
        <x:v>24583.8</x:v>
      </x:c>
      <x:c r="K143" t="n">
        <x:v>817311.87</x:v>
      </x:c>
      <x:c r="L143" t="n">
        <x:v>13983.2</x:v>
      </x:c>
      <x:c r="M143" t="n">
        <x:f>SUM(E143,J143:L143)</x:f>
        <x:v>10700073.649999999</x:v>
      </x:c>
      <x:c r="N143" t="n">
        <x:v>2210</x:v>
      </x:c>
      <x:c r="O143" t="n">
        <x:f>D143*N143</x:f>
        <x:v>14177150</x:v>
      </x:c>
      <x:c r="P143" s="22" t="n">
        <x:f>IF(O143=0,0,(M143-O143)/O143)</x:f>
        <x:v>-0.2452591917275335</x:v>
      </x:c>
      <x:c r="Q143" s="20" t="n">
        <x:v>45357</x:v>
      </x:c>
    </x:row>
    <x:row r="144" ht="20" customHeight="1">
      <x:c r="A144" t="str">
        <x:v>WO00163</x:v>
      </x:c>
      <x:c r="B144" t="str">
        <x:v>LOT00163</x:v>
      </x:c>
      <x:c r="C144" t="str">
        <x:v>AUTO-MH-A</x:v>
      </x:c>
      <x:c r="D144" t="n">
        <x:v>4962</x:v>
      </x:c>
      <x:c r="E144" t="n">
        <x:v>6485163.08</x:v>
      </x:c>
      <x:c r="F144" t="n">
        <x:v>24.71</x:v>
      </x:c>
      <x:c r="G144" t="n">
        <x:v>0</x:v>
      </x:c>
      <x:c r="H144" t="n">
        <x:v>4.46</x:v>
      </x:c>
      <x:c r="I144" t="n">
        <x:v>1.29</x:v>
      </x:c>
      <x:c r="J144" t="n">
        <x:v>18202.3</x:v>
      </x:c>
      <x:c r="K144" t="n">
        <x:v>398865.86</x:v>
      </x:c>
      <x:c r="L144" t="n">
        <x:v>10490.4</x:v>
      </x:c>
      <x:c r="M144" t="n">
        <x:f>SUM(E144,J144:L144)</x:f>
        <x:v>6912721.64</x:v>
      </x:c>
      <x:c r="N144" t="n">
        <x:v>1970</x:v>
      </x:c>
      <x:c r="O144" t="n">
        <x:f>D144*N144</x:f>
        <x:v>9775140</x:v>
      </x:c>
      <x:c r="P144" s="22" t="n">
        <x:f>IF(O144=0,0,(M144-O144)/O144)</x:f>
        <x:v>-0.29282632883007303</x:v>
      </x:c>
      <x:c r="Q144" s="20" t="n">
        <x:v>45349</x:v>
      </x:c>
    </x:row>
    <x:row r="145" ht="20" customHeight="1">
      <x:c r="A145" t="str">
        <x:v>WO00140</x:v>
      </x:c>
      <x:c r="B145" t="str">
        <x:v>LOT00140</x:v>
      </x:c>
      <x:c r="C145" t="str">
        <x:v>MECH-CON-B</x:v>
      </x:c>
      <x:c r="D145" t="n">
        <x:v>10</x:v>
      </x:c>
      <x:c r="E145" t="n">
        <x:v>734032.09</x:v>
      </x:c>
      <x:c r="F145" t="n">
        <x:v>707.33</x:v>
      </x:c>
      <x:c r="G145" t="n">
        <x:v>2464.2</x:v>
      </x:c>
      <x:c r="H145" t="n">
        <x:v>1618.16</x:v>
      </x:c>
      <x:c r="I145" t="n">
        <x:v>2.92</x:v>
      </x:c>
      <x:c r="J145" t="n">
        <x:v>2517865.3</x:v>
      </x:c>
      <x:c r="K145" t="n">
        <x:v>77879.61</x:v>
      </x:c>
      <x:c r="L145" t="n">
        <x:v>1021407</x:v>
      </x:c>
      <x:c r="M145" t="n">
        <x:f>SUM(E145,J145:L145)</x:f>
        <x:v>4351184</x:v>
      </x:c>
      <x:c r="N145" t="n">
        <x:v>119000</x:v>
      </x:c>
      <x:c r="O145" t="n">
        <x:f>D145*N145</x:f>
        <x:v>1190000</x:v>
      </x:c>
      <x:c r="P145" s="22" t="n">
        <x:f>IF(O145=0,0,(M145-O145)/O145)</x:f>
        <x:v>2.656457142857143</x:v>
      </x:c>
      <x:c r="Q145" s="20" t="n">
        <x:v>45373</x:v>
      </x:c>
    </x:row>
    <x:row r="146" ht="20" customHeight="1">
      <x:c r="A146" t="str">
        <x:v>WO00145</x:v>
      </x:c>
      <x:c r="B146" t="str">
        <x:v>LOT00145</x:v>
      </x:c>
      <x:c r="C146" t="str">
        <x:v>PM-VAC-A</x:v>
      </x:c>
      <x:c r="D146" t="n">
        <x:v>489</x:v>
      </x:c>
      <x:c r="E146" t="n">
        <x:v>3079473.56</x:v>
      </x:c>
      <x:c r="F146" t="n">
        <x:v>4.32</x:v>
      </x:c>
      <x:c r="G146" t="n">
        <x:v>0</x:v>
      </x:c>
      <x:c r="H146" t="n">
        <x:v>0.98</x:v>
      </x:c>
      <x:c r="I146" t="n">
        <x:v>1.66</x:v>
      </x:c>
      <x:c r="J146" t="n">
        <x:v>3278.4</x:v>
      </x:c>
      <x:c r="K146" t="n">
        <x:v>377067.26</x:v>
      </x:c>
      <x:c r="L146" t="n">
        <x:v>2296.4</x:v>
      </x:c>
      <x:c r="M146" t="n">
        <x:f>SUM(E146,J146:L146)</x:f>
        <x:v>3462115.62</x:v>
      </x:c>
      <x:c r="N146" t="n">
        <x:v>10800</x:v>
      </x:c>
      <x:c r="O146" t="n">
        <x:f>D146*N146</x:f>
        <x:v>5281200</x:v>
      </x:c>
      <x:c r="P146" s="22" t="n">
        <x:f>IF(O146=0,0,(M146-O146)/O146)</x:f>
        <x:v>-0.34444527380140877</x:v>
      </x:c>
      <x:c r="Q146" s="20" t="n">
        <x:v>45356</x:v>
      </x:c>
    </x:row>
    <x:row r="147" ht="20" customHeight="1">
      <x:c r="A147" t="str">
        <x:v>WO00162</x:v>
      </x:c>
      <x:c r="B147" t="str">
        <x:v>LOT00162</x:v>
      </x:c>
      <x:c r="C147" t="str">
        <x:v>AUTO-MH-A</x:v>
      </x:c>
      <x:c r="D147" t="n">
        <x:v>4850</x:v>
      </x:c>
      <x:c r="E147" t="n">
        <x:v>6576969.16</x:v>
      </x:c>
      <x:c r="F147" t="n">
        <x:v>25.13</x:v>
      </x:c>
      <x:c r="G147" t="n">
        <x:v>0</x:v>
      </x:c>
      <x:c r="H147" t="n">
        <x:v>3.87</x:v>
      </x:c>
      <x:c r="I147" t="n">
        <x:v>1.13</x:v>
      </x:c>
      <x:c r="J147" t="n">
        <x:v>18192.1</x:v>
      </x:c>
      <x:c r="K147" t="n">
        <x:v>430628.82</x:v>
      </x:c>
      <x:c r="L147" t="n">
        <x:v>10507.6</x:v>
      </x:c>
      <x:c r="M147" t="n">
        <x:f>SUM(E147,J147:L147)</x:f>
        <x:v>7036297.68</x:v>
      </x:c>
      <x:c r="N147" t="n">
        <x:v>1970</x:v>
      </x:c>
      <x:c r="O147" t="n">
        <x:f>D147*N147</x:f>
        <x:v>9554500</x:v>
      </x:c>
      <x:c r="P147" s="22" t="n">
        <x:f>IF(O147=0,0,(M147-O147)/O147)</x:f>
        <x:v>-0.263561915327856</x:v>
      </x:c>
      <x:c r="Q147" s="20" t="n">
        <x:v>45349</x:v>
      </x:c>
    </x:row>
    <x:row r="148" ht="20" customHeight="1">
      <x:c r="A148" t="str">
        <x:v>WO00146</x:v>
      </x:c>
      <x:c r="B148" t="str">
        <x:v>LOT00146</x:v>
      </x:c>
      <x:c r="C148" t="str">
        <x:v>AUTO-MH-A</x:v>
      </x:c>
      <x:c r="D148" t="n">
        <x:v>6470</x:v>
      </x:c>
      <x:c r="E148" t="n">
        <x:v>9353390.35</x:v>
      </x:c>
      <x:c r="F148" t="n">
        <x:v>31.41</x:v>
      </x:c>
      <x:c r="G148" t="n">
        <x:v>0</x:v>
      </x:c>
      <x:c r="H148" t="n">
        <x:v>4.61</x:v>
      </x:c>
      <x:c r="I148" t="n">
        <x:v>1.05</x:v>
      </x:c>
      <x:c r="J148" t="n">
        <x:v>22629.3</x:v>
      </x:c>
      <x:c r="K148" t="n">
        <x:v>474394.62</x:v>
      </x:c>
      <x:c r="L148" t="n">
        <x:v>12988.4</x:v>
      </x:c>
      <x:c r="M148" t="n">
        <x:f>SUM(E148,J148:L148)</x:f>
        <x:v>9863402.67</x:v>
      </x:c>
      <x:c r="N148" t="n">
        <x:v>1970</x:v>
      </x:c>
      <x:c r="O148" t="n">
        <x:f>D148*N148</x:f>
        <x:v>12745900</x:v>
      </x:c>
      <x:c r="P148" s="22" t="n">
        <x:f>IF(O148=0,0,(M148-O148)/O148)</x:f>
        <x:v>-0.22615094500976785</x:v>
      </x:c>
      <x:c r="Q148" s="20" t="n">
        <x:v>45351</x:v>
      </x:c>
    </x:row>
    <x:row r="149" ht="20" customHeight="1">
      <x:c r="A149" t="str">
        <x:v>WO00156</x:v>
      </x:c>
      <x:c r="B149" t="str">
        <x:v>LOT00156</x:v>
      </x:c>
      <x:c r="C149" t="str">
        <x:v>AUTO-FL-A</x:v>
      </x:c>
      <x:c r="D149" t="n">
        <x:v>6397</x:v>
      </x:c>
      <x:c r="E149" t="n">
        <x:v>4065048.47</x:v>
      </x:c>
      <x:c r="F149" t="n">
        <x:v>31.4</x:v>
      </x:c>
      <x:c r="G149" t="n">
        <x:v>0</x:v>
      </x:c>
      <x:c r="H149" t="n">
        <x:v>4.89</x:v>
      </x:c>
      <x:c r="I149" t="n">
        <x:v>1.17</x:v>
      </x:c>
      <x:c r="J149" t="n">
        <x:v>22757.2</x:v>
      </x:c>
      <x:c r="K149" t="n">
        <x:v>342415.18</x:v>
      </x:c>
      <x:c r="L149" t="n">
        <x:v>13065.4</x:v>
      </x:c>
      <x:c r="M149" t="n">
        <x:f>SUM(E149,J149:L149)</x:f>
        <x:v>4443286.25</x:v>
      </x:c>
      <x:c r="N149" t="n">
        <x:v>970</x:v>
      </x:c>
      <x:c r="O149" t="n">
        <x:f>D149*N149</x:f>
        <x:v>6205090</x:v>
      </x:c>
      <x:c r="P149" s="22" t="n">
        <x:f>IF(O149=0,0,(M149-O149)/O149)</x:f>
        <x:v>-0.28392879877648836</x:v>
      </x:c>
      <x:c r="Q149" s="20" t="n">
        <x:v>45357</x:v>
      </x:c>
    </x:row>
    <x:row r="150" ht="20" customHeight="1">
      <x:c r="A150" t="str">
        <x:v>WO00157</x:v>
      </x:c>
      <x:c r="B150" t="str">
        <x:v>LOT00157</x:v>
      </x:c>
      <x:c r="C150" t="str">
        <x:v>AUTO-FL-A</x:v>
      </x:c>
      <x:c r="D150" t="n">
        <x:v>6409</x:v>
      </x:c>
      <x:c r="E150" t="n">
        <x:v>3987197.05</x:v>
      </x:c>
      <x:c r="F150" t="n">
        <x:v>35.9</x:v>
      </x:c>
      <x:c r="G150" t="n">
        <x:v>0</x:v>
      </x:c>
      <x:c r="H150" t="n">
        <x:v>4.78</x:v>
      </x:c>
      <x:c r="I150" t="n">
        <x:v>1.07</x:v>
      </x:c>
      <x:c r="J150" t="n">
        <x:v>25629.4</x:v>
      </x:c>
      <x:c r="K150" t="n">
        <x:v>363200.88</x:v>
      </x:c>
      <x:c r="L150" t="n">
        <x:v>14727.8</x:v>
      </x:c>
      <x:c r="M150" t="n">
        <x:f>SUM(E150,J150:L150)</x:f>
        <x:v>4390755.13</x:v>
      </x:c>
      <x:c r="N150" t="n">
        <x:v>970</x:v>
      </x:c>
      <x:c r="O150" t="n">
        <x:f>D150*N150</x:f>
        <x:v>6216730</x:v>
      </x:c>
      <x:c r="P150" s="22" t="n">
        <x:f>IF(O150=0,0,(M150-O150)/O150)</x:f>
        <x:v>-0.29371950687901843</x:v>
      </x:c>
      <x:c r="Q150" s="20" t="n">
        <x:v>45348</x:v>
      </x:c>
    </x:row>
    <x:row r="151" ht="20" customHeight="1">
      <x:c r="A151" t="str">
        <x:v>WO00144</x:v>
      </x:c>
      <x:c r="B151" t="str">
        <x:v>LOT00144</x:v>
      </x:c>
      <x:c r="C151" t="str">
        <x:v>SEMI-WH-B</x:v>
      </x:c>
      <x:c r="D151" t="n">
        <x:v>78</x:v>
      </x:c>
      <x:c r="E151" t="n">
        <x:v>6507183.37</x:v>
      </x:c>
      <x:c r="F151" t="n">
        <x:v>2.17</x:v>
      </x:c>
      <x:c r="G151" t="n">
        <x:v>0</x:v>
      </x:c>
      <x:c r="H151" t="n">
        <x:v>0.72</x:v>
      </x:c>
      <x:c r="I151" t="n">
        <x:v>3.28</x:v>
      </x:c>
      <x:c r="J151" t="n">
        <x:v>1756.1</x:v>
      </x:c>
      <x:c r="K151" t="n">
        <x:v>892144.91</x:v>
      </x:c>
      <x:c r="L151" t="n">
        <x:v>1923.8</x:v>
      </x:c>
      <x:c r="M151" t="n">
        <x:f>SUM(E151,J151:L151)</x:f>
        <x:v>7403008.18</x:v>
      </x:c>
      <x:c r="N151" t="n">
        <x:v>130000</x:v>
      </x:c>
      <x:c r="O151" t="n">
        <x:f>D151*N151</x:f>
        <x:v>10140000</x:v>
      </x:c>
      <x:c r="P151" s="22" t="n">
        <x:f>IF(O151=0,0,(M151-O151)/O151)</x:f>
        <x:v>-0.2699202978303748</x:v>
      </x:c>
      <x:c r="Q151" s="20" t="n">
        <x:v>45394</x:v>
      </x:c>
    </x:row>
    <x:row r="152" ht="20" customHeight="1">
      <x:c r="A152" t="str">
        <x:v>WO00147</x:v>
      </x:c>
      <x:c r="B152" t="str">
        <x:v>LOT00147</x:v>
      </x:c>
      <x:c r="C152" t="str">
        <x:v>AUTO-MH-A</x:v>
      </x:c>
      <x:c r="D152" t="n">
        <x:v>6465</x:v>
      </x:c>
      <x:c r="E152" t="n">
        <x:v>8467425.84</x:v>
      </x:c>
      <x:c r="F152" t="n">
        <x:v>32.44</x:v>
      </x:c>
      <x:c r="G152" t="n">
        <x:v>0</x:v>
      </x:c>
      <x:c r="H152" t="n">
        <x:v>4.61</x:v>
      </x:c>
      <x:c r="I152" t="n">
        <x:v>1.13</x:v>
      </x:c>
      <x:c r="J152" t="n">
        <x:v>23298.8</x:v>
      </x:c>
      <x:c r="K152" t="n">
        <x:v>569602.08</x:v>
      </x:c>
      <x:c r="L152" t="n">
        <x:v>13403.8</x:v>
      </x:c>
      <x:c r="M152" t="n">
        <x:f>SUM(E152,J152:L152)</x:f>
        <x:v>9073730.52</x:v>
      </x:c>
      <x:c r="N152" t="n">
        <x:v>1970</x:v>
      </x:c>
      <x:c r="O152" t="n">
        <x:f>D152*N152</x:f>
        <x:v>12736050</x:v>
      </x:c>
      <x:c r="P152" s="22" t="n">
        <x:f>IF(O152=0,0,(M152-O152)/O152)</x:f>
        <x:v>-0.2875553629264961</x:v>
      </x:c>
      <x:c r="Q152" s="20" t="n">
        <x:v>45354</x:v>
      </x:c>
    </x:row>
    <x:row r="153" ht="20" customHeight="1">
      <x:c r="A153" t="str">
        <x:v>WO00160</x:v>
      </x:c>
      <x:c r="B153" t="str">
        <x:v>LOT00160</x:v>
      </x:c>
      <x:c r="C153" t="str">
        <x:v>MECH-CON-B</x:v>
      </x:c>
      <x:c r="D153" t="n">
        <x:v>15</x:v>
      </x:c>
      <x:c r="E153" t="n">
        <x:v>1111624.8</x:v>
      </x:c>
      <x:c r="F153" t="n">
        <x:v>1239</x:v>
      </x:c>
      <x:c r="G153" t="n">
        <x:v>3735.31</x:v>
      </x:c>
      <x:c r="H153" t="n">
        <x:v>2759.41</x:v>
      </x:c>
      <x:c r="I153" t="n">
        <x:v>3.17</x:v>
      </x:c>
      <x:c r="J153" t="n">
        <x:v>4072228</x:v>
      </x:c>
      <x:c r="K153" t="n">
        <x:v>104356.68</x:v>
      </x:c>
      <x:c r="L153" t="n">
        <x:v>1660338.6</x:v>
      </x:c>
      <x:c r="M153" t="n">
        <x:f>SUM(E153,J153:L153)</x:f>
        <x:v>6948548.08</x:v>
      </x:c>
      <x:c r="N153" t="n">
        <x:v>119000</x:v>
      </x:c>
      <x:c r="O153" t="n">
        <x:f>D153*N153</x:f>
        <x:v>1785000</x:v>
      </x:c>
      <x:c r="P153" s="22" t="n">
        <x:f>IF(O153=0,0,(M153-O153)/O153)</x:f>
        <x:v>2.8927440224089636</x:v>
      </x:c>
      <x:c r="Q153" s="20" t="n">
        <x:v>45379</x:v>
      </x:c>
    </x:row>
    <x:row r="154" ht="20" customHeight="1">
      <x:c r="A154" t="str">
        <x:v>WO00152</x:v>
      </x:c>
      <x:c r="B154" t="str">
        <x:v>LOT00152</x:v>
      </x:c>
      <x:c r="C154" t="str">
        <x:v>AUTO-BS-A</x:v>
      </x:c>
      <x:c r="D154" t="n">
        <x:v>2941</x:v>
      </x:c>
      <x:c r="E154" t="n">
        <x:v>1005252.03</x:v>
      </x:c>
      <x:c r="F154" t="n">
        <x:v>14.13</x:v>
      </x:c>
      <x:c r="G154" t="n">
        <x:v>0</x:v>
      </x:c>
      <x:c r="H154" t="n">
        <x:v>2.15</x:v>
      </x:c>
      <x:c r="I154" t="n">
        <x:v>1.3</x:v>
      </x:c>
      <x:c r="J154" t="n">
        <x:v>10216.5</x:v>
      </x:c>
      <x:c r="K154" t="n">
        <x:v>99932.76</x:v>
      </x:c>
      <x:c r="L154" t="n">
        <x:v>6103.4</x:v>
      </x:c>
      <x:c r="M154" t="n">
        <x:f>SUM(E154,J154:L154)</x:f>
        <x:v>1121504.69</x:v>
      </x:c>
      <x:c r="N154" t="n">
        <x:v>550</x:v>
      </x:c>
      <x:c r="O154" t="n">
        <x:f>D154*N154</x:f>
        <x:v>1617550</x:v>
      </x:c>
      <x:c r="P154" s="22" t="n">
        <x:f>IF(O154=0,0,(M154-O154)/O154)</x:f>
        <x:v>-0.3066645915118544</x:v>
      </x:c>
      <x:c r="Q154" s="20" t="n">
        <x:v>45350</x:v>
      </x:c>
    </x:row>
    <x:row r="155" ht="20" customHeight="1">
      <x:c r="A155" t="str">
        <x:v>WO00159</x:v>
      </x:c>
      <x:c r="B155" t="str">
        <x:v>LOT00159</x:v>
      </x:c>
      <x:c r="C155" t="str">
        <x:v>MECH-CON-B</x:v>
      </x:c>
      <x:c r="D155" t="n">
        <x:v>15</x:v>
      </x:c>
      <x:c r="E155" t="n">
        <x:v>1139012.03</x:v>
      </x:c>
      <x:c r="F155" t="n">
        <x:v>1061.35</x:v>
      </x:c>
      <x:c r="G155" t="n">
        <x:v>3614.17</x:v>
      </x:c>
      <x:c r="H155" t="n">
        <x:v>2645.6</x:v>
      </x:c>
      <x:c r="I155" t="n">
        <x:v>2.94</x:v>
      </x:c>
      <x:c r="J155" t="n">
        <x:v>3839133.9</x:v>
      </x:c>
      <x:c r="K155" t="n">
        <x:v>107816.7</x:v>
      </x:c>
      <x:c r="L155" t="n">
        <x:v>1550325</x:v>
      </x:c>
      <x:c r="M155" t="n">
        <x:f>SUM(E155,J155:L155)</x:f>
        <x:v>6636287.63</x:v>
      </x:c>
      <x:c r="N155" t="n">
        <x:v>119000</x:v>
      </x:c>
      <x:c r="O155" t="n">
        <x:f>D155*N155</x:f>
        <x:v>1785000</x:v>
      </x:c>
      <x:c r="P155" s="22" t="n">
        <x:f>IF(O155=0,0,(M155-O155)/O155)</x:f>
        <x:v>2.7178081960784315</x:v>
      </x:c>
      <x:c r="Q155" s="20" t="n">
        <x:v>45381</x:v>
      </x:c>
    </x:row>
    <x:row r="156" ht="20" customHeight="1">
      <x:c r="A156" t="str">
        <x:v>WO00153</x:v>
      </x:c>
      <x:c r="B156" t="str">
        <x:v>LOT00153</x:v>
      </x:c>
      <x:c r="C156" t="str">
        <x:v>PM-SUS-A</x:v>
      </x:c>
      <x:c r="D156" t="n">
        <x:v>596</x:v>
      </x:c>
      <x:c r="E156" t="n">
        <x:v>2522464.49</x:v>
      </x:c>
      <x:c r="F156" t="n">
        <x:v>5.64</x:v>
      </x:c>
      <x:c r="G156" t="n">
        <x:v>0</x:v>
      </x:c>
      <x:c r="H156" t="n">
        <x:v>1.11</x:v>
      </x:c>
      <x:c r="I156" t="n">
        <x:v>1.46</x:v>
      </x:c>
      <x:c r="J156" t="n">
        <x:v>4198.8</x:v>
      </x:c>
      <x:c r="K156" t="n">
        <x:v>287837.31</x:v>
      </x:c>
      <x:c r="L156" t="n">
        <x:v>2758.8</x:v>
      </x:c>
      <x:c r="M156" t="n">
        <x:f>SUM(E156,J156:L156)</x:f>
        <x:v>2817259.4000000004</x:v>
      </x:c>
      <x:c r="N156" t="n">
        <x:v>7500</x:v>
      </x:c>
      <x:c r="O156" t="n">
        <x:f>D156*N156</x:f>
        <x:v>4470000</x:v>
      </x:c>
      <x:c r="P156" s="22" t="n">
        <x:f>IF(O156=0,0,(M156-O156)/O156)</x:f>
        <x:v>-0.3697406263982102</x:v>
      </x:c>
      <x:c r="Q156" s="20" t="n">
        <x:v>45361</x:v>
      </x:c>
    </x:row>
    <x:row r="157" ht="20" customHeight="1">
      <x:c r="A157" t="str">
        <x:v>WO00154</x:v>
      </x:c>
      <x:c r="B157" t="str">
        <x:v>LOT00154</x:v>
      </x:c>
      <x:c r="C157" t="str">
        <x:v>PM-SUS-A</x:v>
      </x:c>
      <x:c r="D157" t="n">
        <x:v>589</x:v>
      </x:c>
      <x:c r="E157" t="n">
        <x:v>2589026.74</x:v>
      </x:c>
      <x:c r="F157" t="n">
        <x:v>5.13</x:v>
      </x:c>
      <x:c r="G157" t="n">
        <x:v>0</x:v>
      </x:c>
      <x:c r="H157" t="n">
        <x:v>1.17</x:v>
      </x:c>
      <x:c r="I157" t="n">
        <x:v>1.64</x:v>
      </x:c>
      <x:c r="J157" t="n">
        <x:v>3896.1</x:v>
      </x:c>
      <x:c r="K157" t="n">
        <x:v>279351.08</x:v>
      </x:c>
      <x:c r="L157" t="n">
        <x:v>2628.6</x:v>
      </x:c>
      <x:c r="M157" t="n">
        <x:f>SUM(E157,J157:L157)</x:f>
        <x:v>2874902.52</x:v>
      </x:c>
      <x:c r="N157" t="n">
        <x:v>7500</x:v>
      </x:c>
      <x:c r="O157" t="n">
        <x:f>D157*N157</x:f>
        <x:v>4417500</x:v>
      </x:c>
      <x:c r="P157" s="22" t="n">
        <x:f>IF(O157=0,0,(M157-O157)/O157)</x:f>
        <x:v>-0.34920146689303905</x:v>
      </x:c>
      <x:c r="Q157" s="20" t="n">
        <x:v>45363</x:v>
      </x:c>
    </x:row>
    <x:row r="158" ht="20" customHeight="1">
      <x:c r="A158" t="str">
        <x:v>WO00155</x:v>
      </x:c>
      <x:c r="B158" t="str">
        <x:v>LOT00155</x:v>
      </x:c>
      <x:c r="C158" t="str">
        <x:v>SEMI-WH-B</x:v>
      </x:c>
      <x:c r="D158" t="n">
        <x:v>59</x:v>
      </x:c>
      <x:c r="E158" t="n">
        <x:v>4506255.07</x:v>
      </x:c>
      <x:c r="F158" t="n">
        <x:v>1.59</x:v>
      </x:c>
      <x:c r="G158" t="n">
        <x:v>0</x:v>
      </x:c>
      <x:c r="H158" t="n">
        <x:v>0.59</x:v>
      </x:c>
      <x:c r="I158" t="n">
        <x:v>2.68</x:v>
      </x:c>
      <x:c r="J158" t="n">
        <x:v>1316.7</x:v>
      </x:c>
      <x:c r="K158" t="n">
        <x:v>588702.62</x:v>
      </x:c>
      <x:c r="L158" t="n">
        <x:v>1502.6</x:v>
      </x:c>
      <x:c r="M158" t="n">
        <x:f>SUM(E158,J158:L158)</x:f>
        <x:v>5097776.99</x:v>
      </x:c>
      <x:c r="N158" t="n">
        <x:v>130000</x:v>
      </x:c>
      <x:c r="O158" t="n">
        <x:f>D158*N158</x:f>
        <x:v>7670000</x:v>
      </x:c>
      <x:c r="P158" s="22" t="n">
        <x:f>IF(O158=0,0,(M158-O158)/O158)</x:f>
        <x:v>-0.3353615397653194</x:v>
      </x:c>
      <x:c r="Q158" s="20" t="n">
        <x:v>45399</x:v>
      </x:c>
    </x:row>
    <x:row r="159" ht="20" customHeight="1">
      <x:c r="A159" t="str">
        <x:v>WO00143</x:v>
      </x:c>
      <x:c r="B159" t="str">
        <x:v>LOT00143</x:v>
      </x:c>
      <x:c r="C159" t="str">
        <x:v>SEMI-WH-B</x:v>
      </x:c>
      <x:c r="D159" t="n">
        <x:v>77</x:v>
      </x:c>
      <x:c r="E159" t="n">
        <x:v>6095525.34</x:v>
      </x:c>
      <x:c r="F159" t="n">
        <x:v>2.06</x:v>
      </x:c>
      <x:c r="G159" t="n">
        <x:v>0</x:v>
      </x:c>
      <x:c r="H159" t="n">
        <x:v>0.69</x:v>
      </x:c>
      <x:c r="I159" t="n">
        <x:v>3</x:v>
      </x:c>
      <x:c r="J159" t="n">
        <x:v>1670.2</x:v>
      </x:c>
      <x:c r="K159" t="n">
        <x:v>885861.67</x:v>
      </x:c>
      <x:c r="L159" t="n">
        <x:v>1793.2</x:v>
      </x:c>
      <x:c r="M159" t="n">
        <x:f>SUM(E159,J159:L159)</x:f>
        <x:v>6984850.41</x:v>
      </x:c>
      <x:c r="N159" t="n">
        <x:v>130000</x:v>
      </x:c>
      <x:c r="O159" t="n">
        <x:f>D159*N159</x:f>
        <x:v>10010000</x:v>
      </x:c>
      <x:c r="P159" s="22" t="n">
        <x:f>IF(O159=0,0,(M159-O159)/O159)</x:f>
        <x:v>-0.3022127462537462</x:v>
      </x:c>
      <x:c r="Q159" s="20" t="n">
        <x:v>45404</x:v>
      </x:c>
    </x:row>
    <x:row r="160" ht="20" customHeight="1">
      <x:c r="A160" t="str">
        <x:v>WO00158</x:v>
      </x:c>
      <x:c r="B160" t="str">
        <x:v>LOT00158</x:v>
      </x:c>
      <x:c r="C160" t="str">
        <x:v>AUTO-KN-B</x:v>
      </x:c>
      <x:c r="D160" t="n">
        <x:v>4929</x:v>
      </x:c>
      <x:c r="E160" t="n">
        <x:v>8348175.1</x:v>
      </x:c>
      <x:c r="F160" t="n">
        <x:v>28.61</x:v>
      </x:c>
      <x:c r="G160" t="n">
        <x:v>0</x:v>
      </x:c>
      <x:c r="H160" t="n">
        <x:v>4.08</x:v>
      </x:c>
      <x:c r="I160" t="n">
        <x:v>1.18</x:v>
      </x:c>
      <x:c r="J160" t="n">
        <x:v>20554.9</x:v>
      </x:c>
      <x:c r="K160" t="n">
        <x:v>597518.07</x:v>
      </x:c>
      <x:c r="L160" t="n">
        <x:v>11878.6</x:v>
      </x:c>
      <x:c r="M160" t="n">
        <x:f>SUM(E160,J160:L160)</x:f>
        <x:v>8978126.67</x:v>
      </x:c>
      <x:c r="N160" t="n">
        <x:v>2590</x:v>
      </x:c>
      <x:c r="O160" t="n">
        <x:f>D160*N160</x:f>
        <x:v>12766110</x:v>
      </x:c>
      <x:c r="P160" s="22" t="n">
        <x:f>IF(O160=0,0,(M160-O160)/O160)</x:f>
        <x:v>-0.29672181502431044</x:v>
      </x:c>
      <x:c r="Q160" s="20" t="n">
        <x:v>45364</x:v>
      </x:c>
    </x:row>
    <x:row r="161" ht="20" customHeight="1">
      <x:c r="A161" t="str">
        <x:v>WO00142</x:v>
      </x:c>
      <x:c r="B161" t="str">
        <x:v>LOT00142</x:v>
      </x:c>
      <x:c r="C161" t="str">
        <x:v>SEMI-WH-B</x:v>
      </x:c>
      <x:c r="D161" t="n">
        <x:v>78</x:v>
      </x:c>
      <x:c r="E161" t="n">
        <x:v>6272215.11</x:v>
      </x:c>
      <x:c r="F161" t="n">
        <x:v>1.83</x:v>
      </x:c>
      <x:c r="G161" t="n">
        <x:v>0</x:v>
      </x:c>
      <x:c r="H161" t="n">
        <x:v>0.71</x:v>
      </x:c>
      <x:c r="I161" t="n">
        <x:v>2.75</x:v>
      </x:c>
      <x:c r="J161" t="n">
        <x:v>1530.3</x:v>
      </x:c>
      <x:c r="K161" t="n">
        <x:v>820810.82</x:v>
      </x:c>
      <x:c r="L161" t="n">
        <x:v>1634</x:v>
      </x:c>
      <x:c r="M161" t="n">
        <x:f>SUM(E161,J161:L161)</x:f>
        <x:v>7096190.23</x:v>
      </x:c>
      <x:c r="N161" t="n">
        <x:v>130000</x:v>
      </x:c>
      <x:c r="O161" t="n">
        <x:f>D161*N161</x:f>
        <x:v>10140000</x:v>
      </x:c>
      <x:c r="P161" s="22" t="n">
        <x:f>IF(O161=0,0,(M161-O161)/O161)</x:f>
        <x:v>-0.3001784783037475</x:v>
      </x:c>
      <x:c r="Q161" s="20" t="n">
        <x:v>45406</x:v>
      </x:c>
    </x:row>
    <x:row r="162" ht="20" customHeight="1">
      <x:c r="A162" t="str">
        <x:v>WO00148</x:v>
      </x:c>
      <x:c r="B162" t="str">
        <x:v>LOT00148</x:v>
      </x:c>
      <x:c r="C162" t="str">
        <x:v>AUTO-KN-B</x:v>
      </x:c>
      <x:c r="D162" t="n">
        <x:v>6435</x:v>
      </x:c>
      <x:c r="E162" t="n">
        <x:v>11308380.46</x:v>
      </x:c>
      <x:c r="F162" t="n">
        <x:v>33.67</x:v>
      </x:c>
      <x:c r="G162" t="n">
        <x:v>0</x:v>
      </x:c>
      <x:c r="H162" t="n">
        <x:v>4.86</x:v>
      </x:c>
      <x:c r="I162" t="n">
        <x:v>1.09</x:v>
      </x:c>
      <x:c r="J162" t="n">
        <x:v>24218.3</x:v>
      </x:c>
      <x:c r="K162" t="n">
        <x:v>915310.61</x:v>
      </x:c>
      <x:c r="L162" t="n">
        <x:v>13899.2</x:v>
      </x:c>
      <x:c r="M162" t="n">
        <x:f>SUM(E162,J162:L162)</x:f>
        <x:v>12261808.57</x:v>
      </x:c>
      <x:c r="N162" t="n">
        <x:v>2590</x:v>
      </x:c>
      <x:c r="O162" t="n">
        <x:f>D162*N162</x:f>
        <x:v>16666650</x:v>
      </x:c>
      <x:c r="P162" s="22" t="n">
        <x:f>IF(O162=0,0,(M162-O162)/O162)</x:f>
        <x:v>-0.2642907500907501</x:v>
      </x:c>
      <x:c r="Q162" s="20" t="n">
        <x:v>45367</x:v>
      </x:c>
    </x:row>
    <x:row r="163" ht="20" customHeight="1">
      <x:c r="A163" t="str">
        <x:v>WO00149</x:v>
      </x:c>
      <x:c r="B163" t="str">
        <x:v>LOT00149</x:v>
      </x:c>
      <x:c r="C163" t="str">
        <x:v>AUTO-KN-B</x:v>
      </x:c>
      <x:c r="D163" t="n">
        <x:v>6459</x:v>
      </x:c>
      <x:c r="E163" t="n">
        <x:v>11426950.21</x:v>
      </x:c>
      <x:c r="F163" t="n">
        <x:v>34.32</x:v>
      </x:c>
      <x:c r="G163" t="n">
        <x:v>0</x:v>
      </x:c>
      <x:c r="H163" t="n">
        <x:v>5.2</x:v>
      </x:c>
      <x:c r="I163" t="n">
        <x:v>1.34</x:v>
      </x:c>
      <x:c r="J163" t="n">
        <x:v>24804</x:v>
      </x:c>
      <x:c r="K163" t="n">
        <x:v>938989.27</x:v>
      </x:c>
      <x:c r="L163" t="n">
        <x:v>14275.6</x:v>
      </x:c>
      <x:c r="M163" t="n">
        <x:f>SUM(E163,J163:L163)</x:f>
        <x:v>12405019.08</x:v>
      </x:c>
      <x:c r="N163" t="n">
        <x:v>2590</x:v>
      </x:c>
      <x:c r="O163" t="n">
        <x:f>D163*N163</x:f>
        <x:v>16728810</x:v>
      </x:c>
      <x:c r="P163" s="22" t="n">
        <x:f>IF(O163=0,0,(M163-O163)/O163)</x:f>
        <x:v>-0.2584637472719219</x:v>
      </x:c>
      <x:c r="Q163" s="20" t="n">
        <x:v>45369</x:v>
      </x:c>
    </x:row>
    <x:row r="164" ht="20" customHeight="1">
      <x:c r="A164" t="str">
        <x:v>WO00150</x:v>
      </x:c>
      <x:c r="B164" t="str">
        <x:v>LOT00150</x:v>
      </x:c>
      <x:c r="C164" t="str">
        <x:v>SEMI-CHB-B</x:v>
      </x:c>
      <x:c r="D164" t="n">
        <x:v>59</x:v>
      </x:c>
      <x:c r="E164" t="n">
        <x:v>4332181.02</x:v>
      </x:c>
      <x:c r="F164" t="n">
        <x:v>1.56</x:v>
      </x:c>
      <x:c r="G164" t="n">
        <x:v>0</x:v>
      </x:c>
      <x:c r="H164" t="n">
        <x:v>0.57</x:v>
      </x:c>
      <x:c r="I164" t="n">
        <x:v>2.72</x:v>
      </x:c>
      <x:c r="J164" t="n">
        <x:v>1287.6</x:v>
      </x:c>
      <x:c r="K164" t="n">
        <x:v>483220.55</x:v>
      </x:c>
      <x:c r="L164" t="n">
        <x:v>1500</x:v>
      </x:c>
      <x:c r="M164" t="n">
        <x:f>SUM(E164,J164:L164)</x:f>
        <x:v>4818189.17</x:v>
      </x:c>
      <x:c r="N164" t="n">
        <x:v>111000</x:v>
      </x:c>
      <x:c r="O164" t="n">
        <x:f>D164*N164</x:f>
        <x:v>6549000</x:v>
      </x:c>
      <x:c r="P164" s="22" t="n">
        <x:f>IF(O164=0,0,(M164-O164)/O164)</x:f>
        <x:v>-0.2642862772942434</x:v>
      </x:c>
      <x:c r="Q164" s="20" t="n">
        <x:v>45414</x:v>
      </x:c>
    </x:row>
    <x:row r="165" ht="20" customHeight="1">
      <x:c r="A165" t="str">
        <x:v>WO00161</x:v>
      </x:c>
      <x:c r="B165" t="str">
        <x:v>LOT00161</x:v>
      </x:c>
      <x:c r="C165" t="str">
        <x:v>AUTO-BRK-A</x:v>
      </x:c>
      <x:c r="D165" t="n">
        <x:v>4942</x:v>
      </x:c>
      <x:c r="E165" t="n">
        <x:v>4753326.87</x:v>
      </x:c>
      <x:c r="F165" t="n">
        <x:v>26.73</x:v>
      </x:c>
      <x:c r="G165" t="n">
        <x:v>0</x:v>
      </x:c>
      <x:c r="H165" t="n">
        <x:v>3.62</x:v>
      </x:c>
      <x:c r="I165" t="n">
        <x:v>1.27</x:v>
      </x:c>
      <x:c r="J165" t="n">
        <x:v>19112.1</x:v>
      </x:c>
      <x:c r="K165" t="n">
        <x:v>372062.02</x:v>
      </x:c>
      <x:c r="L165" t="n">
        <x:v>11117.6</x:v>
      </x:c>
      <x:c r="M165" t="n">
        <x:f>SUM(E165,J165:L165)</x:f>
        <x:v>5155618.59</x:v>
      </x:c>
      <x:c r="N165" t="n">
        <x:v>1380</x:v>
      </x:c>
      <x:c r="O165" t="n">
        <x:f>D165*N165</x:f>
        <x:v>6819960</x:v>
      </x:c>
      <x:c r="P165" s="22" t="n">
        <x:f>IF(O165=0,0,(M165-O165)/O165)</x:f>
        <x:v>-0.24403976123027116</x:v>
      </x:c>
      <x:c r="Q165" s="20" t="n">
        <x:v>45367</x:v>
      </x:c>
    </x:row>
    <x:row r="166" ht="20" customHeight="1">
      <x:c r="A166" t="str">
        <x:v>WO00175</x:v>
      </x:c>
      <x:c r="B166" t="str">
        <x:v>LOT00175</x:v>
      </x:c>
      <x:c r="C166" t="str">
        <x:v>PM-ALB-A</x:v>
      </x:c>
      <x:c r="D166" t="n">
        <x:v>791</x:v>
      </x:c>
      <x:c r="E166" t="n">
        <x:v>4089019.33</x:v>
      </x:c>
      <x:c r="F166" t="n">
        <x:v>6.56</x:v>
      </x:c>
      <x:c r="G166" t="n">
        <x:v>0</x:v>
      </x:c>
      <x:c r="H166" t="n">
        <x:v>1.65</x:v>
      </x:c>
      <x:c r="I166" t="n">
        <x:v>1.52</x:v>
      </x:c>
      <x:c r="J166" t="n">
        <x:v>5056</x:v>
      </x:c>
      <x:c r="K166" t="n">
        <x:v>239999.92</x:v>
      </x:c>
      <x:c r="L166" t="n">
        <x:v>3212.8</x:v>
      </x:c>
      <x:c r="M166" t="n">
        <x:f>SUM(E166,J166:L166)</x:f>
        <x:v>4337288.05</x:v>
      </x:c>
      <x:c r="N166" t="n">
        <x:v>8100</x:v>
      </x:c>
      <x:c r="O166" t="n">
        <x:f>D166*N166</x:f>
        <x:v>6407100</x:v>
      </x:c>
      <x:c r="P166" s="22" t="n">
        <x:f>IF(O166=0,0,(M166-O166)/O166)</x:f>
        <x:v>-0.32304973388896696</x:v>
      </x:c>
      <x:c r="Q166" s="20" t="n">
        <x:v>45381</x:v>
      </x:c>
    </x:row>
    <x:row r="167" ht="20" customHeight="1">
      <x:c r="A167" t="str">
        <x:v>WO00192</x:v>
      </x:c>
      <x:c r="B167" t="str">
        <x:v>LOT00192</x:v>
      </x:c>
      <x:c r="C167" t="str">
        <x:v>AUTO-BS-A</x:v>
      </x:c>
      <x:c r="D167" t="n">
        <x:v>5000</x:v>
      </x:c>
      <x:c r="E167" t="n">
        <x:v>1546113.54</x:v>
      </x:c>
      <x:c r="F167" t="n">
        <x:v>24.98</x:v>
      </x:c>
      <x:c r="G167" t="n">
        <x:v>0</x:v>
      </x:c>
      <x:c r="H167" t="n">
        <x:v>3.63</x:v>
      </x:c>
      <x:c r="I167" t="n">
        <x:v>1.24</x:v>
      </x:c>
      <x:c r="J167" t="n">
        <x:v>17979.4</x:v>
      </x:c>
      <x:c r="K167" t="n">
        <x:v>162282.98</x:v>
      </x:c>
      <x:c r="L167" t="n">
        <x:v>10445.2</x:v>
      </x:c>
      <x:c r="M167" t="n">
        <x:f>SUM(E167,J167:L167)</x:f>
        <x:v>1736821.12</x:v>
      </x:c>
      <x:c r="N167" t="n">
        <x:v>550</x:v>
      </x:c>
      <x:c r="O167" t="n">
        <x:f>D167*N167</x:f>
        <x:v>2750000</x:v>
      </x:c>
      <x:c r="P167" s="22" t="n">
        <x:f>IF(O167=0,0,(M167-O167)/O167)</x:f>
        <x:v>-0.3684286836363636</x:v>
      </x:c>
      <x:c r="Q167" s="20" t="n">
        <x:v>45376</x:v>
      </x:c>
    </x:row>
    <x:row r="168" ht="20" customHeight="1">
      <x:c r="A168" t="str">
        <x:v>WO00174</x:v>
      </x:c>
      <x:c r="B168" t="str">
        <x:v>LOT00174</x:v>
      </x:c>
      <x:c r="C168" t="str">
        <x:v>PM-ALB-A</x:v>
      </x:c>
      <x:c r="D168" t="n">
        <x:v>793</x:v>
      </x:c>
      <x:c r="E168" t="n">
        <x:v>4001869.25</x:v>
      </x:c>
      <x:c r="F168" t="n">
        <x:v>7.15</x:v>
      </x:c>
      <x:c r="G168" t="n">
        <x:v>0</x:v>
      </x:c>
      <x:c r="H168" t="n">
        <x:v>1.68</x:v>
      </x:c>
      <x:c r="I168" t="n">
        <x:v>1.59</x:v>
      </x:c>
      <x:c r="J168" t="n">
        <x:v>5453.9</x:v>
      </x:c>
      <x:c r="K168" t="n">
        <x:v>216609.57</x:v>
      </x:c>
      <x:c r="L168" t="n">
        <x:v>3462.8</x:v>
      </x:c>
      <x:c r="M168" t="n">
        <x:f>SUM(E168,J168:L168)</x:f>
        <x:v>4227395.52</x:v>
      </x:c>
      <x:c r="N168" t="n">
        <x:v>8100</x:v>
      </x:c>
      <x:c r="O168" t="n">
        <x:f>D168*N168</x:f>
        <x:v>6423300</x:v>
      </x:c>
      <x:c r="P168" s="22" t="n">
        <x:f>IF(O168=0,0,(M168-O168)/O168)</x:f>
        <x:v>-0.34186547101956943</x:v>
      </x:c>
      <x:c r="Q168" s="20" t="n">
        <x:v>45385</x:v>
      </x:c>
    </x:row>
    <x:row r="169" ht="20" customHeight="1">
      <x:c r="A169" t="str">
        <x:v>WO00188</x:v>
      </x:c>
      <x:c r="B169" t="str">
        <x:v>LOT00188</x:v>
      </x:c>
      <x:c r="C169" t="str">
        <x:v>PM-SUS-B</x:v>
      </x:c>
      <x:c r="D169" t="n">
        <x:v>585</x:v>
      </x:c>
      <x:c r="E169" t="n">
        <x:v>3981494.84</x:v>
      </x:c>
      <x:c r="F169" t="n">
        <x:v>5.4</x:v>
      </x:c>
      <x:c r="G169" t="n">
        <x:v>0</x:v>
      </x:c>
      <x:c r="H169" t="n">
        <x:v>1.2</x:v>
      </x:c>
      <x:c r="I169" t="n">
        <x:v>1.74</x:v>
      </x:c>
      <x:c r="J169" t="n">
        <x:v>4086</x:v>
      </x:c>
      <x:c r="K169" t="n">
        <x:v>402933.14</x:v>
      </x:c>
      <x:c r="L169" t="n">
        <x:v>2766</x:v>
      </x:c>
      <x:c r="M169" t="n">
        <x:f>SUM(E169,J169:L169)</x:f>
        <x:v>4391279.9799999995</x:v>
      </x:c>
      <x:c r="N169" t="n">
        <x:v>11100</x:v>
      </x:c>
      <x:c r="O169" t="n">
        <x:f>D169*N169</x:f>
        <x:v>6493500</x:v>
      </x:c>
      <x:c r="P169" s="22" t="n">
        <x:f>IF(O169=0,0,(M169-O169)/O169)</x:f>
        <x:v>-0.3237422068222069</x:v>
      </x:c>
      <x:c r="Q169" s="20" t="n">
        <x:v>45398</x:v>
      </x:c>
    </x:row>
    <x:row r="170" ht="20" customHeight="1">
      <x:c r="A170" t="str">
        <x:v>WO00189</x:v>
      </x:c>
      <x:c r="B170" t="str">
        <x:v>LOT00189</x:v>
      </x:c>
      <x:c r="C170" t="str">
        <x:v>PM-SUS-B</x:v>
      </x:c>
      <x:c r="D170" t="n">
        <x:v>588</x:v>
      </x:c>
      <x:c r="E170" t="n">
        <x:v>4028430.82</x:v>
      </x:c>
      <x:c r="F170" t="n">
        <x:v>5.58</x:v>
      </x:c>
      <x:c r="G170" t="n">
        <x:v>0</x:v>
      </x:c>
      <x:c r="H170" t="n">
        <x:v>1.11</x:v>
      </x:c>
      <x:c r="I170" t="n">
        <x:v>1.95</x:v>
      </x:c>
      <x:c r="J170" t="n">
        <x:v>4159.8</x:v>
      </x:c>
      <x:c r="K170" t="n">
        <x:v>415171.77</x:v>
      </x:c>
      <x:c r="L170" t="n">
        <x:v>2883</x:v>
      </x:c>
      <x:c r="M170" t="n">
        <x:f>SUM(E170,J170:L170)</x:f>
        <x:v>4450645.39</x:v>
      </x:c>
      <x:c r="N170" t="n">
        <x:v>11100</x:v>
      </x:c>
      <x:c r="O170" t="n">
        <x:f>D170*N170</x:f>
        <x:v>6526800</x:v>
      </x:c>
      <x:c r="P170" s="22" t="n">
        <x:f>IF(O170=0,0,(M170-O170)/O170)</x:f>
        <x:v>-0.31809686370043516</x:v>
      </x:c>
      <x:c r="Q170" s="20" t="n">
        <x:v>45392</x:v>
      </x:c>
    </x:row>
    <x:row r="171" ht="20" customHeight="1">
      <x:c r="A171" t="str">
        <x:v>WO00177</x:v>
      </x:c>
      <x:c r="B171" t="str">
        <x:v>LOT00177</x:v>
      </x:c>
      <x:c r="C171" t="str">
        <x:v>AUTO-BS-A</x:v>
      </x:c>
      <x:c r="D171" t="n">
        <x:v>4957</x:v>
      </x:c>
      <x:c r="E171" t="n">
        <x:v>1647370.45</x:v>
      </x:c>
      <x:c r="F171" t="n">
        <x:v>23.69</x:v>
      </x:c>
      <x:c r="G171" t="n">
        <x:v>0</x:v>
      </x:c>
      <x:c r="H171" t="n">
        <x:v>3.66</x:v>
      </x:c>
      <x:c r="I171" t="n">
        <x:v>1.21</x:v>
      </x:c>
      <x:c r="J171" t="n">
        <x:v>17155.3</x:v>
      </x:c>
      <x:c r="K171" t="n">
        <x:v>158621.89</x:v>
      </x:c>
      <x:c r="L171" t="n">
        <x:v>9950.8</x:v>
      </x:c>
      <x:c r="M171" t="n">
        <x:f>SUM(E171,J171:L171)</x:f>
        <x:v>1833098.44</x:v>
      </x:c>
      <x:c r="N171" t="n">
        <x:v>550</x:v>
      </x:c>
      <x:c r="O171" t="n">
        <x:f>D171*N171</x:f>
        <x:v>2726350</x:v>
      </x:c>
      <x:c r="P171" s="22" t="n">
        <x:f>IF(O171=0,0,(M171-O171)/O171)</x:f>
        <x:v>-0.3276364223228859</x:v>
      </x:c>
      <x:c r="Q171" s="20" t="n">
        <x:v>45383</x:v>
      </x:c>
    </x:row>
    <x:row r="172" ht="20" customHeight="1">
      <x:c r="A172" t="str">
        <x:v>WO00176</x:v>
      </x:c>
      <x:c r="B172" t="str">
        <x:v>LOT00176</x:v>
      </x:c>
      <x:c r="C172" t="str">
        <x:v>AUTO-BS-A</x:v>
      </x:c>
      <x:c r="D172" t="n">
        <x:v>4930</x:v>
      </x:c>
      <x:c r="E172" t="n">
        <x:v>1628449.42</x:v>
      </x:c>
      <x:c r="F172" t="n">
        <x:v>25.94</x:v>
      </x:c>
      <x:c r="G172" t="n">
        <x:v>0</x:v>
      </x:c>
      <x:c r="H172" t="n">
        <x:v>3.69</x:v>
      </x:c>
      <x:c r="I172" t="n">
        <x:v>1.06</x:v>
      </x:c>
      <x:c r="J172" t="n">
        <x:v>18632.2</x:v>
      </x:c>
      <x:c r="K172" t="n">
        <x:v>165653.56</x:v>
      </x:c>
      <x:c r="L172" t="n">
        <x:v>10765.6</x:v>
      </x:c>
      <x:c r="M172" t="n">
        <x:f>SUM(E172,J172:L172)</x:f>
        <x:v>1823500.78</x:v>
      </x:c>
      <x:c r="N172" t="n">
        <x:v>550</x:v>
      </x:c>
      <x:c r="O172" t="n">
        <x:f>D172*N172</x:f>
        <x:v>2711500</x:v>
      </x:c>
      <x:c r="P172" s="22" t="n">
        <x:f>IF(O172=0,0,(M172-O172)/O172)</x:f>
        <x:v>-0.32749371934353677</x:v>
      </x:c>
      <x:c r="Q172" s="20" t="n">
        <x:v>45383</x:v>
      </x:c>
    </x:row>
    <x:row r="173" ht="20" customHeight="1">
      <x:c r="A173" t="str">
        <x:v>WO00173</x:v>
      </x:c>
      <x:c r="B173" t="str">
        <x:v>LOT00173</x:v>
      </x:c>
      <x:c r="C173" t="str">
        <x:v>AUTO-KN-B</x:v>
      </x:c>
      <x:c r="D173" t="n">
        <x:v>4957</x:v>
      </x:c>
      <x:c r="E173" t="n">
        <x:v>9166952.69</x:v>
      </x:c>
      <x:c r="F173" t="n">
        <x:v>28.6</x:v>
      </x:c>
      <x:c r="G173" t="n">
        <x:v>0</x:v>
      </x:c>
      <x:c r="H173" t="n">
        <x:v>3.84</x:v>
      </x:c>
      <x:c r="I173" t="n">
        <x:v>1.28</x:v>
      </x:c>
      <x:c r="J173" t="n">
        <x:v>20433.2</x:v>
      </x:c>
      <x:c r="K173" t="n">
        <x:v>629070.99</x:v>
      </x:c>
      <x:c r="L173" t="n">
        <x:v>11866.4</x:v>
      </x:c>
      <x:c r="M173" t="n">
        <x:f>SUM(E173,J173:L173)</x:f>
        <x:v>9828323.28</x:v>
      </x:c>
      <x:c r="N173" t="n">
        <x:v>2590</x:v>
      </x:c>
      <x:c r="O173" t="n">
        <x:f>D173*N173</x:f>
        <x:v>12838630</x:v>
      </x:c>
      <x:c r="P173" s="22" t="n">
        <x:f>IF(O173=0,0,(M173-O173)/O173)</x:f>
        <x:v>-0.23447258157607165</x:v>
      </x:c>
      <x:c r="Q173" s="20" t="n">
        <x:v>45396</x:v>
      </x:c>
    </x:row>
    <x:row r="174" ht="20" customHeight="1">
      <x:c r="A174" t="str">
        <x:v>WO00178</x:v>
      </x:c>
      <x:c r="B174" t="str">
        <x:v>LOT00178</x:v>
      </x:c>
      <x:c r="C174" t="str">
        <x:v>SEMI-CHB-A</x:v>
      </x:c>
      <x:c r="D174" t="n">
        <x:v>79</x:v>
      </x:c>
      <x:c r="E174" t="n">
        <x:v>3292678</x:v>
      </x:c>
      <x:c r="F174" t="n">
        <x:v>1.96</x:v>
      </x:c>
      <x:c r="G174" t="n">
        <x:v>0</x:v>
      </x:c>
      <x:c r="H174" t="n">
        <x:v>0.75</x:v>
      </x:c>
      <x:c r="I174" t="n">
        <x:v>2.6</x:v>
      </x:c>
      <x:c r="J174" t="n">
        <x:v>1634</x:v>
      </x:c>
      <x:c r="K174" t="n">
        <x:v>393320.77</x:v>
      </x:c>
      <x:c r="L174" t="n">
        <x:v>1644.8</x:v>
      </x:c>
      <x:c r="M174" t="n">
        <x:f>SUM(E174,J174:L174)</x:f>
        <x:v>3689277.57</x:v>
      </x:c>
      <x:c r="N174" t="n">
        <x:v>70000</x:v>
      </x:c>
      <x:c r="O174" t="n">
        <x:f>D174*N174</x:f>
        <x:v>5530000</x:v>
      </x:c>
      <x:c r="P174" s="22" t="n">
        <x:f>IF(O174=0,0,(M174-O174)/O174)</x:f>
        <x:v>-0.3328611989150091</x:v>
      </x:c>
      <x:c r="Q174" s="20" t="n">
        <x:v>45423</x:v>
      </x:c>
    </x:row>
    <x:row r="175" ht="20" customHeight="1">
      <x:c r="A175" t="str">
        <x:v>WO00187</x:v>
      </x:c>
      <x:c r="B175" t="str">
        <x:v>LOT00187</x:v>
      </x:c>
      <x:c r="C175" t="str">
        <x:v>AUTO-LG-B</x:v>
      </x:c>
      <x:c r="D175" t="n">
        <x:v>2951</x:v>
      </x:c>
      <x:c r="E175" t="n">
        <x:v>1737136.66</x:v>
      </x:c>
      <x:c r="F175" t="n">
        <x:v>14.65</x:v>
      </x:c>
      <x:c r="G175" t="n">
        <x:v>0</x:v>
      </x:c>
      <x:c r="H175" t="n">
        <x:v>2.19</x:v>
      </x:c>
      <x:c r="I175" t="n">
        <x:v>1.29</x:v>
      </x:c>
      <x:c r="J175" t="n">
        <x:v>10573.7</x:v>
      </x:c>
      <x:c r="K175" t="n">
        <x:v>145381.67</x:v>
      </x:c>
      <x:c r="L175" t="n">
        <x:v>6304.4</x:v>
      </x:c>
      <x:c r="M175" t="n">
        <x:f>SUM(E175,J175:L175)</x:f>
        <x:v>1899396.43</x:v>
      </x:c>
      <x:c r="N175" t="n">
        <x:v>925</x:v>
      </x:c>
      <x:c r="O175" t="n">
        <x:f>D175*N175</x:f>
        <x:v>2729675</x:v>
      </x:c>
      <x:c r="P175" s="22" t="n">
        <x:f>IF(O175=0,0,(M175-O175)/O175)</x:f>
        <x:v>-0.3041675547455283</x:v>
      </x:c>
      <x:c r="Q175" s="20" t="n">
        <x:v>45389</x:v>
      </x:c>
    </x:row>
    <x:row r="176" ht="20" customHeight="1">
      <x:c r="A176" t="str">
        <x:v>WO00179</x:v>
      </x:c>
      <x:c r="B176" t="str">
        <x:v>LOT00179</x:v>
      </x:c>
      <x:c r="C176" t="str">
        <x:v>AUTO-BRK-A</x:v>
      </x:c>
      <x:c r="D176" t="n">
        <x:v>4915</x:v>
      </x:c>
      <x:c r="E176" t="n">
        <x:v>4460649.78</x:v>
      </x:c>
      <x:c r="F176" t="n">
        <x:v>27.67</x:v>
      </x:c>
      <x:c r="G176" t="n">
        <x:v>0</x:v>
      </x:c>
      <x:c r="H176" t="n">
        <x:v>3.94</x:v>
      </x:c>
      <x:c r="I176" t="n">
        <x:v>1.1</x:v>
      </x:c>
      <x:c r="J176" t="n">
        <x:v>19876.7</x:v>
      </x:c>
      <x:c r="K176" t="n">
        <x:v>379602.49</x:v>
      </x:c>
      <x:c r="L176" t="n">
        <x:v>11475</x:v>
      </x:c>
      <x:c r="M176" t="n">
        <x:f>SUM(E176,J176:L176)</x:f>
        <x:v>4871603.970000001</x:v>
      </x:c>
      <x:c r="N176" t="n">
        <x:v>1380</x:v>
      </x:c>
      <x:c r="O176" t="n">
        <x:f>D176*N176</x:f>
        <x:v>6782700</x:v>
      </x:c>
      <x:c r="P176" s="22" t="n">
        <x:f>IF(O176=0,0,(M176-O176)/O176)</x:f>
        <x:v>-0.2817603653412357</x:v>
      </x:c>
      <x:c r="Q176" s="20" t="n">
        <x:v>45394</x:v>
      </x:c>
    </x:row>
    <x:row r="177" ht="20" customHeight="1">
      <x:c r="A177" t="str">
        <x:v>WO00190</x:v>
      </x:c>
      <x:c r="B177" t="str">
        <x:v>LOT00190</x:v>
      </x:c>
      <x:c r="C177" t="str">
        <x:v>AUTO-LG-B</x:v>
      </x:c>
      <x:c r="D177" t="n">
        <x:v>6854</x:v>
      </x:c>
      <x:c r="E177" t="n">
        <x:v>4151877.67</x:v>
      </x:c>
      <x:c r="F177" t="n">
        <x:v>32.8</x:v>
      </x:c>
      <x:c r="G177" t="n">
        <x:v>0</x:v>
      </x:c>
      <x:c r="H177" t="n">
        <x:v>5.57</x:v>
      </x:c>
      <x:c r="I177" t="n">
        <x:v>1.09</x:v>
      </x:c>
      <x:c r="J177" t="n">
        <x:v>23993.6</x:v>
      </x:c>
      <x:c r="K177" t="n">
        <x:v>337705.15</x:v>
      </x:c>
      <x:c r="L177" t="n">
        <x:v>13682.2</x:v>
      </x:c>
      <x:c r="M177" t="n">
        <x:f>SUM(E177,J177:L177)</x:f>
        <x:v>4527258.62</x:v>
      </x:c>
      <x:c r="N177" t="n">
        <x:v>925</x:v>
      </x:c>
      <x:c r="O177" t="n">
        <x:f>D177*N177</x:f>
        <x:v>6339950</x:v>
      </x:c>
      <x:c r="P177" s="22" t="n">
        <x:f>IF(O177=0,0,(M177-O177)/O177)</x:f>
        <x:v>-0.2859157217328212</x:v>
      </x:c>
      <x:c r="Q177" s="20" t="n">
        <x:v>45392</x:v>
      </x:c>
    </x:row>
    <x:row r="178" ht="20" customHeight="1">
      <x:c r="A178" t="str">
        <x:v>WO00183</x:v>
      </x:c>
      <x:c r="B178" t="str">
        <x:v>LOT00183</x:v>
      </x:c>
      <x:c r="C178" t="str">
        <x:v>AUTO-KN-A</x:v>
      </x:c>
      <x:c r="D178" t="n">
        <x:v>6409</x:v>
      </x:c>
      <x:c r="E178" t="n">
        <x:v>9154137.8</x:v>
      </x:c>
      <x:c r="F178" t="n">
        <x:v>32.18</x:v>
      </x:c>
      <x:c r="G178" t="n">
        <x:v>0</x:v>
      </x:c>
      <x:c r="H178" t="n">
        <x:v>5.2</x:v>
      </x:c>
      <x:c r="I178" t="n">
        <x:v>1.31</x:v>
      </x:c>
      <x:c r="J178" t="n">
        <x:v>23413</x:v>
      </x:c>
      <x:c r="K178" t="n">
        <x:v>768678.32</x:v>
      </x:c>
      <x:c r="L178" t="n">
        <x:v>13453.4</x:v>
      </x:c>
      <x:c r="M178" t="n">
        <x:f>SUM(E178,J178:L178)</x:f>
        <x:v>9959682.520000001</x:v>
      </x:c>
      <x:c r="N178" t="n">
        <x:v>2210</x:v>
      </x:c>
      <x:c r="O178" t="n">
        <x:f>D178*N178</x:f>
        <x:v>14163890</x:v>
      </x:c>
      <x:c r="P178" s="22" t="n">
        <x:f>IF(O178=0,0,(M178-O178)/O178)</x:f>
        <x:v>-0.2968257646734053</x:v>
      </x:c>
      <x:c r="Q178" s="20" t="n">
        <x:v>45398</x:v>
      </x:c>
    </x:row>
    <x:row r="179" ht="20" customHeight="1">
      <x:c r="A179" t="str">
        <x:v>WO00184</x:v>
      </x:c>
      <x:c r="B179" t="str">
        <x:v>LOT00184</x:v>
      </x:c>
      <x:c r="C179" t="str">
        <x:v>AUTO-KN-A</x:v>
      </x:c>
      <x:c r="D179" t="n">
        <x:v>6415</x:v>
      </x:c>
      <x:c r="E179" t="n">
        <x:v>9965678.9</x:v>
      </x:c>
      <x:c r="F179" t="n">
        <x:v>30.05</x:v>
      </x:c>
      <x:c r="G179" t="n">
        <x:v>0</x:v>
      </x:c>
      <x:c r="H179" t="n">
        <x:v>5.28</x:v>
      </x:c>
      <x:c r="I179" t="n">
        <x:v>1.21</x:v>
      </x:c>
      <x:c r="J179" t="n">
        <x:v>22066.9</x:v>
      </x:c>
      <x:c r="K179" t="n">
        <x:v>714039.52</x:v>
      </x:c>
      <x:c r="L179" t="n">
        <x:v>12626.8</x:v>
      </x:c>
      <x:c r="M179" t="n">
        <x:f>SUM(E179,J179:L179)</x:f>
        <x:v>10714412.120000001</x:v>
      </x:c>
      <x:c r="N179" t="n">
        <x:v>2210</x:v>
      </x:c>
      <x:c r="O179" t="n">
        <x:f>D179*N179</x:f>
        <x:v>14177150</x:v>
      </x:c>
      <x:c r="P179" s="22" t="n">
        <x:f>IF(O179=0,0,(M179-O179)/O179)</x:f>
        <x:v>-0.24424781285378225</x:v>
      </x:c>
      <x:c r="Q179" s="20" t="n">
        <x:v>45403</x:v>
      </x:c>
    </x:row>
    <x:row r="180" ht="20" customHeight="1">
      <x:c r="A180" t="str">
        <x:v>WO00168</x:v>
      </x:c>
      <x:c r="B180" t="str">
        <x:v>LOT00168</x:v>
      </x:c>
      <x:c r="C180" t="str">
        <x:v>AUTO-LG-A</x:v>
      </x:c>
      <x:c r="D180" t="n">
        <x:v>4908</x:v>
      </x:c>
      <x:c r="E180" t="n">
        <x:v>2503002.32</x:v>
      </x:c>
      <x:c r="F180" t="n">
        <x:v>25.78</x:v>
      </x:c>
      <x:c r="G180" t="n">
        <x:v>0</x:v>
      </x:c>
      <x:c r="H180" t="n">
        <x:v>3.87</x:v>
      </x:c>
      <x:c r="I180" t="n">
        <x:v>1.21</x:v>
      </x:c>
      <x:c r="J180" t="n">
        <x:v>18614.6</x:v>
      </x:c>
      <x:c r="K180" t="n">
        <x:v>196913.32</x:v>
      </x:c>
      <x:c r="L180" t="n">
        <x:v>10778.6</x:v>
      </x:c>
      <x:c r="M180" t="n">
        <x:f>SUM(E180,J180:L180)</x:f>
        <x:v>2729308.84</x:v>
      </x:c>
      <x:c r="N180" t="n">
        <x:v>840</x:v>
      </x:c>
      <x:c r="O180" t="n">
        <x:f>D180*N180</x:f>
        <x:v>4122720</x:v>
      </x:c>
      <x:c r="P180" s="22" t="n">
        <x:f>IF(O180=0,0,(M180-O180)/O180)</x:f>
        <x:v>-0.3379834575231886</x:v>
      </x:c>
      <x:c r="Q180" s="20" t="n">
        <x:v>45408</x:v>
      </x:c>
    </x:row>
    <x:row r="181" ht="20" customHeight="1">
      <x:c r="A181" t="str">
        <x:v>WO00182</x:v>
      </x:c>
      <x:c r="B181" t="str">
        <x:v>LOT00182</x:v>
      </x:c>
      <x:c r="C181" t="str">
        <x:v>AUTO-FL-B</x:v>
      </x:c>
      <x:c r="D181" t="n">
        <x:v>6861</x:v>
      </x:c>
      <x:c r="E181" t="n">
        <x:v>5544563.22</x:v>
      </x:c>
      <x:c r="F181" t="n">
        <x:v>34.02</x:v>
      </x:c>
      <x:c r="G181" t="n">
        <x:v>0</x:v>
      </x:c>
      <x:c r="H181" t="n">
        <x:v>5.35</x:v>
      </x:c>
      <x:c r="I181" t="n">
        <x:v>0.95</x:v>
      </x:c>
      <x:c r="J181" t="n">
        <x:v>24681</x:v>
      </x:c>
      <x:c r="K181" t="n">
        <x:v>459640.96</x:v>
      </x:c>
      <x:c r="L181" t="n">
        <x:v>14068.6</x:v>
      </x:c>
      <x:c r="M181" t="n">
        <x:f>SUM(E181,J181:L181)</x:f>
        <x:v>6042953.779999999</x:v>
      </x:c>
      <x:c r="N181" t="n">
        <x:v>1170</x:v>
      </x:c>
      <x:c r="O181" t="n">
        <x:f>D181*N181</x:f>
        <x:v>8027370</x:v>
      </x:c>
      <x:c r="P181" s="22" t="n">
        <x:f>IF(O181=0,0,(M181-O181)/O181)</x:f>
        <x:v>-0.24720627303836756</x:v>
      </x:c>
      <x:c r="Q181" s="20" t="n">
        <x:v>45395</x:v>
      </x:c>
    </x:row>
    <x:row r="182" ht="20" customHeight="1">
      <x:c r="A182" t="str">
        <x:v>WO00185</x:v>
      </x:c>
      <x:c r="B182" t="str">
        <x:v>LOT00185</x:v>
      </x:c>
      <x:c r="C182" t="str">
        <x:v>SEMI-CHB-A</x:v>
      </x:c>
      <x:c r="D182" t="n">
        <x:v>59</x:v>
      </x:c>
      <x:c r="E182" t="n">
        <x:v>2548618.91</x:v>
      </x:c>
      <x:c r="F182" t="n">
        <x:v>1.64</x:v>
      </x:c>
      <x:c r="G182" t="n">
        <x:v>0</x:v>
      </x:c>
      <x:c r="H182" t="n">
        <x:v>0.59</x:v>
      </x:c>
      <x:c r="I182" t="n">
        <x:v>2.73</x:v>
      </x:c>
      <x:c r="J182" t="n">
        <x:v>1349.2</x:v>
      </x:c>
      <x:c r="K182" t="n">
        <x:v>271895.89</x:v>
      </x:c>
      <x:c r="L182" t="n">
        <x:v>1536.6</x:v>
      </x:c>
      <x:c r="M182" t="n">
        <x:f>SUM(E182,J182:L182)</x:f>
        <x:v>2823400.6</x:v>
      </x:c>
      <x:c r="N182" t="n">
        <x:v>70000</x:v>
      </x:c>
      <x:c r="O182" t="n">
        <x:f>D182*N182</x:f>
        <x:v>4130000</x:v>
      </x:c>
      <x:c r="P182" s="22" t="n">
        <x:f>IF(O182=0,0,(M182-O182)/O182)</x:f>
        <x:v>-0.3163678934624697</x:v>
      </x:c>
      <x:c r="Q182" s="20" t="n">
        <x:v>45425</x:v>
      </x:c>
    </x:row>
    <x:row r="183" ht="20" customHeight="1">
      <x:c r="A183" t="str">
        <x:v>WO00169</x:v>
      </x:c>
      <x:c r="B183" t="str">
        <x:v>LOT00169</x:v>
      </x:c>
      <x:c r="C183" t="str">
        <x:v>AUTO-BRK-A</x:v>
      </x:c>
      <x:c r="D183" t="n">
        <x:v>4915</x:v>
      </x:c>
      <x:c r="E183" t="n">
        <x:v>4517988.19</x:v>
      </x:c>
      <x:c r="F183" t="n">
        <x:v>26.42</x:v>
      </x:c>
      <x:c r="G183" t="n">
        <x:v>0</x:v>
      </x:c>
      <x:c r="H183" t="n">
        <x:v>4.72</x:v>
      </x:c>
      <x:c r="I183" t="n">
        <x:v>1.05</x:v>
      </x:c>
      <x:c r="J183" t="n">
        <x:v>19438.6</x:v>
      </x:c>
      <x:c r="K183" t="n">
        <x:v>361670.26</x:v>
      </x:c>
      <x:c r="L183" t="n">
        <x:v>11109.8</x:v>
      </x:c>
      <x:c r="M183" t="n">
        <x:f>SUM(E183,J183:L183)</x:f>
        <x:v>4910206.850000001</x:v>
      </x:c>
      <x:c r="N183" t="n">
        <x:v>1380</x:v>
      </x:c>
      <x:c r="O183" t="n">
        <x:f>D183*N183</x:f>
        <x:v>6782700</x:v>
      </x:c>
      <x:c r="P183" s="22" t="n">
        <x:f>IF(O183=0,0,(M183-O183)/O183)</x:f>
        <x:v>-0.27606899169947063</x:v>
      </x:c>
      <x:c r="Q183" s="20" t="n">
        <x:v>45396</x:v>
      </x:c>
    </x:row>
    <x:row r="184" ht="20" customHeight="1">
      <x:c r="A184" t="str">
        <x:v>WO00186</x:v>
      </x:c>
      <x:c r="B184" t="str">
        <x:v>LOT00186</x:v>
      </x:c>
      <x:c r="C184" t="str">
        <x:v>SEMI-CHB-A</x:v>
      </x:c>
      <x:c r="D184" t="n">
        <x:v>59</x:v>
      </x:c>
      <x:c r="E184" t="n">
        <x:v>2487205.6</x:v>
      </x:c>
      <x:c r="F184" t="n">
        <x:v>1.46</x:v>
      </x:c>
      <x:c r="G184" t="n">
        <x:v>0</x:v>
      </x:c>
      <x:c r="H184" t="n">
        <x:v>0.52</x:v>
      </x:c>
      <x:c r="I184" t="n">
        <x:v>3.15</x:v>
      </x:c>
      <x:c r="J184" t="n">
        <x:v>1198.6</x:v>
      </x:c>
      <x:c r="K184" t="n">
        <x:v>328630.47</x:v>
      </x:c>
      <x:c r="L184" t="n">
        <x:v>1583</x:v>
      </x:c>
      <x:c r="M184" t="n">
        <x:f>SUM(E184,J184:L184)</x:f>
        <x:v>2818617.67</x:v>
      </x:c>
      <x:c r="N184" t="n">
        <x:v>70000</x:v>
      </x:c>
      <x:c r="O184" t="n">
        <x:f>D184*N184</x:f>
        <x:v>4130000</x:v>
      </x:c>
      <x:c r="P184" s="22" t="n">
        <x:f>IF(O184=0,0,(M184-O184)/O184)</x:f>
        <x:v>-0.3175259878934625</x:v>
      </x:c>
      <x:c r="Q184" s="20" t="n">
        <x:v>45426</x:v>
      </x:c>
    </x:row>
    <x:row r="185" ht="20" customHeight="1">
      <x:c r="A185" t="str">
        <x:v>WO00191</x:v>
      </x:c>
      <x:c r="B185" t="str">
        <x:v>LOT00191</x:v>
      </x:c>
      <x:c r="C185" t="str">
        <x:v>AUTO-FL-B</x:v>
      </x:c>
      <x:c r="D185" t="n">
        <x:v>2979</x:v>
      </x:c>
      <x:c r="E185" t="n">
        <x:v>2360324.57</x:v>
      </x:c>
      <x:c r="F185" t="n">
        <x:v>16.39</x:v>
      </x:c>
      <x:c r="G185" t="n">
        <x:v>0</x:v>
      </x:c>
      <x:c r="H185" t="n">
        <x:v>2.58</x:v>
      </x:c>
      <x:c r="I185" t="n">
        <x:v>1.06</x:v>
      </x:c>
      <x:c r="J185" t="n">
        <x:v>11891.9</x:v>
      </x:c>
      <x:c r="K185" t="n">
        <x:v>195757.82</x:v>
      </x:c>
      <x:c r="L185" t="n">
        <x:v>6959</x:v>
      </x:c>
      <x:c r="M185" t="n">
        <x:f>SUM(E185,J185:L185)</x:f>
        <x:v>2574933.29</x:v>
      </x:c>
      <x:c r="N185" t="n">
        <x:v>1170</x:v>
      </x:c>
      <x:c r="O185" t="n">
        <x:f>D185*N185</x:f>
        <x:v>3485430</x:v>
      </x:c>
      <x:c r="P185" s="22" t="n">
        <x:f>IF(O185=0,0,(M185-O185)/O185)</x:f>
        <x:v>-0.2612293777238389</x:v>
      </x:c>
      <x:c r="Q185" s="20" t="n">
        <x:v>45398</x:v>
      </x:c>
    </x:row>
    <x:row r="186" ht="20" customHeight="1">
      <x:c r="A186" t="str">
        <x:v>WO00167</x:v>
      </x:c>
      <x:c r="B186" t="str">
        <x:v>LOT00167</x:v>
      </x:c>
      <x:c r="C186" t="str">
        <x:v>PM-BRG-A</x:v>
      </x:c>
      <x:c r="D186" t="n">
        <x:v>789</x:v>
      </x:c>
      <x:c r="E186" t="n">
        <x:v>2047026.98</x:v>
      </x:c>
      <x:c r="F186" t="n">
        <x:v>7.21</x:v>
      </x:c>
      <x:c r="G186" t="n">
        <x:v>0</x:v>
      </x:c>
      <x:c r="H186" t="n">
        <x:v>1.55</x:v>
      </x:c>
      <x:c r="I186" t="n">
        <x:v>1.87</x:v>
      </x:c>
      <x:c r="J186" t="n">
        <x:v>5430.5</x:v>
      </x:c>
      <x:c r="K186" t="n">
        <x:v>165132.81</x:v>
      </x:c>
      <x:c r="L186" t="n">
        <x:v>3548.8</x:v>
      </x:c>
      <x:c r="M186" t="n">
        <x:f>SUM(E186,J186:L186)</x:f>
        <x:v>2221139.09</x:v>
      </x:c>
      <x:c r="N186" t="n">
        <x:v>4450</x:v>
      </x:c>
      <x:c r="O186" t="n">
        <x:f>D186*N186</x:f>
        <x:v>3511050</x:v>
      </x:c>
      <x:c r="P186" s="22" t="n">
        <x:f>IF(O186=0,0,(M186-O186)/O186)</x:f>
        <x:v>-0.3673860839350052</x:v>
      </x:c>
      <x:c r="Q186" s="20" t="n">
        <x:v>45401</x:v>
      </x:c>
    </x:row>
    <x:row r="187" ht="20" customHeight="1">
      <x:c r="A187" t="str">
        <x:v>WO00180</x:v>
      </x:c>
      <x:c r="B187" t="str">
        <x:v>LOT00180</x:v>
      </x:c>
      <x:c r="C187" t="str">
        <x:v>MECH-CON-B</x:v>
      </x:c>
      <x:c r="D187" t="n">
        <x:v>20</x:v>
      </x:c>
      <x:c r="E187" t="n">
        <x:v>1499543.91</x:v>
      </x:c>
      <x:c r="F187" t="n">
        <x:v>1767.99</x:v>
      </x:c>
      <x:c r="G187" t="n">
        <x:v>4770.08</x:v>
      </x:c>
      <x:c r="H187" t="n">
        <x:v>3700.11</x:v>
      </x:c>
      <x:c r="I187" t="n">
        <x:v>2.62</x:v>
      </x:c>
      <x:c r="J187" t="n">
        <x:v>5405687.9</x:v>
      </x:c>
      <x:c r="K187" t="n">
        <x:v>148358.33</x:v>
      </x:c>
      <x:c r="L187" t="n">
        <x:v>2218655.8</x:v>
      </x:c>
      <x:c r="M187" t="n">
        <x:f>SUM(E187,J187:L187)</x:f>
        <x:v>9272245.94</x:v>
      </x:c>
      <x:c r="N187" t="n">
        <x:v>119000</x:v>
      </x:c>
      <x:c r="O187" t="n">
        <x:f>D187*N187</x:f>
        <x:v>2380000</x:v>
      </x:c>
      <x:c r="P187" s="22" t="n">
        <x:f>IF(O187=0,0,(M187-O187)/O187)</x:f>
        <x:v>2.895901655462185</x:v>
      </x:c>
      <x:c r="Q187" s="20" t="n">
        <x:v>45430</x:v>
      </x:c>
    </x:row>
    <x:row r="188" ht="20" customHeight="1">
      <x:c r="A188" t="str">
        <x:v>WO00207</x:v>
      </x:c>
      <x:c r="B188" t="str">
        <x:v>LOT00207</x:v>
      </x:c>
      <x:c r="C188" t="str">
        <x:v>PM-ALB-B</x:v>
      </x:c>
      <x:c r="D188" t="n">
        <x:v>591</x:v>
      </x:c>
      <x:c r="E188" t="n">
        <x:v>4757794.23</x:v>
      </x:c>
      <x:c r="F188" t="n">
        <x:v>5.7</x:v>
      </x:c>
      <x:c r="G188" t="n">
        <x:v>0</x:v>
      </x:c>
      <x:c r="H188" t="n">
        <x:v>1.14</x:v>
      </x:c>
      <x:c r="I188" t="n">
        <x:v>1.65</x:v>
      </x:c>
      <x:c r="J188" t="n">
        <x:v>4252.2</x:v>
      </x:c>
      <x:c r="K188" t="n">
        <x:v>282966.84</x:v>
      </x:c>
      <x:c r="L188" t="n">
        <x:v>2843.4</x:v>
      </x:c>
      <x:c r="M188" t="n">
        <x:f>SUM(E188,J188:L188)</x:f>
        <x:v>5047856.670000001</x:v>
      </x:c>
      <x:c r="N188" t="n">
        <x:v>11750</x:v>
      </x:c>
      <x:c r="O188" t="n">
        <x:f>D188*N188</x:f>
        <x:v>6944250</x:v>
      </x:c>
      <x:c r="P188" s="22" t="n">
        <x:f>IF(O188=0,0,(M188-O188)/O188)</x:f>
        <x:v>-0.27308828599200763</x:v>
      </x:c>
      <x:c r="Q188" s="20" t="n">
        <x:v>45421</x:v>
      </x:c>
    </x:row>
    <x:row r="189" ht="20" customHeight="1">
      <x:c r="A189" t="str">
        <x:v>WO00181</x:v>
      </x:c>
      <x:c r="B189" t="str">
        <x:v>LOT00181</x:v>
      </x:c>
      <x:c r="C189" t="str">
        <x:v>MECH-CON-B</x:v>
      </x:c>
      <x:c r="D189" t="n">
        <x:v>19</x:v>
      </x:c>
      <x:c r="E189" t="n">
        <x:v>1524628.35</x:v>
      </x:c>
      <x:c r="F189" t="n">
        <x:v>1568.74</x:v>
      </x:c>
      <x:c r="G189" t="n">
        <x:v>5396.23</x:v>
      </x:c>
      <x:c r="H189" t="n">
        <x:v>3620.1</x:v>
      </x:c>
      <x:c r="I189" t="n">
        <x:v>2.55</x:v>
      </x:c>
      <x:c r="J189" t="n">
        <x:v>5563368.6</x:v>
      </x:c>
      <x:c r="K189" t="n">
        <x:v>138499.92</x:v>
      </x:c>
      <x:c r="L189" t="n">
        <x:v>2255348.2</x:v>
      </x:c>
      <x:c r="M189" t="n">
        <x:f>SUM(E189,J189:L189)</x:f>
        <x:v>9481845.07</x:v>
      </x:c>
      <x:c r="N189" t="n">
        <x:v>119000</x:v>
      </x:c>
      <x:c r="O189" t="n">
        <x:f>D189*N189</x:f>
        <x:v>2261000</x:v>
      </x:c>
      <x:c r="P189" s="22" t="n">
        <x:f>IF(O189=0,0,(M189-O189)/O189)</x:f>
        <x:v>3.193651070322866</x:v>
      </x:c>
      <x:c r="Q189" s="20" t="n">
        <x:v>45430</x:v>
      </x:c>
    </x:row>
    <x:row r="190" ht="20" customHeight="1">
      <x:c r="A190" t="str">
        <x:v>WO00208</x:v>
      </x:c>
      <x:c r="B190" t="str">
        <x:v>LOT00208</x:v>
      </x:c>
      <x:c r="C190" t="str">
        <x:v>PM-ALB-B</x:v>
      </x:c>
      <x:c r="D190" t="n">
        <x:v>581</x:v>
      </x:c>
      <x:c r="E190" t="n">
        <x:v>4680516.57</x:v>
      </x:c>
      <x:c r="F190" t="n">
        <x:v>5.15</x:v>
      </x:c>
      <x:c r="G190" t="n">
        <x:v>0</x:v>
      </x:c>
      <x:c r="H190" t="n">
        <x:v>1.01</x:v>
      </x:c>
      <x:c r="I190" t="n">
        <x:v>1.56</x:v>
      </x:c>
      <x:c r="J190" t="n">
        <x:v>3832.3</x:v>
      </x:c>
      <x:c r="K190" t="n">
        <x:v>247572.16</x:v>
      </x:c>
      <x:c r="L190" t="n">
        <x:v>2586.6</x:v>
      </x:c>
      <x:c r="M190" t="n">
        <x:f>SUM(E190,J190:L190)</x:f>
        <x:v>4934507.63</x:v>
      </x:c>
      <x:c r="N190" t="n">
        <x:v>11750</x:v>
      </x:c>
      <x:c r="O190" t="n">
        <x:f>D190*N190</x:f>
        <x:v>6826750</x:v>
      </x:c>
      <x:c r="P190" s="22" t="n">
        <x:f>IF(O190=0,0,(M190-O190)/O190)</x:f>
        <x:v>-0.2771805573662431</x:v>
      </x:c>
      <x:c r="Q190" s="20" t="n">
        <x:v>45418</x:v>
      </x:c>
    </x:row>
    <x:row r="191" ht="20" customHeight="1">
      <x:c r="A191" t="str">
        <x:v>WO00172</x:v>
      </x:c>
      <x:c r="B191" t="str">
        <x:v>LOT00172</x:v>
      </x:c>
      <x:c r="C191" t="str">
        <x:v>PM-SUS-B</x:v>
      </x:c>
      <x:c r="D191" t="n">
        <x:v>588</x:v>
      </x:c>
      <x:c r="E191" t="n">
        <x:v>4240101.99</x:v>
      </x:c>
      <x:c r="F191" t="n">
        <x:v>5.33</x:v>
      </x:c>
      <x:c r="G191" t="n">
        <x:v>0</x:v>
      </x:c>
      <x:c r="H191" t="n">
        <x:v>1.27</x:v>
      </x:c>
      <x:c r="I191" t="n">
        <x:v>1.66</x:v>
      </x:c>
      <x:c r="J191" t="n">
        <x:v>4074.1</x:v>
      </x:c>
      <x:c r="K191" t="n">
        <x:v>467432.45</x:v>
      </x:c>
      <x:c r="L191" t="n">
        <x:v>2726.6</x:v>
      </x:c>
      <x:c r="M191" t="n">
        <x:f>SUM(E191,J191:L191)</x:f>
        <x:v>4714335.140000001</x:v>
      </x:c>
      <x:c r="N191" t="n">
        <x:v>11100</x:v>
      </x:c>
      <x:c r="O191" t="n">
        <x:f>D191*N191</x:f>
        <x:v>6526800</x:v>
      </x:c>
      <x:c r="P191" s="22" t="n">
        <x:f>IF(O191=0,0,(M191-O191)/O191)</x:f>
        <x:v>-0.2776957866029294</x:v>
      </x:c>
      <x:c r="Q191" s="20" t="n">
        <x:v>45425</x:v>
      </x:c>
    </x:row>
    <x:row r="192" ht="20" customHeight="1">
      <x:c r="A192" t="str">
        <x:v>WO00165</x:v>
      </x:c>
      <x:c r="B192" t="str">
        <x:v>LOT00165</x:v>
      </x:c>
      <x:c r="C192" t="str">
        <x:v>PM-BRG-B</x:v>
      </x:c>
      <x:c r="D192" t="n">
        <x:v>583</x:v>
      </x:c>
      <x:c r="E192" t="n">
        <x:v>1943018.27</x:v>
      </x:c>
      <x:c r="F192" t="n">
        <x:v>5.11</x:v>
      </x:c>
      <x:c r="G192" t="n">
        <x:v>0</x:v>
      </x:c>
      <x:c r="H192" t="n">
        <x:v>0.98</x:v>
      </x:c>
      <x:c r="I192" t="n">
        <x:v>1.9</x:v>
      </x:c>
      <x:c r="J192" t="n">
        <x:v>3791.9</x:v>
      </x:c>
      <x:c r="K192" t="n">
        <x:v>150381.68</x:v>
      </x:c>
      <x:c r="L192" t="n">
        <x:v>2668.6</x:v>
      </x:c>
      <x:c r="M192" t="n">
        <x:f>SUM(E192,J192:L192)</x:f>
        <x:v>2099860.45</x:v>
      </x:c>
      <x:c r="N192" t="n">
        <x:v>5400</x:v>
      </x:c>
      <x:c r="O192" t="n">
        <x:f>D192*N192</x:f>
        <x:v>3148200</x:v>
      </x:c>
      <x:c r="P192" s="22" t="n">
        <x:f>IF(O192=0,0,(M192-O192)/O192)</x:f>
        <x:v>-0.33299649005781073</x:v>
      </x:c>
      <x:c r="Q192" s="20" t="n">
        <x:v>45408</x:v>
      </x:c>
    </x:row>
    <x:row r="193" ht="20" customHeight="1">
      <x:c r="A193" t="str">
        <x:v>WO00166</x:v>
      </x:c>
      <x:c r="B193" t="str">
        <x:v>LOT00166</x:v>
      </x:c>
      <x:c r="C193" t="str">
        <x:v>PM-BRG-B</x:v>
      </x:c>
      <x:c r="D193" t="n">
        <x:v>589</x:v>
      </x:c>
      <x:c r="E193" t="n">
        <x:v>1876942.96</x:v>
      </x:c>
      <x:c r="F193" t="n">
        <x:v>4.81</x:v>
      </x:c>
      <x:c r="G193" t="n">
        <x:v>0</x:v>
      </x:c>
      <x:c r="H193" t="n">
        <x:v>1.24</x:v>
      </x:c>
      <x:c r="I193" t="n">
        <x:v>1.67</x:v>
      </x:c>
      <x:c r="J193" t="n">
        <x:v>3721.7</x:v>
      </x:c>
      <x:c r="K193" t="n">
        <x:v>162095.98</x:v>
      </x:c>
      <x:c r="L193" t="n">
        <x:v>2527.2</x:v>
      </x:c>
      <x:c r="M193" t="n">
        <x:f>SUM(E193,J193:L193)</x:f>
        <x:v>2045287.84</x:v>
      </x:c>
      <x:c r="N193" t="n">
        <x:v>5400</x:v>
      </x:c>
      <x:c r="O193" t="n">
        <x:f>D193*N193</x:f>
        <x:v>3180600</x:v>
      </x:c>
      <x:c r="P193" s="22" t="n">
        <x:f>IF(O193=0,0,(M193-O193)/O193)</x:f>
        <x:v>-0.3569490536376784</x:v>
      </x:c>
      <x:c r="Q193" s="20" t="n">
        <x:v>45409</x:v>
      </x:c>
    </x:row>
    <x:row r="194" ht="20" customHeight="1">
      <x:c r="A194" t="str">
        <x:v>WO00170</x:v>
      </x:c>
      <x:c r="B194" t="str">
        <x:v>LOT00170</x:v>
      </x:c>
      <x:c r="C194" t="str">
        <x:v>AUTO-MH-A</x:v>
      </x:c>
      <x:c r="D194" t="n">
        <x:v>4875</x:v>
      </x:c>
      <x:c r="E194" t="n">
        <x:v>6821825.43</x:v>
      </x:c>
      <x:c r="F194" t="n">
        <x:v>25.32</x:v>
      </x:c>
      <x:c r="G194" t="n">
        <x:v>0</x:v>
      </x:c>
      <x:c r="H194" t="n">
        <x:v>3.63</x:v>
      </x:c>
      <x:c r="I194" t="n">
        <x:v>1.25</x:v>
      </x:c>
      <x:c r="J194" t="n">
        <x:v>18200.4</x:v>
      </x:c>
      <x:c r="K194" t="n">
        <x:v>431661.08</x:v>
      </x:c>
      <x:c r="L194" t="n">
        <x:v>10577.4</x:v>
      </x:c>
      <x:c r="M194" t="n">
        <x:f>SUM(E194,J194:L194)</x:f>
        <x:v>7282264.31</x:v>
      </x:c>
      <x:c r="N194" t="n">
        <x:v>1970</x:v>
      </x:c>
      <x:c r="O194" t="n">
        <x:f>D194*N194</x:f>
        <x:v>9603750</x:v>
      </x:c>
      <x:c r="P194" s="22" t="n">
        <x:f>IF(O194=0,0,(M194-O194)/O194)</x:f>
        <x:v>-0.24172700143173245</x:v>
      </x:c>
      <x:c r="Q194" s="20" t="n">
        <x:v>45417</x:v>
      </x:c>
    </x:row>
    <x:row r="195" ht="20" customHeight="1">
      <x:c r="A195" t="str">
        <x:v>WO00171</x:v>
      </x:c>
      <x:c r="B195" t="str">
        <x:v>LOT00171</x:v>
      </x:c>
      <x:c r="C195" t="str">
        <x:v>PM-SUS-B</x:v>
      </x:c>
      <x:c r="D195" t="n">
        <x:v>589</x:v>
      </x:c>
      <x:c r="E195" t="n">
        <x:v>4031916.44</x:v>
      </x:c>
      <x:c r="F195" t="n">
        <x:v>5</x:v>
      </x:c>
      <x:c r="G195" t="n">
        <x:v>0</x:v>
      </x:c>
      <x:c r="H195" t="n">
        <x:v>1.19</x:v>
      </x:c>
      <x:c r="I195" t="n">
        <x:v>1.48</x:v>
      </x:c>
      <x:c r="J195" t="n">
        <x:v>3821.2</x:v>
      </x:c>
      <x:c r="K195" t="n">
        <x:v>400809.98</x:v>
      </x:c>
      <x:c r="L195" t="n">
        <x:v>2534.4</x:v>
      </x:c>
      <x:c r="M195" t="n">
        <x:f>SUM(E195,J195:L195)</x:f>
        <x:v>4439082.02</x:v>
      </x:c>
      <x:c r="N195" t="n">
        <x:v>11100</x:v>
      </x:c>
      <x:c r="O195" t="n">
        <x:f>D195*N195</x:f>
        <x:v>6537900</x:v>
      </x:c>
      <x:c r="P195" s="22" t="n">
        <x:f>IF(O195=0,0,(M195-O195)/O195)</x:f>
        <x:v>-0.3210232612918522</x:v>
      </x:c>
      <x:c r="Q195" s="20" t="n">
        <x:v>45420</x:v>
      </x:c>
    </x:row>
    <x:row r="196" ht="20" customHeight="1">
      <x:c r="A196" t="str">
        <x:v>WO00198</x:v>
      </x:c>
      <x:c r="B196" t="str">
        <x:v>LOT00198</x:v>
      </x:c>
      <x:c r="C196" t="str">
        <x:v>AUTO-KN-B</x:v>
      </x:c>
      <x:c r="D196" t="n">
        <x:v>2966</x:v>
      </x:c>
      <x:c r="E196" t="n">
        <x:v>5222413.85</x:v>
      </x:c>
      <x:c r="F196" t="n">
        <x:v>14.04</x:v>
      </x:c>
      <x:c r="G196" t="n">
        <x:v>0</x:v>
      </x:c>
      <x:c r="H196" t="n">
        <x:v>2.19</x:v>
      </x:c>
      <x:c r="I196" t="n">
        <x:v>1.19</x:v>
      </x:c>
      <x:c r="J196" t="n">
        <x:v>10177.2</x:v>
      </x:c>
      <x:c r="K196" t="n">
        <x:v>375140.88</x:v>
      </x:c>
      <x:c r="L196" t="n">
        <x:v>6042.6</x:v>
      </x:c>
      <x:c r="M196" t="n">
        <x:f>SUM(E196,J196:L196)</x:f>
        <x:v>5613774.529999999</x:v>
      </x:c>
      <x:c r="N196" t="n">
        <x:v>2590</x:v>
      </x:c>
      <x:c r="O196" t="n">
        <x:f>D196*N196</x:f>
        <x:v>7681940</x:v>
      </x:c>
      <x:c r="P196" s="22" t="n">
        <x:f>IF(O196=0,0,(M196-O196)/O196)</x:f>
        <x:v>-0.26922437170818836</x:v>
      </x:c>
      <x:c r="Q196" s="20" t="n">
        <x:v>45414</x:v>
      </x:c>
    </x:row>
    <x:row r="197" ht="20" customHeight="1">
      <x:c r="A197" t="str">
        <x:v>WO00203</x:v>
      </x:c>
      <x:c r="B197" t="str">
        <x:v>LOT00203</x:v>
      </x:c>
      <x:c r="C197" t="str">
        <x:v>AUTO-BS-A</x:v>
      </x:c>
      <x:c r="D197" t="n">
        <x:v>6945</x:v>
      </x:c>
      <x:c r="E197" t="n">
        <x:v>2161687.11</x:v>
      </x:c>
      <x:c r="F197" t="n">
        <x:v>33.71</x:v>
      </x:c>
      <x:c r="G197" t="n">
        <x:v>0</x:v>
      </x:c>
      <x:c r="H197" t="n">
        <x:v>5.43</x:v>
      </x:c>
      <x:c r="I197" t="n">
        <x:v>1.29</x:v>
      </x:c>
      <x:c r="J197" t="n">
        <x:v>24517.9</x:v>
      </x:c>
      <x:c r="K197" t="n">
        <x:v>207126.19</x:v>
      </x:c>
      <x:c r="L197" t="n">
        <x:v>14065.6</x:v>
      </x:c>
      <x:c r="M197" t="n">
        <x:f>SUM(E197,J197:L197)</x:f>
        <x:v>2407396.8</x:v>
      </x:c>
      <x:c r="N197" t="n">
        <x:v>550</x:v>
      </x:c>
      <x:c r="O197" t="n">
        <x:f>D197*N197</x:f>
        <x:v>3819750</x:v>
      </x:c>
      <x:c r="P197" s="22" t="n">
        <x:f>IF(O197=0,0,(M197-O197)/O197)</x:f>
        <x:v>-0.3697501668957393</x:v>
      </x:c>
      <x:c r="Q197" s="20" t="n">
        <x:v>45411</x:v>
      </x:c>
    </x:row>
    <x:row r="198" ht="20" customHeight="1">
      <x:c r="A198" t="str">
        <x:v>WO00193</x:v>
      </x:c>
      <x:c r="B198" t="str">
        <x:v>LOT00193</x:v>
      </x:c>
      <x:c r="C198" t="str">
        <x:v>AUTO-KN-A</x:v>
      </x:c>
      <x:c r="D198" t="n">
        <x:v>6917</x:v>
      </x:c>
      <x:c r="E198" t="n">
        <x:v>10775425.81</x:v>
      </x:c>
      <x:c r="F198" t="n">
        <x:v>33.9</x:v>
      </x:c>
      <x:c r="G198" t="n">
        <x:v>0</x:v>
      </x:c>
      <x:c r="H198" t="n">
        <x:v>5.01</x:v>
      </x:c>
      <x:c r="I198" t="n">
        <x:v>1.25</x:v>
      </x:c>
      <x:c r="J198" t="n">
        <x:v>24439.8</x:v>
      </x:c>
      <x:c r="K198" t="n">
        <x:v>832191.46</x:v>
      </x:c>
      <x:c r="L198" t="n">
        <x:v>14058.6</x:v>
      </x:c>
      <x:c r="M198" t="n">
        <x:f>SUM(E198,J198:L198)</x:f>
        <x:v>11646115.67</x:v>
      </x:c>
      <x:c r="N198" t="n">
        <x:v>2210</x:v>
      </x:c>
      <x:c r="O198" t="n">
        <x:f>D198*N198</x:f>
        <x:v>15286570</x:v>
      </x:c>
      <x:c r="P198" s="22" t="n">
        <x:f>IF(O198=0,0,(M198-O198)/O198)</x:f>
        <x:v>-0.23814723185122627</x:v>
      </x:c>
      <x:c r="Q198" s="20" t="n">
        <x:v>45419</x:v>
      </x:c>
    </x:row>
    <x:row r="199" ht="20" customHeight="1">
      <x:c r="A199" t="str">
        <x:v>WO00204</x:v>
      </x:c>
      <x:c r="B199" t="str">
        <x:v>LOT00204</x:v>
      </x:c>
      <x:c r="C199" t="str">
        <x:v>PM-VAC-A</x:v>
      </x:c>
      <x:c r="D199" t="n">
        <x:v>590</x:v>
      </x:c>
      <x:c r="E199" t="n">
        <x:v>3859876.29</x:v>
      </x:c>
      <x:c r="F199" t="n">
        <x:v>5.19</x:v>
      </x:c>
      <x:c r="G199" t="n">
        <x:v>0</x:v>
      </x:c>
      <x:c r="H199" t="n">
        <x:v>1.24</x:v>
      </x:c>
      <x:c r="I199" t="n">
        <x:v>1.79</x:v>
      </x:c>
      <x:c r="J199" t="n">
        <x:v>3968.7</x:v>
      </x:c>
      <x:c r="K199" t="n">
        <x:v>448489.18</x:v>
      </x:c>
      <x:c r="L199" t="n">
        <x:v>2707.6</x:v>
      </x:c>
      <x:c r="M199" t="n">
        <x:f>SUM(E199,J199:L199)</x:f>
        <x:v>4315041.77</x:v>
      </x:c>
      <x:c r="N199" t="n">
        <x:v>10800</x:v>
      </x:c>
      <x:c r="O199" t="n">
        <x:f>D199*N199</x:f>
        <x:v>6372000</x:v>
      </x:c>
      <x:c r="P199" s="22" t="n">
        <x:f>IF(O199=0,0,(M199-O199)/O199)</x:f>
        <x:v>-0.3228120260514753</x:v>
      </x:c>
      <x:c r="Q199" s="20" t="n">
        <x:v>45421</x:v>
      </x:c>
    </x:row>
    <x:row r="200" ht="20" customHeight="1">
      <x:c r="A200" t="str">
        <x:v>WO00205</x:v>
      </x:c>
      <x:c r="B200" t="str">
        <x:v>LOT00205</x:v>
      </x:c>
      <x:c r="C200" t="str">
        <x:v>PM-VAC-A</x:v>
      </x:c>
      <x:c r="D200" t="n">
        <x:v>589</x:v>
      </x:c>
      <x:c r="E200" t="n">
        <x:v>3947045.61</x:v>
      </x:c>
      <x:c r="F200" t="n">
        <x:v>4.84</x:v>
      </x:c>
      <x:c r="G200" t="n">
        <x:v>0</x:v>
      </x:c>
      <x:c r="H200" t="n">
        <x:v>1.19</x:v>
      </x:c>
      <x:c r="I200" t="n">
        <x:v>1.71</x:v>
      </x:c>
      <x:c r="J200" t="n">
        <x:v>3717.2</x:v>
      </x:c>
      <x:c r="K200" t="n">
        <x:v>432428.78</x:v>
      </x:c>
      <x:c r="L200" t="n">
        <x:v>2542.6</x:v>
      </x:c>
      <x:c r="M200" t="n">
        <x:f>SUM(E200,J200:L200)</x:f>
        <x:v>4385734.1899999995</x:v>
      </x:c>
      <x:c r="N200" t="n">
        <x:v>10800</x:v>
      </x:c>
      <x:c r="O200" t="n">
        <x:f>D200*N200</x:f>
        <x:v>6361200</x:v>
      </x:c>
      <x:c r="P200" s="22" t="n">
        <x:f>IF(O200=0,0,(M200-O200)/O200)</x:f>
        <x:v>-0.31054923756523933</x:v>
      </x:c>
      <x:c r="Q200" s="20" t="n">
        <x:v>45430</x:v>
      </x:c>
    </x:row>
    <x:row r="201" ht="20" customHeight="1">
      <x:c r="A201" t="str">
        <x:v>WO00214</x:v>
      </x:c>
      <x:c r="B201" t="str">
        <x:v>LOT00214</x:v>
      </x:c>
      <x:c r="C201" t="str">
        <x:v>AUTO-BRK-A</x:v>
      </x:c>
      <x:c r="D201" t="n">
        <x:v>4890</x:v>
      </x:c>
      <x:c r="E201" t="n">
        <x:v>4643056.6</x:v>
      </x:c>
      <x:c r="F201" t="n">
        <x:v>27.86</x:v>
      </x:c>
      <x:c r="G201" t="n">
        <x:v>0</x:v>
      </x:c>
      <x:c r="H201" t="n">
        <x:v>4.07</x:v>
      </x:c>
      <x:c r="I201" t="n">
        <x:v>1.31</x:v>
      </x:c>
      <x:c r="J201" t="n">
        <x:v>20062.6</x:v>
      </x:c>
      <x:c r="K201" t="n">
        <x:v>367029.58</x:v>
      </x:c>
      <x:c r="L201" t="n">
        <x:v>11631</x:v>
      </x:c>
      <x:c r="M201" t="n">
        <x:f>SUM(E201,J201:L201)</x:f>
        <x:v>5041779.779999999</x:v>
      </x:c>
      <x:c r="N201" t="n">
        <x:v>1380</x:v>
      </x:c>
      <x:c r="O201" t="n">
        <x:f>D201*N201</x:f>
        <x:v>6748200</x:v>
      </x:c>
      <x:c r="P201" s="22" t="n">
        <x:f>IF(O201=0,0,(M201-O201)/O201)</x:f>
        <x:v>-0.2528704276696009</x:v>
      </x:c>
      <x:c r="Q201" s="20" t="n">
        <x:v>45415</x:v>
      </x:c>
    </x:row>
    <x:row r="202" ht="20" customHeight="1">
      <x:c r="A202" t="str">
        <x:v>WO00215</x:v>
      </x:c>
      <x:c r="B202" t="str">
        <x:v>LOT00215</x:v>
      </x:c>
      <x:c r="C202" t="str">
        <x:v>AUTO-BRK-A</x:v>
      </x:c>
      <x:c r="D202" t="n">
        <x:v>4898</x:v>
      </x:c>
      <x:c r="E202" t="n">
        <x:v>4470085.3</x:v>
      </x:c>
      <x:c r="F202" t="n">
        <x:v>26.06</x:v>
      </x:c>
      <x:c r="G202" t="n">
        <x:v>0</x:v>
      </x:c>
      <x:c r="H202" t="n">
        <x:v>3.77</x:v>
      </x:c>
      <x:c r="I202" t="n">
        <x:v>1.15</x:v>
      </x:c>
      <x:c r="J202" t="n">
        <x:v>18748.6</x:v>
      </x:c>
      <x:c r="K202" t="n">
        <x:v>363268.53</x:v>
      </x:c>
      <x:c r="L202" t="n">
        <x:v>10851</x:v>
      </x:c>
      <x:c r="M202" t="n">
        <x:f>SUM(E202,J202:L202)</x:f>
        <x:v>4862953.43</x:v>
      </x:c>
      <x:c r="N202" t="n">
        <x:v>1380</x:v>
      </x:c>
      <x:c r="O202" t="n">
        <x:f>D202*N202</x:f>
        <x:v>6759240</x:v>
      </x:c>
      <x:c r="P202" s="22" t="n">
        <x:f>IF(O202=0,0,(M202-O202)/O202)</x:f>
        <x:v>-0.2805473056142407</x:v>
      </x:c>
      <x:c r="Q202" s="20" t="n">
        <x:v>45415</x:v>
      </x:c>
    </x:row>
    <x:row r="203" ht="20" customHeight="1">
      <x:c r="A203" t="str">
        <x:v>WO00199</x:v>
      </x:c>
      <x:c r="B203" t="str">
        <x:v>LOT00199</x:v>
      </x:c>
      <x:c r="C203" t="str">
        <x:v>PM-SUS-B</x:v>
      </x:c>
      <x:c r="D203" t="n">
        <x:v>587</x:v>
      </x:c>
      <x:c r="E203" t="n">
        <x:v>4202360.04</x:v>
      </x:c>
      <x:c r="F203" t="n">
        <x:v>5.48</x:v>
      </x:c>
      <x:c r="G203" t="n">
        <x:v>0</x:v>
      </x:c>
      <x:c r="H203" t="n">
        <x:v>1.24</x:v>
      </x:c>
      <x:c r="I203" t="n">
        <x:v>1.56</x:v>
      </x:c>
      <x:c r="J203" t="n">
        <x:v>4157.2</x:v>
      </x:c>
      <x:c r="K203" t="n">
        <x:v>457510.67</x:v>
      </x:c>
      <x:c r="L203" t="n">
        <x:v>2748.8</x:v>
      </x:c>
      <x:c r="M203" t="n">
        <x:f>SUM(E203,J203:L203)</x:f>
        <x:v>4666776.71</x:v>
      </x:c>
      <x:c r="N203" t="n">
        <x:v>11100</x:v>
      </x:c>
      <x:c r="O203" t="n">
        <x:f>D203*N203</x:f>
        <x:v>6515700</x:v>
      </x:c>
      <x:c r="P203" s="22" t="n">
        <x:f>IF(O203=0,0,(M203-O203)/O203)</x:f>
        <x:v>-0.28376433690931135</x:v>
      </x:c>
      <x:c r="Q203" s="20" t="n">
        <x:v>45435</x:v>
      </x:c>
    </x:row>
    <x:row r="204" ht="20" customHeight="1">
      <x:c r="A204" t="str">
        <x:v>WO00200</x:v>
      </x:c>
      <x:c r="B204" t="str">
        <x:v>LOT00200</x:v>
      </x:c>
      <x:c r="C204" t="str">
        <x:v>PM-SUS-B</x:v>
      </x:c>
      <x:c r="D204" t="n">
        <x:v>588</x:v>
      </x:c>
      <x:c r="E204" t="n">
        <x:v>4088696.26</x:v>
      </x:c>
      <x:c r="F204" t="n">
        <x:v>4.7</x:v>
      </x:c>
      <x:c r="G204" t="n">
        <x:v>0</x:v>
      </x:c>
      <x:c r="H204" t="n">
        <x:v>1.05</x:v>
      </x:c>
      <x:c r="I204" t="n">
        <x:v>1.63</x:v>
      </x:c>
      <x:c r="J204" t="n">
        <x:v>3559</x:v>
      </x:c>
      <x:c r="K204" t="n">
        <x:v>430912.68</x:v>
      </x:c>
      <x:c r="L204" t="n">
        <x:v>2443</x:v>
      </x:c>
      <x:c r="M204" t="n">
        <x:f>SUM(E204,J204:L204)</x:f>
        <x:v>4525610.9399999995</x:v>
      </x:c>
      <x:c r="N204" t="n">
        <x:v>11100</x:v>
      </x:c>
      <x:c r="O204" t="n">
        <x:f>D204*N204</x:f>
        <x:v>6526800</x:v>
      </x:c>
      <x:c r="P204" s="22" t="n">
        <x:f>IF(O204=0,0,(M204-O204)/O204)</x:f>
        <x:v>-0.30661105901820196</x:v>
      </x:c>
      <x:c r="Q204" s="20" t="n">
        <x:v>45433</x:v>
      </x:c>
    </x:row>
    <x:row r="205" ht="20" customHeight="1">
      <x:c r="A205" t="str">
        <x:v>WO00196</x:v>
      </x:c>
      <x:c r="B205" t="str">
        <x:v>LOT00196</x:v>
      </x:c>
      <x:c r="C205" t="str">
        <x:v>AUTO-LG-A</x:v>
      </x:c>
      <x:c r="D205" t="n">
        <x:v>4923</x:v>
      </x:c>
      <x:c r="E205" t="n">
        <x:v>2550737.24</x:v>
      </x:c>
      <x:c r="F205" t="n">
        <x:v>28.77</x:v>
      </x:c>
      <x:c r="G205" t="n">
        <x:v>0</x:v>
      </x:c>
      <x:c r="H205" t="n">
        <x:v>3.67</x:v>
      </x:c>
      <x:c r="I205" t="n">
        <x:v>1.24</x:v>
      </x:c>
      <x:c r="J205" t="n">
        <x:v>20462.1</x:v>
      </x:c>
      <x:c r="K205" t="n">
        <x:v>196429.77</x:v>
      </x:c>
      <x:c r="L205" t="n">
        <x:v>11891.8</x:v>
      </x:c>
      <x:c r="M205" t="n">
        <x:f>SUM(E205,J205:L205)</x:f>
        <x:v>2779520.91</x:v>
      </x:c>
      <x:c r="N205" t="n">
        <x:v>840</x:v>
      </x:c>
      <x:c r="O205" t="n">
        <x:f>D205*N205</x:f>
        <x:v>4135320</x:v>
      </x:c>
      <x:c r="P205" s="22" t="n">
        <x:f>IF(O205=0,0,(M205-O205)/O205)</x:f>
        <x:v>-0.3278583253532979</x:v>
      </x:c>
      <x:c r="Q205" s="20" t="n">
        <x:v>45426</x:v>
      </x:c>
    </x:row>
    <x:row r="206" ht="20" customHeight="1">
      <x:c r="A206" t="str">
        <x:v>WO00197</x:v>
      </x:c>
      <x:c r="B206" t="str">
        <x:v>LOT00197</x:v>
      </x:c>
      <x:c r="C206" t="str">
        <x:v>AUTO-LG-A</x:v>
      </x:c>
      <x:c r="D206" t="n">
        <x:v>4918</x:v>
      </x:c>
      <x:c r="E206" t="n">
        <x:v>2665067.76</x:v>
      </x:c>
      <x:c r="F206" t="n">
        <x:v>25.73</x:v>
      </x:c>
      <x:c r="G206" t="n">
        <x:v>0</x:v>
      </x:c>
      <x:c r="H206" t="n">
        <x:v>4.54</x:v>
      </x:c>
      <x:c r="I206" t="n">
        <x:v>1.28</x:v>
      </x:c>
      <x:c r="J206" t="n">
        <x:v>18903.7</x:v>
      </x:c>
      <x:c r="K206" t="n">
        <x:v>194546.93</x:v>
      </x:c>
      <x:c r="L206" t="n">
        <x:v>10887.8</x:v>
      </x:c>
      <x:c r="M206" t="n">
        <x:f>SUM(E206,J206:L206)</x:f>
        <x:v>2889406.19</x:v>
      </x:c>
      <x:c r="N206" t="n">
        <x:v>840</x:v>
      </x:c>
      <x:c r="O206" t="n">
        <x:f>D206*N206</x:f>
        <x:v>4131120</x:v>
      </x:c>
      <x:c r="P206" s="22" t="n">
        <x:f>IF(O206=0,0,(M206-O206)/O206)</x:f>
        <x:v>-0.3005755848292957</x:v>
      </x:c>
      <x:c r="Q206" s="20" t="n">
        <x:v>45426</x:v>
      </x:c>
    </x:row>
    <x:row r="207" ht="20" customHeight="1">
      <x:c r="A207" t="str">
        <x:v>WO00212</x:v>
      </x:c>
      <x:c r="B207" t="str">
        <x:v>LOT00212</x:v>
      </x:c>
      <x:c r="C207" t="str">
        <x:v>PM-VAC-B</x:v>
      </x:c>
      <x:c r="D207" t="n">
        <x:v>487</x:v>
      </x:c>
      <x:c r="E207" t="n">
        <x:v>4684185.64</x:v>
      </x:c>
      <x:c r="F207" t="n">
        <x:v>4.44</x:v>
      </x:c>
      <x:c r="G207" t="n">
        <x:v>0</x:v>
      </x:c>
      <x:c r="H207" t="n">
        <x:v>0.81</x:v>
      </x:c>
      <x:c r="I207" t="n">
        <x:v>1.78</x:v>
      </x:c>
      <x:c r="J207" t="n">
        <x:v>3274.8</x:v>
      </x:c>
      <x:c r="K207" t="n">
        <x:v>614669.56</x:v>
      </x:c>
      <x:c r="L207" t="n">
        <x:v>2350.8</x:v>
      </x:c>
      <x:c r="M207" t="n">
        <x:f>SUM(E207,J207:L207)</x:f>
        <x:v>5304480.8</x:v>
      </x:c>
      <x:c r="N207" t="n">
        <x:v>15500</x:v>
      </x:c>
      <x:c r="O207" t="n">
        <x:f>D207*N207</x:f>
        <x:v>7548500</x:v>
      </x:c>
      <x:c r="P207" s="22" t="n">
        <x:f>IF(O207=0,0,(M207-O207)/O207)</x:f>
        <x:v>-0.29728014837384914</x:v>
      </x:c>
      <x:c r="Q207" s="20" t="n">
        <x:v>45437</x:v>
      </x:c>
    </x:row>
    <x:row r="208" ht="20" customHeight="1">
      <x:c r="A208" t="str">
        <x:v>WO00216</x:v>
      </x:c>
      <x:c r="B208" t="str">
        <x:v>LOT00216</x:v>
      </x:c>
      <x:c r="C208" t="str">
        <x:v>SEMI-WH-A</x:v>
      </x:c>
      <x:c r="D208" t="n">
        <x:v>78</x:v>
      </x:c>
      <x:c r="E208" t="n">
        <x:v>4207843.48</x:v>
      </x:c>
      <x:c r="F208" t="n">
        <x:v>1.87</x:v>
      </x:c>
      <x:c r="G208" t="n">
        <x:v>0</x:v>
      </x:c>
      <x:c r="H208" t="n">
        <x:v>0.8</x:v>
      </x:c>
      <x:c r="I208" t="n">
        <x:v>3.17</x:v>
      </x:c>
      <x:c r="J208" t="n">
        <x:v>1599.5</x:v>
      </x:c>
      <x:c r="K208" t="n">
        <x:v>540224.71</x:v>
      </x:c>
      <x:c r="L208" t="n">
        <x:v>1789.6</x:v>
      </x:c>
      <x:c r="M208" t="n">
        <x:f>SUM(E208,J208:L208)</x:f>
        <x:v>4751457.29</x:v>
      </x:c>
      <x:c r="N208" t="n">
        <x:v>88000</x:v>
      </x:c>
      <x:c r="O208" t="n">
        <x:f>D208*N208</x:f>
        <x:v>6864000</x:v>
      </x:c>
      <x:c r="P208" s="22" t="n">
        <x:f>IF(O208=0,0,(M208-O208)/O208)</x:f>
        <x:v>-0.3077713738344988</x:v>
      </x:c>
      <x:c r="Q208" s="20" t="n">
        <x:v>45462</x:v>
      </x:c>
    </x:row>
    <x:row r="209" ht="20" customHeight="1">
      <x:c r="A209" t="str">
        <x:v>WO00217</x:v>
      </x:c>
      <x:c r="B209" t="str">
        <x:v>LOT00217</x:v>
      </x:c>
      <x:c r="C209" t="str">
        <x:v>SEMI-WH-A</x:v>
      </x:c>
      <x:c r="D209" t="n">
        <x:v>78</x:v>
      </x:c>
      <x:c r="E209" t="n">
        <x:v>4078025.93</x:v>
      </x:c>
      <x:c r="F209" t="n">
        <x:v>2.34</x:v>
      </x:c>
      <x:c r="G209" t="n">
        <x:v>0</x:v>
      </x:c>
      <x:c r="H209" t="n">
        <x:v>0.73</x:v>
      </x:c>
      <x:c r="I209" t="n">
        <x:v>3</x:v>
      </x:c>
      <x:c r="J209" t="n">
        <x:v>1871.4</x:v>
      </x:c>
      <x:c r="K209" t="n">
        <x:v>567610.71</x:v>
      </x:c>
      <x:c r="L209" t="n">
        <x:v>1906</x:v>
      </x:c>
      <x:c r="M209" t="n">
        <x:f>SUM(E209,J209:L209)</x:f>
        <x:v>4649414.04</x:v>
      </x:c>
      <x:c r="N209" t="n">
        <x:v>88000</x:v>
      </x:c>
      <x:c r="O209" t="n">
        <x:f>D209*N209</x:f>
        <x:v>6864000</x:v>
      </x:c>
      <x:c r="P209" s="22" t="n">
        <x:f>IF(O209=0,0,(M209-O209)/O209)</x:f>
        <x:v>-0.32263781468531466</x:v>
      </x:c>
      <x:c r="Q209" s="20" t="n">
        <x:v>45459</x:v>
      </x:c>
    </x:row>
    <x:row r="210" ht="20" customHeight="1">
      <x:c r="A210" t="str">
        <x:v>WO00194</x:v>
      </x:c>
      <x:c r="B210" t="str">
        <x:v>LOT00194</x:v>
      </x:c>
      <x:c r="C210" t="str">
        <x:v>PM-VAC-A</x:v>
      </x:c>
      <x:c r="D210" t="n">
        <x:v>787</x:v>
      </x:c>
      <x:c r="E210" t="n">
        <x:v>4861223.51</x:v>
      </x:c>
      <x:c r="F210" t="n">
        <x:v>6.23</x:v>
      </x:c>
      <x:c r="G210" t="n">
        <x:v>0</x:v>
      </x:c>
      <x:c r="H210" t="n">
        <x:v>1.48</x:v>
      </x:c>
      <x:c r="I210" t="n">
        <x:v>1.68</x:v>
      </x:c>
      <x:c r="J210" t="n">
        <x:v>4759.9</x:v>
      </x:c>
      <x:c r="K210" t="n">
        <x:v>712175.86</x:v>
      </x:c>
      <x:c r="L210" t="n">
        <x:v>3108.2</x:v>
      </x:c>
      <x:c r="M210" t="n">
        <x:f>SUM(E210,J210:L210)</x:f>
        <x:v>5581267.47</x:v>
      </x:c>
      <x:c r="N210" t="n">
        <x:v>10800</x:v>
      </x:c>
      <x:c r="O210" t="n">
        <x:f>D210*N210</x:f>
        <x:v>8499600</x:v>
      </x:c>
      <x:c r="P210" s="22" t="n">
        <x:f>IF(O210=0,0,(M210-O210)/O210)</x:f>
        <x:v>-0.34334939644218554</x:v>
      </x:c>
      <x:c r="Q210" s="20" t="n">
        <x:v>45446</x:v>
      </x:c>
    </x:row>
    <x:row r="211" ht="20" customHeight="1">
      <x:c r="A211" t="str">
        <x:v>WO00195</x:v>
      </x:c>
      <x:c r="B211" t="str">
        <x:v>LOT00195</x:v>
      </x:c>
      <x:c r="C211" t="str">
        <x:v>PM-VAC-A</x:v>
      </x:c>
      <x:c r="D211" t="n">
        <x:v>778</x:v>
      </x:c>
      <x:c r="E211" t="n">
        <x:v>4843500.39</x:v>
      </x:c>
      <x:c r="F211" t="n">
        <x:v>7.09</x:v>
      </x:c>
      <x:c r="G211" t="n">
        <x:v>0</x:v>
      </x:c>
      <x:c r="H211" t="n">
        <x:v>1.29</x:v>
      </x:c>
      <x:c r="I211" t="n">
        <x:v>1.65</x:v>
      </x:c>
      <x:c r="J211" t="n">
        <x:v>5227.7</x:v>
      </x:c>
      <x:c r="K211" t="n">
        <x:v>651136.64</x:v>
      </x:c>
      <x:c r="L211" t="n">
        <x:v>3395.6</x:v>
      </x:c>
      <x:c r="M211" t="n">
        <x:f>SUM(E211,J211:L211)</x:f>
        <x:v>5503260.33</x:v>
      </x:c>
      <x:c r="N211" t="n">
        <x:v>10800</x:v>
      </x:c>
      <x:c r="O211" t="n">
        <x:f>D211*N211</x:f>
        <x:v>8402400</x:v>
      </x:c>
      <x:c r="P211" s="22" t="n">
        <x:f>IF(O211=0,0,(M211-O211)/O211)</x:f>
        <x:v>-0.34503709297343615</x:v>
      </x:c>
      <x:c r="Q211" s="20" t="n">
        <x:v>45439</x:v>
      </x:c>
    </x:row>
    <x:row r="212" ht="20" customHeight="1">
      <x:c r="A212" t="str">
        <x:v>WO00210</x:v>
      </x:c>
      <x:c r="B212" t="str">
        <x:v>LOT00210</x:v>
      </x:c>
      <x:c r="C212" t="str">
        <x:v>MECH-STG-A</x:v>
      </x:c>
      <x:c r="D212" t="n">
        <x:v>17</x:v>
      </x:c>
      <x:c r="E212" t="n">
        <x:v>1226108.34</x:v>
      </x:c>
      <x:c r="F212" t="n">
        <x:v>1186.84</x:v>
      </x:c>
      <x:c r="G212" t="n">
        <x:v>4223</x:v>
      </x:c>
      <x:c r="H212" t="n">
        <x:v>2830.91</x:v>
      </x:c>
      <x:c r="I212" t="n">
        <x:v>2.89</x:v>
      </x:c>
      <x:c r="J212" t="n">
        <x:v>4326242.8</x:v>
      </x:c>
      <x:c r="K212" t="n">
        <x:v>109573.74</x:v>
      </x:c>
      <x:c r="L212" t="n">
        <x:v>1749411.8</x:v>
      </x:c>
      <x:c r="M212" t="n">
        <x:f>SUM(E212,J212:L212)</x:f>
        <x:v>7411336.68</x:v>
      </x:c>
      <x:c r="N212" t="n">
        <x:v>104000</x:v>
      </x:c>
      <x:c r="O212" t="n">
        <x:f>D212*N212</x:f>
        <x:v>1768000</x:v>
      </x:c>
      <x:c r="P212" s="22" t="n">
        <x:f>IF(O212=0,0,(M212-O212)/O212)</x:f>
        <x:v>3.191932511312217</x:v>
      </x:c>
      <x:c r="Q212" s="20" t="n">
        <x:v>45455</x:v>
      </x:c>
    </x:row>
    <x:row r="213" ht="20" customHeight="1">
      <x:c r="A213" t="str">
        <x:v>WO00213</x:v>
      </x:c>
      <x:c r="B213" t="str">
        <x:v>LOT00213</x:v>
      </x:c>
      <x:c r="C213" t="str">
        <x:v>AUTO-BS-A</x:v>
      </x:c>
      <x:c r="D213" t="n">
        <x:v>4885</x:v>
      </x:c>
      <x:c r="E213" t="n">
        <x:v>1711241.35</x:v>
      </x:c>
      <x:c r="F213" t="n">
        <x:v>23.41</x:v>
      </x:c>
      <x:c r="G213" t="n">
        <x:v>0</x:v>
      </x:c>
      <x:c r="H213" t="n">
        <x:v>4.68</x:v>
      </x:c>
      <x:c r="I213" t="n">
        <x:v>1.27</x:v>
      </x:c>
      <x:c r="J213" t="n">
        <x:v>17462.9</x:v>
      </x:c>
      <x:c r="K213" t="n">
        <x:v>154101.26</x:v>
      </x:c>
      <x:c r="L213" t="n">
        <x:v>10025.6</x:v>
      </x:c>
      <x:c r="M213" t="n">
        <x:f>SUM(E213,J213:L213)</x:f>
        <x:v>1892831.11</x:v>
      </x:c>
      <x:c r="N213" t="n">
        <x:v>550</x:v>
      </x:c>
      <x:c r="O213" t="n">
        <x:f>D213*N213</x:f>
        <x:v>2686750</x:v>
      </x:c>
      <x:c r="P213" s="22" t="n">
        <x:f>IF(O213=0,0,(M213-O213)/O213)</x:f>
        <x:v>-0.2954941434819019</x:v>
      </x:c>
      <x:c r="Q213" s="20" t="n">
        <x:v>45428</x:v>
      </x:c>
    </x:row>
    <x:row r="214" ht="20" customHeight="1">
      <x:c r="A214" t="str">
        <x:v>WO00202</x:v>
      </x:c>
      <x:c r="B214" t="str">
        <x:v>LOT00202</x:v>
      </x:c>
      <x:c r="C214" t="str">
        <x:v>PM-VAC-B</x:v>
      </x:c>
      <x:c r="D214" t="n">
        <x:v>588</x:v>
      </x:c>
      <x:c r="E214" t="n">
        <x:v>5738851.47</x:v>
      </x:c>
      <x:c r="F214" t="n">
        <x:v>5.03</x:v>
      </x:c>
      <x:c r="G214" t="n">
        <x:v>0</x:v>
      </x:c>
      <x:c r="H214" t="n">
        <x:v>1.18</x:v>
      </x:c>
      <x:c r="I214" t="n">
        <x:v>1.48</x:v>
      </x:c>
      <x:c r="J214" t="n">
        <x:v>3835.9</x:v>
      </x:c>
      <x:c r="K214" t="n">
        <x:v>652777.28</x:v>
      </x:c>
      <x:c r="L214" t="n">
        <x:v>2544.2</x:v>
      </x:c>
      <x:c r="M214" t="n">
        <x:f>SUM(E214,J214:L214)</x:f>
        <x:v>6398008.85</x:v>
      </x:c>
      <x:c r="N214" t="n">
        <x:v>15500</x:v>
      </x:c>
      <x:c r="O214" t="n">
        <x:f>D214*N214</x:f>
        <x:v>9114000</x:v>
      </x:c>
      <x:c r="P214" s="22" t="n">
        <x:f>IF(O214=0,0,(M214-O214)/O214)</x:f>
        <x:v>-0.29800210116304593</x:v>
      </x:c>
      <x:c r="Q214" s="20" t="n">
        <x:v>45449</x:v>
      </x:c>
    </x:row>
    <x:row r="215" ht="20" customHeight="1">
      <x:c r="A215" t="str">
        <x:v>WO00209</x:v>
      </x:c>
      <x:c r="B215" t="str">
        <x:v>LOT00209</x:v>
      </x:c>
      <x:c r="C215" t="str">
        <x:v>MECH-STG-A</x:v>
      </x:c>
      <x:c r="D215" t="n">
        <x:v>17</x:v>
      </x:c>
      <x:c r="E215" t="n">
        <x:v>1209797.8</x:v>
      </x:c>
      <x:c r="F215" t="n">
        <x:v>1268.14</x:v>
      </x:c>
      <x:c r="G215" t="n">
        <x:v>3957.24</x:v>
      </x:c>
      <x:c r="H215" t="n">
        <x:v>2870.93</x:v>
      </x:c>
      <x:c r="I215" t="n">
        <x:v>3.3</x:v>
      </x:c>
      <x:c r="J215" t="n">
        <x:v>4260102.2</x:v>
      </x:c>
      <x:c r="K215" t="n">
        <x:v>104965.56</x:v>
      </x:c>
      <x:c r="L215" t="n">
        <x:v>1733680</x:v>
      </x:c>
      <x:c r="M215" t="n">
        <x:f>SUM(E215,J215:L215)</x:f>
        <x:v>7308545.56</x:v>
      </x:c>
      <x:c r="N215" t="n">
        <x:v>104000</x:v>
      </x:c>
      <x:c r="O215" t="n">
        <x:f>D215*N215</x:f>
        <x:v>1768000</x:v>
      </x:c>
      <x:c r="P215" s="22" t="n">
        <x:f>IF(O215=0,0,(M215-O215)/O215)</x:f>
        <x:v>3.133792737556561</x:v>
      </x:c>
      <x:c r="Q215" s="20" t="n">
        <x:v>45453</x:v>
      </x:c>
    </x:row>
    <x:row r="216" ht="20" customHeight="1">
      <x:c r="A216" t="str">
        <x:v>WO00211</x:v>
      </x:c>
      <x:c r="B216" t="str">
        <x:v>LOT00211</x:v>
      </x:c>
      <x:c r="C216" t="str">
        <x:v>MECH-STG-A</x:v>
      </x:c>
      <x:c r="D216" t="n">
        <x:v>16</x:v>
      </x:c>
      <x:c r="E216" t="n">
        <x:v>1146545.79</x:v>
      </x:c>
      <x:c r="F216" t="n">
        <x:v>1331.29</x:v>
      </x:c>
      <x:c r="G216" t="n">
        <x:v>4453.98</x:v>
      </x:c>
      <x:c r="H216" t="n">
        <x:v>2521.21</x:v>
      </x:c>
      <x:c r="I216" t="n">
        <x:v>3.13</x:v>
      </x:c>
      <x:c r="J216" t="n">
        <x:v>4391588.9</x:v>
      </x:c>
      <x:c r="K216" t="n">
        <x:v>100421.56</x:v>
      </x:c>
      <x:c r="L216" t="n">
        <x:v>1801018.8</x:v>
      </x:c>
      <x:c r="M216" t="n">
        <x:f>SUM(E216,J216:L216)</x:f>
        <x:v>7439575.05</x:v>
      </x:c>
      <x:c r="N216" t="n">
        <x:v>104000</x:v>
      </x:c>
      <x:c r="O216" t="n">
        <x:f>D216*N216</x:f>
        <x:v>1664000</x:v>
      </x:c>
      <x:c r="P216" s="22" t="n">
        <x:f>IF(O216=0,0,(M216-O216)/O216)</x:f>
        <x:v>3.4708984675480767</x:v>
      </x:c>
      <x:c r="Q216" s="20" t="n">
        <x:v>45451</x:v>
      </x:c>
    </x:row>
    <x:row r="217" ht="20" customHeight="1">
      <x:c r="A217" t="str">
        <x:v>WO00201</x:v>
      </x:c>
      <x:c r="B217" t="str">
        <x:v>LOT00201</x:v>
      </x:c>
      <x:c r="C217" t="str">
        <x:v>PM-VAC-B</x:v>
      </x:c>
      <x:c r="D217" t="n">
        <x:v>590</x:v>
      </x:c>
      <x:c r="E217" t="n">
        <x:v>5500439.25</x:v>
      </x:c>
      <x:c r="F217" t="n">
        <x:v>5.89</x:v>
      </x:c>
      <x:c r="G217" t="n">
        <x:v>0</x:v>
      </x:c>
      <x:c r="H217" t="n">
        <x:v>1.09</x:v>
      </x:c>
      <x:c r="I217" t="n">
        <x:v>1.61</x:v>
      </x:c>
      <x:c r="J217" t="n">
        <x:v>4351.7</x:v>
      </x:c>
      <x:c r="K217" t="n">
        <x:v>610738.44</x:v>
      </x:c>
      <x:c r="L217" t="n">
        <x:v>2895.6</x:v>
      </x:c>
      <x:c r="M217" t="n">
        <x:f>SUM(E217,J217:L217)</x:f>
        <x:v>6118424.99</x:v>
      </x:c>
      <x:c r="N217" t="n">
        <x:v>15500</x:v>
      </x:c>
      <x:c r="O217" t="n">
        <x:f>D217*N217</x:f>
        <x:v>9145000</x:v>
      </x:c>
      <x:c r="P217" s="22" t="n">
        <x:f>IF(O217=0,0,(M217-O217)/O217)</x:f>
        <x:v>-0.3309540743575724</x:v>
      </x:c>
      <x:c r="Q217" s="20" t="n">
        <x:v>45448</x:v>
      </x:c>
    </x:row>
    <x:row r="218" ht="20" customHeight="1">
      <x:c r="A218" t="str">
        <x:v>WO00206</x:v>
      </x:c>
      <x:c r="B218" t="str">
        <x:v>LOT00206</x:v>
      </x:c>
      <x:c r="C218" t="str">
        <x:v>PM-BRG-A</x:v>
      </x:c>
      <x:c r="D218" t="n">
        <x:v>485</x:v>
      </x:c>
      <x:c r="E218" t="n">
        <x:v>1287905.38</x:v>
      </x:c>
      <x:c r="F218" t="n">
        <x:v>4.45</x:v>
      </x:c>
      <x:c r="G218" t="n">
        <x:v>0</x:v>
      </x:c>
      <x:c r="H218" t="n">
        <x:v>0.87</x:v>
      </x:c>
      <x:c r="I218" t="n">
        <x:v>1.68</x:v>
      </x:c>
      <x:c r="J218" t="n">
        <x:v>3310.1</x:v>
      </x:c>
      <x:c r="K218" t="n">
        <x:v>103767.13</x:v>
      </x:c>
      <x:c r="L218" t="n">
        <x:v>2334.2</x:v>
      </x:c>
      <x:c r="M218" t="n">
        <x:f>SUM(E218,J218:L218)</x:f>
        <x:v>1397316.8099999998</x:v>
      </x:c>
      <x:c r="N218" t="n">
        <x:v>4450</x:v>
      </x:c>
      <x:c r="O218" t="n">
        <x:f>D218*N218</x:f>
        <x:v>2158250</x:v>
      </x:c>
      <x:c r="P218" s="22" t="n">
        <x:f>IF(O218=0,0,(M218-O218)/O218)</x:f>
        <x:v>-0.3525695308699178</x:v>
      </x:c>
      <x:c r="Q218" s="20" t="n">
        <x:v>45435</x:v>
      </x:c>
    </x:row>
    <x:row r="219" ht="20" customHeight="1">
      <x:c r="A219" t="str">
        <x:v>WO00227</x:v>
      </x:c>
      <x:c r="B219" t="str">
        <x:v>LOT00227</x:v>
      </x:c>
      <x:c r="C219" t="str">
        <x:v>AUTO-KN-A</x:v>
      </x:c>
      <x:c r="D219" t="n">
        <x:v>4935</x:v>
      </x:c>
      <x:c r="E219" t="n">
        <x:v>7548290.6</x:v>
      </x:c>
      <x:c r="F219" t="n">
        <x:v>25.54</x:v>
      </x:c>
      <x:c r="G219" t="n">
        <x:v>0</x:v>
      </x:c>
      <x:c r="H219" t="n">
        <x:v>4.23</x:v>
      </x:c>
      <x:c r="I219" t="n">
        <x:v>1.2</x:v>
      </x:c>
      <x:c r="J219" t="n">
        <x:v>18631.4</x:v>
      </x:c>
      <x:c r="K219" t="n">
        <x:v>591856.93</x:v>
      </x:c>
      <x:c r="L219" t="n">
        <x:v>10742</x:v>
      </x:c>
      <x:c r="M219" t="n">
        <x:f>SUM(E219,J219:L219)</x:f>
        <x:v>8169520.93</x:v>
      </x:c>
      <x:c r="N219" t="n">
        <x:v>2210</x:v>
      </x:c>
      <x:c r="O219" t="n">
        <x:f>D219*N219</x:f>
        <x:v>10906350</x:v>
      </x:c>
      <x:c r="P219" s="22" t="n">
        <x:f>IF(O219=0,0,(M219-O219)/O219)</x:f>
        <x:v>-0.2509390465187712</x:v>
      </x:c>
      <x:c r="Q219" s="20" t="n">
        <x:v>45441</x:v>
      </x:c>
    </x:row>
    <x:row r="220" ht="20" customHeight="1">
      <x:c r="A220" t="str">
        <x:v>WO00226</x:v>
      </x:c>
      <x:c r="B220" t="str">
        <x:v>LOT00226</x:v>
      </x:c>
      <x:c r="C220" t="str">
        <x:v>AUTO-KN-A</x:v>
      </x:c>
      <x:c r="D220" t="n">
        <x:v>4951</x:v>
      </x:c>
      <x:c r="E220" t="n">
        <x:v>7131103.39</x:v>
      </x:c>
      <x:c r="F220" t="n">
        <x:v>25.15</x:v>
      </x:c>
      <x:c r="G220" t="n">
        <x:v>0</x:v>
      </x:c>
      <x:c r="H220" t="n">
        <x:v>3.95</x:v>
      </x:c>
      <x:c r="I220" t="n">
        <x:v>1.28</x:v>
      </x:c>
      <x:c r="J220" t="n">
        <x:v>18243.5</x:v>
      </x:c>
      <x:c r="K220" t="n">
        <x:v>590072.95</x:v>
      </x:c>
      <x:c r="L220" t="n">
        <x:v>10573</x:v>
      </x:c>
      <x:c r="M220" t="n">
        <x:f>SUM(E220,J220:L220)</x:f>
        <x:v>7749992.84</x:v>
      </x:c>
      <x:c r="N220" t="n">
        <x:v>2210</x:v>
      </x:c>
      <x:c r="O220" t="n">
        <x:f>D220*N220</x:f>
        <x:v>10941710</x:v>
      </x:c>
      <x:c r="P220" s="22" t="n">
        <x:f>IF(O220=0,0,(M220-O220)/O220)</x:f>
        <x:v>-0.2917018601297238</x:v>
      </x:c>
      <x:c r="Q220" s="20" t="n">
        <x:v>45444</x:v>
      </x:c>
    </x:row>
    <x:row r="221" ht="20" customHeight="1">
      <x:c r="A221" t="str">
        <x:v>WO00220</x:v>
      </x:c>
      <x:c r="B221" t="str">
        <x:v>LOT00220</x:v>
      </x:c>
      <x:c r="C221" t="str">
        <x:v>MECH-CON-A</x:v>
      </x:c>
      <x:c r="D221" t="n">
        <x:v>10</x:v>
      </x:c>
      <x:c r="E221" t="n">
        <x:v>504559.82</x:v>
      </x:c>
      <x:c r="F221" t="n">
        <x:v>812.26</x:v>
      </x:c>
      <x:c r="G221" t="n">
        <x:v>2615</x:v>
      </x:c>
      <x:c r="H221" t="n">
        <x:v>1540.2</x:v>
      </x:c>
      <x:c r="I221" t="n">
        <x:v>3.07</x:v>
      </x:c>
      <x:c r="J221" t="n">
        <x:v>2627065</x:v>
      </x:c>
      <x:c r="K221" t="n">
        <x:v>48323.06</x:v>
      </x:c>
      <x:c r="L221" t="n">
        <x:v>1079011.8</x:v>
      </x:c>
      <x:c r="M221" t="n">
        <x:f>SUM(E221,J221:L221)</x:f>
        <x:v>4258959.680000001</x:v>
      </x:c>
      <x:c r="N221" t="n">
        <x:v>83000</x:v>
      </x:c>
      <x:c r="O221" t="n">
        <x:f>D221*N221</x:f>
        <x:v>830000</x:v>
      </x:c>
      <x:c r="P221" s="22" t="n">
        <x:f>IF(O221=0,0,(M221-O221)/O221)</x:f>
        <x:v>4.131276722891567</x:v>
      </x:c>
      <x:c r="Q221" s="20" t="n">
        <x:v>45462</x:v>
      </x:c>
    </x:row>
    <x:row r="222" ht="20" customHeight="1">
      <x:c r="A222" t="str">
        <x:v>WO00230</x:v>
      </x:c>
      <x:c r="B222" t="str">
        <x:v>LOT00230</x:v>
      </x:c>
      <x:c r="C222" t="str">
        <x:v>AUTO-LG-B</x:v>
      </x:c>
      <x:c r="D222" t="n">
        <x:v>4925</x:v>
      </x:c>
      <x:c r="E222" t="n">
        <x:v>3007581.43</x:v>
      </x:c>
      <x:c r="F222" t="n">
        <x:v>25.26</x:v>
      </x:c>
      <x:c r="G222" t="n">
        <x:v>0</x:v>
      </x:c>
      <x:c r="H222" t="n">
        <x:v>3.78</x:v>
      </x:c>
      <x:c r="I222" t="n">
        <x:v>1.11</x:v>
      </x:c>
      <x:c r="J222" t="n">
        <x:v>18233.4</x:v>
      </x:c>
      <x:c r="K222" t="n">
        <x:v>203342.56</x:v>
      </x:c>
      <x:c r="L222" t="n">
        <x:v>10536.6</x:v>
      </x:c>
      <x:c r="M222" t="n">
        <x:f>SUM(E222,J222:L222)</x:f>
        <x:v>3239693.99</x:v>
      </x:c>
      <x:c r="N222" t="n">
        <x:v>925</x:v>
      </x:c>
      <x:c r="O222" t="n">
        <x:f>D222*N222</x:f>
        <x:v>4555625</x:v>
      </x:c>
      <x:c r="P222" s="22" t="n">
        <x:f>IF(O222=0,0,(M222-O222)/O222)</x:f>
        <x:v>-0.28885850130333374</x:v>
      </x:c>
      <x:c r="Q222" s="20" t="n">
        <x:v>45443</x:v>
      </x:c>
    </x:row>
    <x:row r="223" ht="20" customHeight="1">
      <x:c r="A223" t="str">
        <x:v>WO00221</x:v>
      </x:c>
      <x:c r="B223" t="str">
        <x:v>LOT00221</x:v>
      </x:c>
      <x:c r="C223" t="str">
        <x:v>SEMI-CHB-A</x:v>
      </x:c>
      <x:c r="D223" t="n">
        <x:v>79</x:v>
      </x:c>
      <x:c r="E223" t="n">
        <x:v>3418671.41</x:v>
      </x:c>
      <x:c r="F223" t="n">
        <x:v>1.94</x:v>
      </x:c>
      <x:c r="G223" t="n">
        <x:v>0</x:v>
      </x:c>
      <x:c r="H223" t="n">
        <x:v>0.78</x:v>
      </x:c>
      <x:c r="I223" t="n">
        <x:v>2.7</x:v>
      </x:c>
      <x:c r="J223" t="n">
        <x:v>1635.4</x:v>
      </x:c>
      <x:c r="K223" t="n">
        <x:v>394646.5</x:v>
      </x:c>
      <x:c r="L223" t="n">
        <x:v>1672</x:v>
      </x:c>
      <x:c r="M223" t="n">
        <x:f>SUM(E223,J223:L223)</x:f>
        <x:v>3816625.31</x:v>
      </x:c>
      <x:c r="N223" t="n">
        <x:v>70000</x:v>
      </x:c>
      <x:c r="O223" t="n">
        <x:f>D223*N223</x:f>
        <x:v>5530000</x:v>
      </x:c>
      <x:c r="P223" s="22" t="n">
        <x:f>IF(O223=0,0,(M223-O223)/O223)</x:f>
        <x:v>-0.30983267450271246</x:v>
      </x:c>
      <x:c r="Q223" s="20" t="n">
        <x:v>45478</x:v>
      </x:c>
    </x:row>
    <x:row r="224" ht="20" customHeight="1">
      <x:c r="A224" t="str">
        <x:v>WO00222</x:v>
      </x:c>
      <x:c r="B224" t="str">
        <x:v>LOT00222</x:v>
      </x:c>
      <x:c r="C224" t="str">
        <x:v>SEMI-CHB-A</x:v>
      </x:c>
      <x:c r="D224" t="n">
        <x:v>79</x:v>
      </x:c>
      <x:c r="E224" t="n">
        <x:v>3546455.33</x:v>
      </x:c>
      <x:c r="F224" t="n">
        <x:v>2.26</x:v>
      </x:c>
      <x:c r="G224" t="n">
        <x:v>0</x:v>
      </x:c>
      <x:c r="H224" t="n">
        <x:v>0.76</x:v>
      </x:c>
      <x:c r="I224" t="n">
        <x:v>2.72</x:v>
      </x:c>
      <x:c r="J224" t="n">
        <x:v>1833.8</x:v>
      </x:c>
      <x:c r="K224" t="n">
        <x:v>372064.9</x:v>
      </x:c>
      <x:c r="L224" t="n">
        <x:v>1796.4</x:v>
      </x:c>
      <x:c r="M224" t="n">
        <x:f>SUM(E224,J224:L224)</x:f>
        <x:v>3922150.43</x:v>
      </x:c>
      <x:c r="N224" t="n">
        <x:v>70000</x:v>
      </x:c>
      <x:c r="O224" t="n">
        <x:f>D224*N224</x:f>
        <x:v>5530000</x:v>
      </x:c>
      <x:c r="P224" s="22" t="n">
        <x:f>IF(O224=0,0,(M224-O224)/O224)</x:f>
        <x:v>-0.2907503743218806</x:v>
      </x:c>
      <x:c r="Q224" s="20" t="n">
        <x:v>45470</x:v>
      </x:c>
    </x:row>
    <x:row r="225" ht="20" customHeight="1">
      <x:c r="A225" t="str">
        <x:v>WO00218</x:v>
      </x:c>
      <x:c r="B225" t="str">
        <x:v>LOT00218</x:v>
      </x:c>
      <x:c r="C225" t="str">
        <x:v>AUTO-BS-A</x:v>
      </x:c>
      <x:c r="D225" t="n">
        <x:v>4939</x:v>
      </x:c>
      <x:c r="E225" t="n">
        <x:v>1671491.62</x:v>
      </x:c>
      <x:c r="F225" t="n">
        <x:v>25.92</x:v>
      </x:c>
      <x:c r="G225" t="n">
        <x:v>0</x:v>
      </x:c>
      <x:c r="H225" t="n">
        <x:v>3.64</x:v>
      </x:c>
      <x:c r="I225" t="n">
        <x:v>1.29</x:v>
      </x:c>
      <x:c r="J225" t="n">
        <x:v>18595.2</x:v>
      </x:c>
      <x:c r="K225" t="n">
        <x:v>159118.93</x:v>
      </x:c>
      <x:c r="L225" t="n">
        <x:v>10819</x:v>
      </x:c>
      <x:c r="M225" t="n">
        <x:f>SUM(E225,J225:L225)</x:f>
        <x:v>1860024.75</x:v>
      </x:c>
      <x:c r="N225" t="n">
        <x:v>550</x:v>
      </x:c>
      <x:c r="O225" t="n">
        <x:f>D225*N225</x:f>
        <x:v>2716450</x:v>
      </x:c>
      <x:c r="P225" s="22" t="n">
        <x:f>IF(O225=0,0,(M225-O225)/O225)</x:f>
        <x:v>-0.3152737028106536</x:v>
      </x:c>
      <x:c r="Q225" s="20" t="n">
        <x:v>45443</x:v>
      </x:c>
    </x:row>
    <x:row r="226" ht="20" customHeight="1">
      <x:c r="A226" t="str">
        <x:v>WO00224</x:v>
      </x:c>
      <x:c r="B226" t="str">
        <x:v>LOT00224</x:v>
      </x:c>
      <x:c r="C226" t="str">
        <x:v>SEMI-WH-B</x:v>
      </x:c>
      <x:c r="D226" t="n">
        <x:v>39</x:v>
      </x:c>
      <x:c r="E226" t="n">
        <x:v>3295608.3</x:v>
      </x:c>
      <x:c r="F226" t="n">
        <x:v>0.95</x:v>
      </x:c>
      <x:c r="G226" t="n">
        <x:v>0</x:v>
      </x:c>
      <x:c r="H226" t="n">
        <x:v>0.39</x:v>
      </x:c>
      <x:c r="I226" t="n">
        <x:v>2.76</x:v>
      </x:c>
      <x:c r="J226" t="n">
        <x:v>804.7</x:v>
      </x:c>
      <x:c r="K226" t="n">
        <x:v>388393.55</x:v>
      </x:c>
      <x:c r="L226" t="n">
        <x:v>1251.4</x:v>
      </x:c>
      <x:c r="M226" t="n">
        <x:f>SUM(E226,J226:L226)</x:f>
        <x:v>3686057.9499999997</x:v>
      </x:c>
      <x:c r="N226" t="n">
        <x:v>130000</x:v>
      </x:c>
      <x:c r="O226" t="n">
        <x:f>D226*N226</x:f>
        <x:v>5070000</x:v>
      </x:c>
      <x:c r="P226" s="22" t="n">
        <x:f>IF(O226=0,0,(M226-O226)/O226)</x:f>
        <x:v>-0.2729668737672584</x:v>
      </x:c>
      <x:c r="Q226" s="20" t="n">
        <x:v>45486</x:v>
      </x:c>
    </x:row>
    <x:row r="227" ht="20" customHeight="1">
      <x:c r="A227" t="str">
        <x:v>WO00244</x:v>
      </x:c>
      <x:c r="B227" t="str">
        <x:v>LOT00244</x:v>
      </x:c>
      <x:c r="C227" t="str">
        <x:v>AUTO-MH-A</x:v>
      </x:c>
      <x:c r="D227" t="n">
        <x:v>4972</x:v>
      </x:c>
      <x:c r="E227" t="n">
        <x:v>6590802.01</x:v>
      </x:c>
      <x:c r="F227" t="n">
        <x:v>26.55</x:v>
      </x:c>
      <x:c r="G227" t="n">
        <x:v>0</x:v>
      </x:c>
      <x:c r="H227" t="n">
        <x:v>4.52</x:v>
      </x:c>
      <x:c r="I227" t="n">
        <x:v>1.1</x:v>
      </x:c>
      <x:c r="J227" t="n">
        <x:v>19427.1</x:v>
      </x:c>
      <x:c r="K227" t="n">
        <x:v>391078.51</x:v>
      </x:c>
      <x:c r="L227" t="n">
        <x:v>11142.2</x:v>
      </x:c>
      <x:c r="M227" t="n">
        <x:f>SUM(E227,J227:L227)</x:f>
        <x:v>7012449.819999999</x:v>
      </x:c>
      <x:c r="N227" t="n">
        <x:v>1970</x:v>
      </x:c>
      <x:c r="O227" t="n">
        <x:f>D227*N227</x:f>
        <x:v>9794840</x:v>
      </x:c>
      <x:c r="P227" s="22" t="n">
        <x:f>IF(O227=0,0,(M227-O227)/O227)</x:f>
        <x:v>-0.2840669352434548</x:v>
      </x:c>
      <x:c r="Q227" s="20" t="n">
        <x:v>45449</x:v>
      </x:c>
    </x:row>
    <x:row r="228" ht="20" customHeight="1">
      <x:c r="A228" t="str">
        <x:v>WO00243</x:v>
      </x:c>
      <x:c r="B228" t="str">
        <x:v>LOT00243</x:v>
      </x:c>
      <x:c r="C228" t="str">
        <x:v>AUTO-MH-A</x:v>
      </x:c>
      <x:c r="D228" t="n">
        <x:v>4962</x:v>
      </x:c>
      <x:c r="E228" t="n">
        <x:v>6513869.15</x:v>
      </x:c>
      <x:c r="F228" t="n">
        <x:v>28.15</x:v>
      </x:c>
      <x:c r="G228" t="n">
        <x:v>0</x:v>
      </x:c>
      <x:c r="H228" t="n">
        <x:v>4.2</x:v>
      </x:c>
      <x:c r="I228" t="n">
        <x:v>1.31</x:v>
      </x:c>
      <x:c r="J228" t="n">
        <x:v>20313.5</x:v>
      </x:c>
      <x:c r="K228" t="n">
        <x:v>368609.65</x:v>
      </x:c>
      <x:c r="L228" t="n">
        <x:v>11762</x:v>
      </x:c>
      <x:c r="M228" t="n">
        <x:f>SUM(E228,J228:L228)</x:f>
        <x:v>6914554.300000001</x:v>
      </x:c>
      <x:c r="N228" t="n">
        <x:v>1970</x:v>
      </x:c>
      <x:c r="O228" t="n">
        <x:f>D228*N228</x:f>
        <x:v>9775140</x:v>
      </x:c>
      <x:c r="P228" s="22" t="n">
        <x:f>IF(O228=0,0,(M228-O228)/O228)</x:f>
        <x:v>-0.29263884711625604</x:v>
      </x:c>
      <x:c r="Q228" s="20" t="n">
        <x:v>45446</x:v>
      </x:c>
    </x:row>
    <x:row r="229" ht="20" customHeight="1">
      <x:c r="A229" t="str">
        <x:v>WO00229</x:v>
      </x:c>
      <x:c r="B229" t="str">
        <x:v>LOT00229</x:v>
      </x:c>
      <x:c r="C229" t="str">
        <x:v>AUTO-BS-A</x:v>
      </x:c>
      <x:c r="D229" t="n">
        <x:v>4984</x:v>
      </x:c>
      <x:c r="E229" t="n">
        <x:v>1662826.37</x:v>
      </x:c>
      <x:c r="F229" t="n">
        <x:v>28.22</x:v>
      </x:c>
      <x:c r="G229" t="n">
        <x:v>0</x:v>
      </x:c>
      <x:c r="H229" t="n">
        <x:v>3.62</x:v>
      </x:c>
      <x:c r="I229" t="n">
        <x:v>1.15</x:v>
      </x:c>
      <x:c r="J229" t="n">
        <x:v>20080.6</x:v>
      </x:c>
      <x:c r="K229" t="n">
        <x:v>156351.87</x:v>
      </x:c>
      <x:c r="L229" t="n">
        <x:v>11647.8</x:v>
      </x:c>
      <x:c r="M229" t="n">
        <x:f>SUM(E229,J229:L229)</x:f>
        <x:v>1850906.6400000001</x:v>
      </x:c>
      <x:c r="N229" t="n">
        <x:v>550</x:v>
      </x:c>
      <x:c r="O229" t="n">
        <x:f>D229*N229</x:f>
        <x:v>2741200</x:v>
      </x:c>
      <x:c r="P229" s="22" t="n">
        <x:f>IF(O229=0,0,(M229-O229)/O229)</x:f>
        <x:v>-0.3247823434991974</x:v>
      </x:c>
      <x:c r="Q229" s="20" t="n">
        <x:v>45442</x:v>
      </x:c>
    </x:row>
    <x:row r="230" ht="20" customHeight="1">
      <x:c r="A230" t="str">
        <x:v>WO00245</x:v>
      </x:c>
      <x:c r="B230" t="str">
        <x:v>LOT00245</x:v>
      </x:c>
      <x:c r="C230" t="str">
        <x:v>AUTO-BRK-A</x:v>
      </x:c>
      <x:c r="D230" t="n">
        <x:v>4894</x:v>
      </x:c>
      <x:c r="E230" t="n">
        <x:v>4390905.83</x:v>
      </x:c>
      <x:c r="F230" t="n">
        <x:v>23.2</x:v>
      </x:c>
      <x:c r="G230" t="n">
        <x:v>0</x:v>
      </x:c>
      <x:c r="H230" t="n">
        <x:v>3.72</x:v>
      </x:c>
      <x:c r="I230" t="n">
        <x:v>1.18</x:v>
      </x:c>
      <x:c r="J230" t="n">
        <x:v>16865.6</x:v>
      </x:c>
      <x:c r="K230" t="n">
        <x:v>382343.69</x:v>
      </x:c>
      <x:c r="L230" t="n">
        <x:v>9765.2</x:v>
      </x:c>
      <x:c r="M230" t="n">
        <x:f>SUM(E230,J230:L230)</x:f>
        <x:v>4799880.32</x:v>
      </x:c>
      <x:c r="N230" t="n">
        <x:v>1380</x:v>
      </x:c>
      <x:c r="O230" t="n">
        <x:f>D230*N230</x:f>
        <x:v>6753720</x:v>
      </x:c>
      <x:c r="P230" s="22" t="n">
        <x:f>IF(O230=0,0,(M230-O230)/O230)</x:f>
        <x:v>-0.28929829486564435</x:v>
      </x:c>
      <x:c r="Q230" s="20" t="n">
        <x:v>45444</x:v>
      </x:c>
    </x:row>
    <x:row r="231" ht="20" customHeight="1">
      <x:c r="A231" t="str">
        <x:v>WO00228</x:v>
      </x:c>
      <x:c r="B231" t="str">
        <x:v>LOT00228</x:v>
      </x:c>
      <x:c r="C231" t="str">
        <x:v>AUTO-BS-A</x:v>
      </x:c>
      <x:c r="D231" t="n">
        <x:v>4933</x:v>
      </x:c>
      <x:c r="E231" t="n">
        <x:v>1631752.28</x:v>
      </x:c>
      <x:c r="F231" t="n">
        <x:v>26.8</x:v>
      </x:c>
      <x:c r="G231" t="n">
        <x:v>0</x:v>
      </x:c>
      <x:c r="H231" t="n">
        <x:v>4.53</x:v>
      </x:c>
      <x:c r="I231" t="n">
        <x:v>1.13</x:v>
      </x:c>
      <x:c r="J231" t="n">
        <x:v>19594.4</x:v>
      </x:c>
      <x:c r="K231" t="n">
        <x:v>145245.6</x:v>
      </x:c>
      <x:c r="L231" t="n">
        <x:v>11247.8</x:v>
      </x:c>
      <x:c r="M231" t="n">
        <x:f>SUM(E231,J231:L231)</x:f>
        <x:v>1807840.08</x:v>
      </x:c>
      <x:c r="N231" t="n">
        <x:v>550</x:v>
      </x:c>
      <x:c r="O231" t="n">
        <x:f>D231*N231</x:f>
        <x:v>2713150</x:v>
      </x:c>
      <x:c r="P231" s="22" t="n">
        <x:f>IF(O231=0,0,(M231-O231)/O231)</x:f>
        <x:v>-0.3336748502662956</x:v>
      </x:c>
      <x:c r="Q231" s="20" t="n">
        <x:v>45440</x:v>
      </x:c>
    </x:row>
    <x:row r="232" ht="20" customHeight="1">
      <x:c r="A232" t="str">
        <x:v>WO00239</x:v>
      </x:c>
      <x:c r="B232" t="str">
        <x:v>LOT00239</x:v>
      </x:c>
      <x:c r="C232" t="str">
        <x:v>AUTO-BS-B</x:v>
      </x:c>
      <x:c r="D232" t="n">
        <x:v>6864</x:v>
      </x:c>
      <x:c r="E232" t="n">
        <x:v>2656155.6</x:v>
      </x:c>
      <x:c r="F232" t="n">
        <x:v>34.22</x:v>
      </x:c>
      <x:c r="G232" t="n">
        <x:v>0</x:v>
      </x:c>
      <x:c r="H232" t="n">
        <x:v>5.11</x:v>
      </x:c>
      <x:c r="I232" t="n">
        <x:v>1.35</x:v>
      </x:c>
      <x:c r="J232" t="n">
        <x:v>24695.8</x:v>
      </x:c>
      <x:c r="K232" t="n">
        <x:v>250001.03</x:v>
      </x:c>
      <x:c r="L232" t="n">
        <x:v>14226.2</x:v>
      </x:c>
      <x:c r="M232" t="n">
        <x:f>SUM(E232,J232:L232)</x:f>
        <x:v>2945078.63</x:v>
      </x:c>
      <x:c r="N232" t="n">
        <x:v>650</x:v>
      </x:c>
      <x:c r="O232" t="n">
        <x:f>D232*N232</x:f>
        <x:v>4461600</x:v>
      </x:c>
      <x:c r="P232" s="22" t="n">
        <x:f>IF(O232=0,0,(M232-O232)/O232)</x:f>
        <x:v>-0.3399052738927739</x:v>
      </x:c>
      <x:c r="Q232" s="20" t="n">
        <x:v>45450</x:v>
      </x:c>
    </x:row>
    <x:row r="233" ht="20" customHeight="1">
      <x:c r="A233" t="str">
        <x:v>WO00231</x:v>
      </x:c>
      <x:c r="B233" t="str">
        <x:v>LOT00231</x:v>
      </x:c>
      <x:c r="C233" t="str">
        <x:v>AUTO-BS-B</x:v>
      </x:c>
      <x:c r="D233" t="n">
        <x:v>4948</x:v>
      </x:c>
      <x:c r="E233" t="n">
        <x:v>1909132.6</x:v>
      </x:c>
      <x:c r="F233" t="n">
        <x:v>23.37</x:v>
      </x:c>
      <x:c r="G233" t="n">
        <x:v>0</x:v>
      </x:c>
      <x:c r="H233" t="n">
        <x:v>4.04</x:v>
      </x:c>
      <x:c r="I233" t="n">
        <x:v>1.34</x:v>
      </x:c>
      <x:c r="J233" t="n">
        <x:v>17129.7</x:v>
      </x:c>
      <x:c r="K233" t="n">
        <x:v>177270.37</x:v>
      </x:c>
      <x:c r="L233" t="n">
        <x:v>9929</x:v>
      </x:c>
      <x:c r="M233" t="n">
        <x:f>SUM(E233,J233:L233)</x:f>
        <x:v>2113461.67</x:v>
      </x:c>
      <x:c r="N233" t="n">
        <x:v>650</x:v>
      </x:c>
      <x:c r="O233" t="n">
        <x:f>D233*N233</x:f>
        <x:v>3216200</x:v>
      </x:c>
      <x:c r="P233" s="22" t="n">
        <x:f>IF(O233=0,0,(M233-O233)/O233)</x:f>
        <x:v>-0.34286994900814627</x:v>
      </x:c>
      <x:c r="Q233" s="20" t="n">
        <x:v>45444</x:v>
      </x:c>
    </x:row>
    <x:row r="234" ht="20" customHeight="1">
      <x:c r="A234" t="str">
        <x:v>WO00241</x:v>
      </x:c>
      <x:c r="B234" t="str">
        <x:v>LOT00241</x:v>
      </x:c>
      <x:c r="C234" t="str">
        <x:v>AUTO-MH-A</x:v>
      </x:c>
      <x:c r="D234" t="n">
        <x:v>6418</x:v>
      </x:c>
      <x:c r="E234" t="n">
        <x:v>8712801.8</x:v>
      </x:c>
      <x:c r="F234" t="n">
        <x:v>33.7</x:v>
      </x:c>
      <x:c r="G234" t="n">
        <x:v>0</x:v>
      </x:c>
      <x:c r="H234" t="n">
        <x:v>5.06</x:v>
      </x:c>
      <x:c r="I234" t="n">
        <x:v>1.32</x:v>
      </x:c>
      <x:c r="J234" t="n">
        <x:v>24333.8</x:v>
      </x:c>
      <x:c r="K234" t="n">
        <x:v>487192.99</x:v>
      </x:c>
      <x:c r="L234" t="n">
        <x:v>14011.6</x:v>
      </x:c>
      <x:c r="M234" t="n">
        <x:f>SUM(E234,J234:L234)</x:f>
        <x:v>9238340.190000001</x:v>
      </x:c>
      <x:c r="N234" t="n">
        <x:v>1970</x:v>
      </x:c>
      <x:c r="O234" t="n">
        <x:f>D234*N234</x:f>
        <x:v>12643460</x:v>
      </x:c>
      <x:c r="P234" s="22" t="n">
        <x:f>IF(O234=0,0,(M234-O234)/O234)</x:f>
        <x:v>-0.2693186683075676</x:v>
      </x:c>
      <x:c r="Q234" s="20" t="n">
        <x:v>45454</x:v>
      </x:c>
    </x:row>
    <x:row r="235" ht="20" customHeight="1">
      <x:c r="A235" t="str">
        <x:v>WO00236</x:v>
      </x:c>
      <x:c r="B235" t="str">
        <x:v>LOT00236</x:v>
      </x:c>
      <x:c r="C235" t="str">
        <x:v>PM-VAC-A</x:v>
      </x:c>
      <x:c r="D235" t="n">
        <x:v>489</x:v>
      </x:c>
      <x:c r="E235" t="n">
        <x:v>3094224.52</x:v>
      </x:c>
      <x:c r="F235" t="n">
        <x:v>4.31</x:v>
      </x:c>
      <x:c r="G235" t="n">
        <x:v>0</x:v>
      </x:c>
      <x:c r="H235" t="n">
        <x:v>1.04</x:v>
      </x:c>
      <x:c r="I235" t="n">
        <x:v>1.51</x:v>
      </x:c>
      <x:c r="J235" t="n">
        <x:v>3300.7</x:v>
      </x:c>
      <x:c r="K235" t="n">
        <x:v>387738.98</x:v>
      </x:c>
      <x:c r="L235" t="n">
        <x:v>2257.2</x:v>
      </x:c>
      <x:c r="M235" t="n">
        <x:f>SUM(E235,J235:L235)</x:f>
        <x:v>3487521.4</x:v>
      </x:c>
      <x:c r="N235" t="n">
        <x:v>10800</x:v>
      </x:c>
      <x:c r="O235" t="n">
        <x:f>D235*N235</x:f>
        <x:v>5281200</x:v>
      </x:c>
      <x:c r="P235" s="22" t="n">
        <x:f>IF(O235=0,0,(M235-O235)/O235)</x:f>
        <x:v>-0.33963466636370526</x:v>
      </x:c>
      <x:c r="Q235" s="20" t="n">
        <x:v>45471</x:v>
      </x:c>
    </x:row>
    <x:row r="236" ht="20" customHeight="1">
      <x:c r="A236" t="str">
        <x:v>WO00240</x:v>
      </x:c>
      <x:c r="B236" t="str">
        <x:v>LOT00240</x:v>
      </x:c>
      <x:c r="C236" t="str">
        <x:v>AUTO-MH-A</x:v>
      </x:c>
      <x:c r="D236" t="n">
        <x:v>6417</x:v>
      </x:c>
      <x:c r="E236" t="n">
        <x:v>9022684.01</x:v>
      </x:c>
      <x:c r="F236" t="n">
        <x:v>37.28</x:v>
      </x:c>
      <x:c r="G236" t="n">
        <x:v>0</x:v>
      </x:c>
      <x:c r="H236" t="n">
        <x:v>4.67</x:v>
      </x:c>
      <x:c r="I236" t="n">
        <x:v>1.11</x:v>
      </x:c>
      <x:c r="J236" t="n">
        <x:v>26473.6</x:v>
      </x:c>
      <x:c r="K236" t="n">
        <x:v>571055.21</x:v>
      </x:c>
      <x:c r="L236" t="n">
        <x:v>15246.6</x:v>
      </x:c>
      <x:c r="M236" t="n">
        <x:f>SUM(E236,J236:L236)</x:f>
        <x:v>9635459.42</x:v>
      </x:c>
      <x:c r="N236" t="n">
        <x:v>1970</x:v>
      </x:c>
      <x:c r="O236" t="n">
        <x:f>D236*N236</x:f>
        <x:v>12641490</x:v>
      </x:c>
      <x:c r="P236" s="22" t="n">
        <x:f>IF(O236=0,0,(M236-O236)/O236)</x:f>
        <x:v>-0.23779084427547703</x:v>
      </x:c>
      <x:c r="Q236" s="20" t="n">
        <x:v>45455</x:v>
      </x:c>
    </x:row>
    <x:row r="237" ht="20" customHeight="1">
      <x:c r="A237" t="str">
        <x:v>WO00234</x:v>
      </x:c>
      <x:c r="B237" t="str">
        <x:v>LOT00234</x:v>
      </x:c>
      <x:c r="C237" t="str">
        <x:v>AUTO-MH-B</x:v>
      </x:c>
      <x:c r="D237" t="n">
        <x:v>4886</x:v>
      </x:c>
      <x:c r="E237" t="n">
        <x:v>8038728.61</x:v>
      </x:c>
      <x:c r="F237" t="n">
        <x:v>23.26</x:v>
      </x:c>
      <x:c r="G237" t="n">
        <x:v>0</x:v>
      </x:c>
      <x:c r="H237" t="n">
        <x:v>3.82</x:v>
      </x:c>
      <x:c r="I237" t="n">
        <x:v>1.2</x:v>
      </x:c>
      <x:c r="J237" t="n">
        <x:v>16952.6</x:v>
      </x:c>
      <x:c r="K237" t="n">
        <x:v>421404.05</x:v>
      </x:c>
      <x:c r="L237" t="n">
        <x:v>9810</x:v>
      </x:c>
      <x:c r="M237" t="n">
        <x:f>SUM(E237,J237:L237)</x:f>
        <x:v>8486895.26</x:v>
      </x:c>
      <x:c r="N237" t="n">
        <x:v>2320</x:v>
      </x:c>
      <x:c r="O237" t="n">
        <x:f>D237*N237</x:f>
        <x:v>11335520</x:v>
      </x:c>
      <x:c r="P237" s="22" t="n">
        <x:f>IF(O237=0,0,(M237-O237)/O237)</x:f>
        <x:v>-0.25130075550129155</x:v>
      </x:c>
      <x:c r="Q237" s="20" t="n">
        <x:v>45457</x:v>
      </x:c>
    </x:row>
    <x:row r="238" ht="20" customHeight="1">
      <x:c r="A238" t="str">
        <x:v>WO00235</x:v>
      </x:c>
      <x:c r="B238" t="str">
        <x:v>LOT00235</x:v>
      </x:c>
      <x:c r="C238" t="str">
        <x:v>AUTO-MH-B</x:v>
      </x:c>
      <x:c r="D238" t="n">
        <x:v>5000</x:v>
      </x:c>
      <x:c r="E238" t="n">
        <x:v>8203757.47</x:v>
      </x:c>
      <x:c r="F238" t="n">
        <x:v>24.95</x:v>
      </x:c>
      <x:c r="G238" t="n">
        <x:v>0</x:v>
      </x:c>
      <x:c r="H238" t="n">
        <x:v>4.6</x:v>
      </x:c>
      <x:c r="I238" t="n">
        <x:v>1.19</x:v>
      </x:c>
      <x:c r="J238" t="n">
        <x:v>18425.5</x:v>
      </x:c>
      <x:c r="K238" t="n">
        <x:v>502590.26</x:v>
      </x:c>
      <x:c r="L238" t="n">
        <x:v>10574</x:v>
      </x:c>
      <x:c r="M238" t="n">
        <x:f>SUM(E238,J238:L238)</x:f>
        <x:v>8735347.23</x:v>
      </x:c>
      <x:c r="N238" t="n">
        <x:v>2320</x:v>
      </x:c>
      <x:c r="O238" t="n">
        <x:f>D238*N238</x:f>
        <x:v>11600000</x:v>
      </x:c>
      <x:c r="P238" s="22" t="n">
        <x:f>IF(O238=0,0,(M238-O238)/O238)</x:f>
        <x:v>-0.24695282499999996</x:v>
      </x:c>
      <x:c r="Q238" s="20" t="n">
        <x:v>45457</x:v>
      </x:c>
    </x:row>
    <x:row r="239" ht="20" customHeight="1">
      <x:c r="A239" t="str">
        <x:v>WO00247</x:v>
      </x:c>
      <x:c r="B239" t="str">
        <x:v>LOT00247</x:v>
      </x:c>
      <x:c r="C239" t="str">
        <x:v>PM-ALB-A</x:v>
      </x:c>
      <x:c r="D239" t="n">
        <x:v>784</x:v>
      </x:c>
      <x:c r="E239" t="n">
        <x:v>4420533.26</x:v>
      </x:c>
      <x:c r="F239" t="n">
        <x:v>7.56</x:v>
      </x:c>
      <x:c r="G239" t="n">
        <x:v>0</x:v>
      </x:c>
      <x:c r="H239" t="n">
        <x:v>1.56</x:v>
      </x:c>
      <x:c r="I239" t="n">
        <x:v>1.52</x:v>
      </x:c>
      <x:c r="J239" t="n">
        <x:v>5662.8</x:v>
      </x:c>
      <x:c r="K239" t="n">
        <x:v>241148.52</x:v>
      </x:c>
      <x:c r="L239" t="n">
        <x:v>3578.4</x:v>
      </x:c>
      <x:c r="M239" t="n">
        <x:f>SUM(E239,J239:L239)</x:f>
        <x:v>4670922.9799999995</x:v>
      </x:c>
      <x:c r="N239" t="n">
        <x:v>8100</x:v>
      </x:c>
      <x:c r="O239" t="n">
        <x:f>D239*N239</x:f>
        <x:v>6350400</x:v>
      </x:c>
      <x:c r="P239" s="22" t="n">
        <x:f>IF(O239=0,0,(M239-O239)/O239)</x:f>
        <x:v>-0.2644679106827917</x:v>
      </x:c>
      <x:c r="Q239" s="20" t="n">
        <x:v>45462</x:v>
      </x:c>
    </x:row>
    <x:row r="240" ht="20" customHeight="1">
      <x:c r="A240" t="str">
        <x:v>WO00232</x:v>
      </x:c>
      <x:c r="B240" t="str">
        <x:v>LOT00232</x:v>
      </x:c>
      <x:c r="C240" t="str">
        <x:v>PM-SUS-B</x:v>
      </x:c>
      <x:c r="D240" t="n">
        <x:v>791</x:v>
      </x:c>
      <x:c r="E240" t="n">
        <x:v>5332669.92</x:v>
      </x:c>
      <x:c r="F240" t="n">
        <x:v>6.99</x:v>
      </x:c>
      <x:c r="G240" t="n">
        <x:v>0</x:v>
      </x:c>
      <x:c r="H240" t="n">
        <x:v>1.45</x:v>
      </x:c>
      <x:c r="I240" t="n">
        <x:v>1.69</x:v>
      </x:c>
      <x:c r="J240" t="n">
        <x:v>5239.5</x:v>
      </x:c>
      <x:c r="K240" t="n">
        <x:v>532403.65</x:v>
      </x:c>
      <x:c r="L240" t="n">
        <x:v>3395.2</x:v>
      </x:c>
      <x:c r="M240" t="n">
        <x:f>SUM(E240,J240:L240)</x:f>
        <x:v>5873708.27</x:v>
      </x:c>
      <x:c r="N240" t="n">
        <x:v>11100</x:v>
      </x:c>
      <x:c r="O240" t="n">
        <x:f>D240*N240</x:f>
        <x:v>8780100</x:v>
      </x:c>
      <x:c r="P240" s="22" t="n">
        <x:f>IF(O240=0,0,(M240-O240)/O240)</x:f>
        <x:v>-0.3310203448707874</x:v>
      </x:c>
      <x:c r="Q240" s="20" t="n">
        <x:v>45472</x:v>
      </x:c>
    </x:row>
    <x:row r="241" ht="20" customHeight="1">
      <x:c r="A241" t="str">
        <x:v>WO00233</x:v>
      </x:c>
      <x:c r="B241" t="str">
        <x:v>LOT00233</x:v>
      </x:c>
      <x:c r="C241" t="str">
        <x:v>PM-SUS-B</x:v>
      </x:c>
      <x:c r="D241" t="n">
        <x:v>789</x:v>
      </x:c>
      <x:c r="E241" t="n">
        <x:v>5243472.04</x:v>
      </x:c>
      <x:c r="F241" t="n">
        <x:v>6.46</x:v>
      </x:c>
      <x:c r="G241" t="n">
        <x:v>0</x:v>
      </x:c>
      <x:c r="H241" t="n">
        <x:v>1.53</x:v>
      </x:c>
      <x:c r="I241" t="n">
        <x:v>1.73</x:v>
      </x:c>
      <x:c r="J241" t="n">
        <x:v>4933.4</x:v>
      </x:c>
      <x:c r="K241" t="n">
        <x:v>531517.55</x:v>
      </x:c>
      <x:c r="L241" t="n">
        <x:v>3218.6</x:v>
      </x:c>
      <x:c r="M241" t="n">
        <x:f>SUM(E241,J241:L241)</x:f>
        <x:v>5783141.59</x:v>
      </x:c>
      <x:c r="N241" t="n">
        <x:v>11100</x:v>
      </x:c>
      <x:c r="O241" t="n">
        <x:f>D241*N241</x:f>
        <x:v>8757900</x:v>
      </x:c>
      <x:c r="P241" s="22" t="n">
        <x:f>IF(O241=0,0,(M241-O241)/O241)</x:f>
        <x:v>-0.3396657200927163</x:v>
      </x:c>
      <x:c r="Q241" s="20" t="n">
        <x:v>45466</x:v>
      </x:c>
    </x:row>
    <x:row r="242" ht="20" customHeight="1">
      <x:c r="A242" t="str">
        <x:v>WO00246</x:v>
      </x:c>
      <x:c r="B242" t="str">
        <x:v>LOT00246</x:v>
      </x:c>
      <x:c r="C242" t="str">
        <x:v>PM-ALB-A</x:v>
      </x:c>
      <x:c r="D242" t="n">
        <x:v>794</x:v>
      </x:c>
      <x:c r="E242" t="n">
        <x:v>4180868.99</x:v>
      </x:c>
      <x:c r="F242" t="n">
        <x:v>7.25</x:v>
      </x:c>
      <x:c r="G242" t="n">
        <x:v>0</x:v>
      </x:c>
      <x:c r="H242" t="n">
        <x:v>1.63</x:v>
      </x:c>
      <x:c r="I242" t="n">
        <x:v>1.71</x:v>
      </x:c>
      <x:c r="J242" t="n">
        <x:v>5494.9</x:v>
      </x:c>
      <x:c r="K242" t="n">
        <x:v>232787.56</x:v>
      </x:c>
      <x:c r="L242" t="n">
        <x:v>3528.8</x:v>
      </x:c>
      <x:c r="M242" t="n">
        <x:f>SUM(E242,J242:L242)</x:f>
        <x:v>4422680.25</x:v>
      </x:c>
      <x:c r="N242" t="n">
        <x:v>8100</x:v>
      </x:c>
      <x:c r="O242" t="n">
        <x:f>D242*N242</x:f>
        <x:v>6431400</x:v>
      </x:c>
      <x:c r="P242" s="22" t="n">
        <x:f>IF(O242=0,0,(M242-O242)/O242)</x:f>
        <x:v>-0.312330091426439</x:v>
      </x:c>
      <x:c r="Q242" s="20" t="n">
        <x:v>45462</x:v>
      </x:c>
    </x:row>
    <x:row r="243" ht="20" customHeight="1">
      <x:c r="A243" t="str">
        <x:v>WO00223</x:v>
      </x:c>
      <x:c r="B243" t="str">
        <x:v>LOT00223</x:v>
      </x:c>
      <x:c r="C243" t="str">
        <x:v>PM-SUS-A</x:v>
      </x:c>
      <x:c r="D243" t="n">
        <x:v>781</x:v>
      </x:c>
      <x:c r="E243" t="n">
        <x:v>3486217.54</x:v>
      </x:c>
      <x:c r="F243" t="n">
        <x:v>6.98</x:v>
      </x:c>
      <x:c r="G243" t="n">
        <x:v>0</x:v>
      </x:c>
      <x:c r="H243" t="n">
        <x:v>1.5</x:v>
      </x:c>
      <x:c r="I243" t="n">
        <x:v>1.55</x:v>
      </x:c>
      <x:c r="J243" t="n">
        <x:v>5257</x:v>
      </x:c>
      <x:c r="K243" t="n">
        <x:v>375517.45</x:v>
      </x:c>
      <x:c r="L243" t="n">
        <x:v>3357.4</x:v>
      </x:c>
      <x:c r="M243" t="n">
        <x:f>SUM(E243,J243:L243)</x:f>
        <x:v>3870349.39</x:v>
      </x:c>
      <x:c r="N243" t="n">
        <x:v>7500</x:v>
      </x:c>
      <x:c r="O243" t="n">
        <x:f>D243*N243</x:f>
        <x:v>5857500</x:v>
      </x:c>
      <x:c r="P243" s="22" t="n">
        <x:f>IF(O243=0,0,(M243-O243)/O243)</x:f>
        <x:v>-0.33924893043107124</x:v>
      </x:c>
      <x:c r="Q243" s="20" t="n">
        <x:v>45459</x:v>
      </x:c>
    </x:row>
    <x:row r="244" ht="20" customHeight="1">
      <x:c r="A244" t="str">
        <x:v>WO00248</x:v>
      </x:c>
      <x:c r="B244" t="str">
        <x:v>LOT00248</x:v>
      </x:c>
      <x:c r="C244" t="str">
        <x:v>PM-BRG-B</x:v>
      </x:c>
      <x:c r="D244" t="n">
        <x:v>491</x:v>
      </x:c>
      <x:c r="E244" t="n">
        <x:v>1541975.21</x:v>
      </x:c>
      <x:c r="F244" t="n">
        <x:v>4.83</x:v>
      </x:c>
      <x:c r="G244" t="n">
        <x:v>0</x:v>
      </x:c>
      <x:c r="H244" t="n">
        <x:v>1.03</x:v>
      </x:c>
      <x:c r="I244" t="n">
        <x:v>1.79</x:v>
      </x:c>
      <x:c r="J244" t="n">
        <x:v>3633.9</x:v>
      </x:c>
      <x:c r="K244" t="n">
        <x:v>139781.2</x:v>
      </x:c>
      <x:c r="L244" t="n">
        <x:v>2537.2</x:v>
      </x:c>
      <x:c r="M244" t="n">
        <x:f>SUM(E244,J244:L244)</x:f>
        <x:v>1687927.51</x:v>
      </x:c>
      <x:c r="N244" t="n">
        <x:v>5400</x:v>
      </x:c>
      <x:c r="O244" t="n">
        <x:f>D244*N244</x:f>
        <x:v>2651400</x:v>
      </x:c>
      <x:c r="P244" s="22" t="n">
        <x:f>IF(O244=0,0,(M244-O244)/O244)</x:f>
        <x:v>-0.3633825488421211</x:v>
      </x:c>
      <x:c r="Q244" s="20" t="n">
        <x:v>45468</x:v>
      </x:c>
    </x:row>
    <x:row r="245" ht="20" customHeight="1">
      <x:c r="A245" t="str">
        <x:v>WO00219</x:v>
      </x:c>
      <x:c r="B245" t="str">
        <x:v>LOT00219</x:v>
      </x:c>
      <x:c r="C245" t="str">
        <x:v>AUTO-FL-B</x:v>
      </x:c>
      <x:c r="D245" t="n">
        <x:v>4949</x:v>
      </x:c>
      <x:c r="E245" t="n">
        <x:v>3994892.3</x:v>
      </x:c>
      <x:c r="F245" t="n">
        <x:v>27.7</x:v>
      </x:c>
      <x:c r="G245" t="n">
        <x:v>0</x:v>
      </x:c>
      <x:c r="H245" t="n">
        <x:v>4.15</x:v>
      </x:c>
      <x:c r="I245" t="n">
        <x:v>1.11</x:v>
      </x:c>
      <x:c r="J245" t="n">
        <x:v>19997</x:v>
      </x:c>
      <x:c r="K245" t="n">
        <x:v>322167.41</x:v>
      </x:c>
      <x:c r="L245" t="n">
        <x:v>11523</x:v>
      </x:c>
      <x:c r="M245" t="n">
        <x:f>SUM(E245,J245:L245)</x:f>
        <x:v>4348579.71</x:v>
      </x:c>
      <x:c r="N245" t="n">
        <x:v>1170</x:v>
      </x:c>
      <x:c r="O245" t="n">
        <x:f>D245*N245</x:f>
        <x:v>5790330</x:v>
      </x:c>
      <x:c r="P245" s="22" t="n">
        <x:f>IF(O245=0,0,(M245-O245)/O245)</x:f>
        <x:v>-0.24899276725160743</x:v>
      </x:c>
      <x:c r="Q245" s="20" t="n">
        <x:v>45463</x:v>
      </x:c>
    </x:row>
    <x:row r="246" ht="20" customHeight="1">
      <x:c r="A246" t="str">
        <x:v>WO00237</x:v>
      </x:c>
      <x:c r="B246" t="str">
        <x:v>LOT00237</x:v>
      </x:c>
      <x:c r="C246" t="str">
        <x:v>PM-ALB-B</x:v>
      </x:c>
      <x:c r="D246" t="n">
        <x:v>589</x:v>
      </x:c>
      <x:c r="E246" t="n">
        <x:v>4867335.37</x:v>
      </x:c>
      <x:c r="F246" t="n">
        <x:v>5.59</x:v>
      </x:c>
      <x:c r="G246" t="n">
        <x:v>0</x:v>
      </x:c>
      <x:c r="H246" t="n">
        <x:v>1.06</x:v>
      </x:c>
      <x:c r="I246" t="n">
        <x:v>1.63</x:v>
      </x:c>
      <x:c r="J246" t="n">
        <x:v>4142.3</x:v>
      </x:c>
      <x:c r="K246" t="n">
        <x:v>298663.71</x:v>
      </x:c>
      <x:c r="L246" t="n">
        <x:v>2782.8</x:v>
      </x:c>
      <x:c r="M246" t="n">
        <x:f>SUM(E246,J246:L246)</x:f>
        <x:v>5172924.18</x:v>
      </x:c>
      <x:c r="N246" t="n">
        <x:v>11750</x:v>
      </x:c>
      <x:c r="O246" t="n">
        <x:f>D246*N246</x:f>
        <x:v>6920750</x:v>
      </x:c>
      <x:c r="P246" s="22" t="n">
        <x:f>IF(O246=0,0,(M246-O246)/O246)</x:f>
        <x:v>-0.2525486139508002</x:v>
      </x:c>
      <x:c r="Q246" s="20" t="n">
        <x:v>45478</x:v>
      </x:c>
    </x:row>
    <x:row r="247" ht="20" customHeight="1">
      <x:c r="A247" t="str">
        <x:v>WO00238</x:v>
      </x:c>
      <x:c r="B247" t="str">
        <x:v>LOT00238</x:v>
      </x:c>
      <x:c r="C247" t="str">
        <x:v>PM-ALB-B</x:v>
      </x:c>
      <x:c r="D247" t="n">
        <x:v>585</x:v>
      </x:c>
      <x:c r="E247" t="n">
        <x:v>4795320.16</x:v>
      </x:c>
      <x:c r="F247" t="n">
        <x:v>5.59</x:v>
      </x:c>
      <x:c r="G247" t="n">
        <x:v>0</x:v>
      </x:c>
      <x:c r="H247" t="n">
        <x:v>1.15</x:v>
      </x:c>
      <x:c r="I247" t="n">
        <x:v>1.65</x:v>
      </x:c>
      <x:c r="J247" t="n">
        <x:v>4185.5</x:v>
      </x:c>
      <x:c r="K247" t="n">
        <x:v>277550.64</x:v>
      </x:c>
      <x:c r="L247" t="n">
        <x:v>2803.2</x:v>
      </x:c>
      <x:c r="M247" t="n">
        <x:f>SUM(E247,J247:L247)</x:f>
        <x:v>5079859.5</x:v>
      </x:c>
      <x:c r="N247" t="n">
        <x:v>11750</x:v>
      </x:c>
      <x:c r="O247" t="n">
        <x:f>D247*N247</x:f>
        <x:v>6873750</x:v>
      </x:c>
      <x:c r="P247" s="22" t="n">
        <x:f>IF(O247=0,0,(M247-O247)/O247)</x:f>
        <x:v>-0.26097697763229677</x:v>
      </x:c>
      <x:c r="Q247" s="20" t="n">
        <x:v>45482</x:v>
      </x:c>
    </x:row>
    <x:row r="248" ht="20" customHeight="1">
      <x:c r="A248" t="str">
        <x:v>WO00269</x:v>
      </x:c>
      <x:c r="B248" t="str">
        <x:v>LOT00269</x:v>
      </x:c>
      <x:c r="C248" t="str">
        <x:v>AUTO-LG-B</x:v>
      </x:c>
      <x:c r="D248" t="n">
        <x:v>4979</x:v>
      </x:c>
      <x:c r="E248" t="n">
        <x:v>2891661.89</x:v>
      </x:c>
      <x:c r="F248" t="n">
        <x:v>27.62</x:v>
      </x:c>
      <x:c r="G248" t="n">
        <x:v>0</x:v>
      </x:c>
      <x:c r="H248" t="n">
        <x:v>4.32</x:v>
      </x:c>
      <x:c r="I248" t="n">
        <x:v>1.3</x:v>
      </x:c>
      <x:c r="J248" t="n">
        <x:v>20026.6</x:v>
      </x:c>
      <x:c r="K248" t="n">
        <x:v>250342.56</x:v>
      </x:c>
      <x:c r="L248" t="n">
        <x:v>11576.8</x:v>
      </x:c>
      <x:c r="M248" t="n">
        <x:f>SUM(E248,J248:L248)</x:f>
        <x:v>3173607.85</x:v>
      </x:c>
      <x:c r="N248" t="n">
        <x:v>925</x:v>
      </x:c>
      <x:c r="O248" t="n">
        <x:f>D248*N248</x:f>
        <x:v>4605575</x:v>
      </x:c>
      <x:c r="P248" s="22" t="n">
        <x:f>IF(O248=0,0,(M248-O248)/O248)</x:f>
        <x:v>-0.31092038453396154</x:v>
      </x:c>
      <x:c r="Q248" s="20" t="n">
        <x:v>45462</x:v>
      </x:c>
    </x:row>
    <x:row r="249" ht="20" customHeight="1">
      <x:c r="A249" t="str">
        <x:v>WO00270</x:v>
      </x:c>
      <x:c r="B249" t="str">
        <x:v>LOT00270</x:v>
      </x:c>
      <x:c r="C249" t="str">
        <x:v>AUTO-LG-B</x:v>
      </x:c>
      <x:c r="D249" t="n">
        <x:v>4966</x:v>
      </x:c>
      <x:c r="E249" t="n">
        <x:v>2907465.97</x:v>
      </x:c>
      <x:c r="F249" t="n">
        <x:v>28.35</x:v>
      </x:c>
      <x:c r="G249" t="n">
        <x:v>0</x:v>
      </x:c>
      <x:c r="H249" t="n">
        <x:v>4.34</x:v>
      </x:c>
      <x:c r="I249" t="n">
        <x:v>1.21</x:v>
      </x:c>
      <x:c r="J249" t="n">
        <x:v>20510.7</x:v>
      </x:c>
      <x:c r="K249" t="n">
        <x:v>241088.22</x:v>
      </x:c>
      <x:c r="L249" t="n">
        <x:v>11830.4</x:v>
      </x:c>
      <x:c r="M249" t="n">
        <x:f>SUM(E249,J249:L249)</x:f>
        <x:v>3180895.29</x:v>
      </x:c>
      <x:c r="N249" t="n">
        <x:v>925</x:v>
      </x:c>
      <x:c r="O249" t="n">
        <x:f>D249*N249</x:f>
        <x:v>4593550</x:v>
      </x:c>
      <x:c r="P249" s="22" t="n">
        <x:f>IF(O249=0,0,(M249-O249)/O249)</x:f>
        <x:v>-0.3075300606284899</x:v>
      </x:c>
      <x:c r="Q249" s="20" t="n">
        <x:v>45461</x:v>
      </x:c>
    </x:row>
    <x:row r="250" ht="20" customHeight="1">
      <x:c r="A250" t="str">
        <x:v>WO00252</x:v>
      </x:c>
      <x:c r="B250" t="str">
        <x:v>LOT00252</x:v>
      </x:c>
      <x:c r="C250" t="str">
        <x:v>AUTO-FL-B</x:v>
      </x:c>
      <x:c r="D250" t="n">
        <x:v>6451</x:v>
      </x:c>
      <x:c r="E250" t="n">
        <x:v>4907085.1</x:v>
      </x:c>
      <x:c r="F250" t="n">
        <x:v>35.25</x:v>
      </x:c>
      <x:c r="G250" t="n">
        <x:v>0</x:v>
      </x:c>
      <x:c r="H250" t="n">
        <x:v>5.1</x:v>
      </x:c>
      <x:c r="I250" t="n">
        <x:v>1.14</x:v>
      </x:c>
      <x:c r="J250" t="n">
        <x:v>25360.5</x:v>
      </x:c>
      <x:c r="K250" t="n">
        <x:v>361041.56</x:v>
      </x:c>
      <x:c r="L250" t="n">
        <x:v>14553</x:v>
      </x:c>
      <x:c r="M250" t="n">
        <x:f>SUM(E250,J250:L250)</x:f>
        <x:v>5308040.159999999</x:v>
      </x:c>
      <x:c r="N250" t="n">
        <x:v>1170</x:v>
      </x:c>
      <x:c r="O250" t="n">
        <x:f>D250*N250</x:f>
        <x:v>7547670</x:v>
      </x:c>
      <x:c r="P250" s="22" t="n">
        <x:f>IF(O250=0,0,(M250-O250)/O250)</x:f>
        <x:v>-0.2967312879338923</x:v>
      </x:c>
      <x:c r="Q250" s="20" t="n">
        <x:v>45473</x:v>
      </x:c>
    </x:row>
    <x:row r="251" ht="20" customHeight="1">
      <x:c r="A251" t="str">
        <x:v>WO00253</x:v>
      </x:c>
      <x:c r="B251" t="str">
        <x:v>LOT00253</x:v>
      </x:c>
      <x:c r="C251" t="str">
        <x:v>AUTO-FL-B</x:v>
      </x:c>
      <x:c r="D251" t="n">
        <x:v>6466</x:v>
      </x:c>
      <x:c r="E251" t="n">
        <x:v>4949803.61</x:v>
      </x:c>
      <x:c r="F251" t="n">
        <x:v>34.43</x:v>
      </x:c>
      <x:c r="G251" t="n">
        <x:v>0</x:v>
      </x:c>
      <x:c r="H251" t="n">
        <x:v>5.56</x:v>
      </x:c>
      <x:c r="I251" t="n">
        <x:v>1.21</x:v>
      </x:c>
      <x:c r="J251" t="n">
        <x:v>25048.3</x:v>
      </x:c>
      <x:c r="K251" t="n">
        <x:v>364618.12</x:v>
      </x:c>
      <x:c r="L251" t="n">
        <x:v>14336</x:v>
      </x:c>
      <x:c r="M251" t="n">
        <x:f>SUM(E251,J251:L251)</x:f>
        <x:v>5353806.03</x:v>
      </x:c>
      <x:c r="N251" t="n">
        <x:v>1170</x:v>
      </x:c>
      <x:c r="O251" t="n">
        <x:f>D251*N251</x:f>
        <x:v>7565220</x:v>
      </x:c>
      <x:c r="P251" s="22" t="n">
        <x:f>IF(O251=0,0,(M251-O251)/O251)</x:f>
        <x:v>-0.29231324006439996</x:v>
      </x:c>
      <x:c r="Q251" s="20" t="n">
        <x:v>45466</x:v>
      </x:c>
    </x:row>
    <x:row r="252" ht="20" customHeight="1">
      <x:c r="A252" t="str">
        <x:v>WO00261</x:v>
      </x:c>
      <x:c r="B252" t="str">
        <x:v>LOT00261</x:v>
      </x:c>
      <x:c r="C252" t="str">
        <x:v>MECH-CON-B</x:v>
      </x:c>
      <x:c r="D252" t="n">
        <x:v>15</x:v>
      </x:c>
      <x:c r="E252" t="n">
        <x:v>1144953.71</x:v>
      </x:c>
      <x:c r="F252" t="n">
        <x:v>1180.46</x:v>
      </x:c>
      <x:c r="G252" t="n">
        <x:v>3822.32</x:v>
      </x:c>
      <x:c r="H252" t="n">
        <x:v>2819.2</x:v>
      </x:c>
      <x:c r="I252" t="n">
        <x:v>3.02</x:v>
      </x:c>
      <x:c r="J252" t="n">
        <x:v>4108121.4</x:v>
      </x:c>
      <x:c r="K252" t="n">
        <x:v>112473.91</x:v>
      </x:c>
      <x:c r="L252" t="n">
        <x:v>1665016.8</x:v>
      </x:c>
      <x:c r="M252" t="n">
        <x:f>SUM(E252,J252:L252)</x:f>
        <x:v>7030565.819999999</x:v>
      </x:c>
      <x:c r="N252" t="n">
        <x:v>119000</x:v>
      </x:c>
      <x:c r="O252" t="n">
        <x:f>D252*N252</x:f>
        <x:v>1785000</x:v>
      </x:c>
      <x:c r="P252" s="22" t="n">
        <x:f>IF(O252=0,0,(M252-O252)/O252)</x:f>
        <x:v>2.9386923361344532</x:v>
      </x:c>
      <x:c r="Q252" s="20" t="n">
        <x:v>45499</x:v>
      </x:c>
    </x:row>
    <x:row r="253" ht="20" customHeight="1">
      <x:c r="A253" t="str">
        <x:v>WO00260</x:v>
      </x:c>
      <x:c r="B253" t="str">
        <x:v>LOT00260</x:v>
      </x:c>
      <x:c r="C253" t="str">
        <x:v>MECH-CON-B</x:v>
      </x:c>
      <x:c r="D253" t="n">
        <x:v>15</x:v>
      </x:c>
      <x:c r="E253" t="n">
        <x:v>1139704.44</x:v>
      </x:c>
      <x:c r="F253" t="n">
        <x:v>1070.47</x:v>
      </x:c>
      <x:c r="G253" t="n">
        <x:v>4207.08</x:v>
      </x:c>
      <x:c r="H253" t="n">
        <x:v>2654.46</x:v>
      </x:c>
      <x:c r="I253" t="n">
        <x:v>3.43</x:v>
      </x:c>
      <x:c r="J253" t="n">
        <x:v>4157627.9</x:v>
      </x:c>
      <x:c r="K253" t="n">
        <x:v>117465.85</x:v>
      </x:c>
      <x:c r="L253" t="n">
        <x:v>1673937.2</x:v>
      </x:c>
      <x:c r="M253" t="n">
        <x:f>SUM(E253,J253:L253)</x:f>
        <x:v>7088735.390000001</x:v>
      </x:c>
      <x:c r="N253" t="n">
        <x:v>119000</x:v>
      </x:c>
      <x:c r="O253" t="n">
        <x:f>D253*N253</x:f>
        <x:v>1785000</x:v>
      </x:c>
      <x:c r="P253" s="22" t="n">
        <x:f>IF(O253=0,0,(M253-O253)/O253)</x:f>
        <x:v>2.9712803305322133</x:v>
      </x:c>
      <x:c r="Q253" s="20" t="n">
        <x:v>45494</x:v>
      </x:c>
    </x:row>
    <x:row r="254" ht="20" customHeight="1">
      <x:c r="A254" t="str">
        <x:v>WO00225</x:v>
      </x:c>
      <x:c r="B254" t="str">
        <x:v>LOT00225</x:v>
      </x:c>
      <x:c r="C254" t="str">
        <x:v>PM-BRG-A</x:v>
      </x:c>
      <x:c r="D254" t="n">
        <x:v>492</x:v>
      </x:c>
      <x:c r="E254" t="n">
        <x:v>1313461.28</x:v>
      </x:c>
      <x:c r="F254" t="n">
        <x:v>4.42</x:v>
      </x:c>
      <x:c r="G254" t="n">
        <x:v>0</x:v>
      </x:c>
      <x:c r="H254" t="n">
        <x:v>0.83</x:v>
      </x:c>
      <x:c r="I254" t="n">
        <x:v>1.65</x:v>
      </x:c>
      <x:c r="J254" t="n">
        <x:v>3271.4</x:v>
      </x:c>
      <x:c r="K254" t="n">
        <x:v>108914.01</x:v>
      </x:c>
      <x:c r="L254" t="n">
        <x:v>2307.4</x:v>
      </x:c>
      <x:c r="M254" t="n">
        <x:f>SUM(E254,J254:L254)</x:f>
        <x:v>1427954.09</x:v>
      </x:c>
      <x:c r="N254" t="n">
        <x:v>4450</x:v>
      </x:c>
      <x:c r="O254" t="n">
        <x:f>D254*N254</x:f>
        <x:v>2189400</x:v>
      </x:c>
      <x:c r="P254" s="22" t="n">
        <x:f>IF(O254=0,0,(M254-O254)/O254)</x:f>
        <x:v>-0.347787480588289</x:v>
      </x:c>
      <x:c r="Q254" s="20" t="n">
        <x:v>45468</x:v>
      </x:c>
    </x:row>
    <x:row r="255" ht="20" customHeight="1">
      <x:c r="A255" t="str">
        <x:v>WO00242</x:v>
      </x:c>
      <x:c r="B255" t="str">
        <x:v>LOT00242</x:v>
      </x:c>
      <x:c r="C255" t="str">
        <x:v>MECH-CON-B</x:v>
      </x:c>
      <x:c r="D255" t="n">
        <x:v>10</x:v>
      </x:c>
      <x:c r="E255" t="n">
        <x:v>755088.7</x:v>
      </x:c>
      <x:c r="F255" t="n">
        <x:v>857.53</x:v>
      </x:c>
      <x:c r="G255" t="n">
        <x:v>2382.73</x:v>
      </x:c>
      <x:c r="H255" t="n">
        <x:v>1850</x:v>
      </x:c>
      <x:c r="I255" t="n">
        <x:v>2.89</x:v>
      </x:c>
      <x:c r="J255" t="n">
        <x:v>2684414.1</x:v>
      </x:c>
      <x:c r="K255" t="n">
        <x:v>71603.2</x:v>
      </x:c>
      <x:c r="L255" t="n">
        <x:v>1099274.4</x:v>
      </x:c>
      <x:c r="M255" t="n">
        <x:f>SUM(E255,J255:L255)</x:f>
        <x:v>4610380.4</x:v>
      </x:c>
      <x:c r="N255" t="n">
        <x:v>119000</x:v>
      </x:c>
      <x:c r="O255" t="n">
        <x:f>D255*N255</x:f>
        <x:v>1190000</x:v>
      </x:c>
      <x:c r="P255" s="22" t="n">
        <x:f>IF(O255=0,0,(M255-O255)/O255)</x:f>
        <x:v>2.8742692436974795</x:v>
      </x:c>
      <x:c r="Q255" s="20" t="n">
        <x:v>45501</x:v>
      </x:c>
    </x:row>
    <x:row r="256" ht="20" customHeight="1">
      <x:c r="A256" t="str">
        <x:v>WO00273</x:v>
      </x:c>
      <x:c r="B256" t="str">
        <x:v>LOT00273</x:v>
      </x:c>
      <x:c r="C256" t="str">
        <x:v>AUTO-MH-A</x:v>
      </x:c>
      <x:c r="D256" t="n">
        <x:v>6853</x:v>
      </x:c>
      <x:c r="E256" t="n">
        <x:v>9524873.87</x:v>
      </x:c>
      <x:c r="F256" t="n">
        <x:v>40.2</x:v>
      </x:c>
      <x:c r="G256" t="n">
        <x:v>0</x:v>
      </x:c>
      <x:c r="H256" t="n">
        <x:v>5.99</x:v>
      </x:c>
      <x:c r="I256" t="n">
        <x:v>1.19</x:v>
      </x:c>
      <x:c r="J256" t="n">
        <x:v>29005.2</x:v>
      </x:c>
      <x:c r="K256" t="n">
        <x:v>557628.02</x:v>
      </x:c>
      <x:c r="L256" t="n">
        <x:v>16591.4</x:v>
      </x:c>
      <x:c r="M256" t="n">
        <x:f>SUM(E256,J256:L256)</x:f>
        <x:v>10128098.489999998</x:v>
      </x:c>
      <x:c r="N256" t="n">
        <x:v>1970</x:v>
      </x:c>
      <x:c r="O256" t="n">
        <x:f>D256*N256</x:f>
        <x:v>13500410</x:v>
      </x:c>
      <x:c r="P256" s="22" t="n">
        <x:f>IF(O256=0,0,(M256-O256)/O256)</x:f>
        <x:v>-0.2497932662785798</x:v>
      </x:c>
      <x:c r="Q256" s="20" t="n">
        <x:v>45476</x:v>
      </x:c>
    </x:row>
    <x:row r="257" ht="20" customHeight="1">
      <x:c r="A257" t="str">
        <x:v>WO00276</x:v>
      </x:c>
      <x:c r="B257" t="str">
        <x:v>LOT00276</x:v>
      </x:c>
      <x:c r="C257" t="str">
        <x:v>MECH-STG-B</x:v>
      </x:c>
      <x:c r="D257" t="n">
        <x:v>19</x:v>
      </x:c>
      <x:c r="E257" t="n">
        <x:v>1975552.79</x:v>
      </x:c>
      <x:c r="F257" t="n">
        <x:v>1445.84</x:v>
      </x:c>
      <x:c r="G257" t="n">
        <x:v>4289.9</x:v>
      </x:c>
      <x:c r="H257" t="n">
        <x:v>3099.52</x:v>
      </x:c>
      <x:c r="I257" t="n">
        <x:v>3.4</x:v>
      </x:c>
      <x:c r="J257" t="n">
        <x:v>4658313.6</x:v>
      </x:c>
      <x:c r="K257" t="n">
        <x:v>193646.57</x:v>
      </x:c>
      <x:c r="L257" t="n">
        <x:v>1904342.4</x:v>
      </x:c>
      <x:c r="M257" t="n">
        <x:f>SUM(E257,J257:L257)</x:f>
        <x:v>8731855.36</x:v>
      </x:c>
      <x:c r="N257" t="n">
        <x:v>151000</x:v>
      </x:c>
      <x:c r="O257" t="n">
        <x:f>D257*N257</x:f>
        <x:v>2869000</x:v>
      </x:c>
      <x:c r="P257" s="22" t="n">
        <x:f>IF(O257=0,0,(M257-O257)/O257)</x:f>
        <x:v>2.0435187730916695</x:v>
      </x:c>
      <x:c r="Q257" s="20" t="n">
        <x:v>45503</x:v>
      </x:c>
    </x:row>
    <x:row r="258" ht="20" customHeight="1">
      <x:c r="A258" t="str">
        <x:v>WO00275</x:v>
      </x:c>
      <x:c r="B258" t="str">
        <x:v>LOT00275</x:v>
      </x:c>
      <x:c r="C258" t="str">
        <x:v>AUTO-BS-A</x:v>
      </x:c>
      <x:c r="D258" t="n">
        <x:v>2928</x:v>
      </x:c>
      <x:c r="E258" t="n">
        <x:v>1015255.31</x:v>
      </x:c>
      <x:c r="F258" t="n">
        <x:v>16.21</x:v>
      </x:c>
      <x:c r="G258" t="n">
        <x:v>0</x:v>
      </x:c>
      <x:c r="H258" t="n">
        <x:v>2.28</x:v>
      </x:c>
      <x:c r="I258" t="n">
        <x:v>1.1</x:v>
      </x:c>
      <x:c r="J258" t="n">
        <x:v>11630.9</x:v>
      </x:c>
      <x:c r="K258" t="n">
        <x:v>99788.28</x:v>
      </x:c>
      <x:c r="L258" t="n">
        <x:v>6854.6</x:v>
      </x:c>
      <x:c r="M258" t="n">
        <x:f>SUM(E258,J258:L258)</x:f>
        <x:v>1133529.09</x:v>
      </x:c>
      <x:c r="N258" t="n">
        <x:v>550</x:v>
      </x:c>
      <x:c r="O258" t="n">
        <x:f>D258*N258</x:f>
        <x:v>1610400</x:v>
      </x:c>
      <x:c r="P258" s="22" t="n">
        <x:f>IF(O258=0,0,(M258-O258)/O258)</x:f>
        <x:v>-0.296119541728763</x:v>
      </x:c>
      <x:c r="Q258" s="20" t="n">
        <x:v>45472</x:v>
      </x:c>
    </x:row>
    <x:row r="259" ht="20" customHeight="1">
      <x:c r="A259" t="str">
        <x:v>WO00272</x:v>
      </x:c>
      <x:c r="B259" t="str">
        <x:v>LOT00272</x:v>
      </x:c>
      <x:c r="C259" t="str">
        <x:v>PM-ALB-A</x:v>
      </x:c>
      <x:c r="D259" t="n">
        <x:v>592</x:v>
      </x:c>
      <x:c r="E259" t="n">
        <x:v>3224024.13</x:v>
      </x:c>
      <x:c r="F259" t="n">
        <x:v>5.66</x:v>
      </x:c>
      <x:c r="G259" t="n">
        <x:v>0</x:v>
      </x:c>
      <x:c r="H259" t="n">
        <x:v>1.17</x:v>
      </x:c>
      <x:c r="I259" t="n">
        <x:v>1.82</x:v>
      </x:c>
      <x:c r="J259" t="n">
        <x:v>4240.6</x:v>
      </x:c>
      <x:c r="K259" t="n">
        <x:v>163173.89</x:v>
      </x:c>
      <x:c r="L259" t="n">
        <x:v>2884</x:v>
      </x:c>
      <x:c r="M259" t="n">
        <x:f>SUM(E259,J259:L259)</x:f>
        <x:v>3394322.62</x:v>
      </x:c>
      <x:c r="N259" t="n">
        <x:v>8100</x:v>
      </x:c>
      <x:c r="O259" t="n">
        <x:f>D259*N259</x:f>
        <x:v>4795200</x:v>
      </x:c>
      <x:c r="P259" s="22" t="n">
        <x:f>IF(O259=0,0,(M259-O259)/O259)</x:f>
        <x:v>-0.2921415957624291</x:v>
      </x:c>
      <x:c r="Q259" s="20" t="n">
        <x:v>45482</x:v>
      </x:c>
    </x:row>
    <x:row r="260" ht="20" customHeight="1">
      <x:c r="A260" t="str">
        <x:v>WO00268</x:v>
      </x:c>
      <x:c r="B260" t="str">
        <x:v>LOT00268</x:v>
      </x:c>
      <x:c r="C260" t="str">
        <x:v>PM-ALB-A</x:v>
      </x:c>
      <x:c r="D260" t="n">
        <x:v>294</x:v>
      </x:c>
      <x:c r="E260" t="n">
        <x:v>1638572.53</x:v>
      </x:c>
      <x:c r="F260" t="n">
        <x:v>2.52</x:v>
      </x:c>
      <x:c r="G260" t="n">
        <x:v>0</x:v>
      </x:c>
      <x:c r="H260" t="n">
        <x:v>0.49</x:v>
      </x:c>
      <x:c r="I260" t="n">
        <x:v>1.39</x:v>
      </x:c>
      <x:c r="J260" t="n">
        <x:v>1873.2</x:v>
      </x:c>
      <x:c r="K260" t="n">
        <x:v>96454.12</x:v>
      </x:c>
      <x:c r="L260" t="n">
        <x:v>1453</x:v>
      </x:c>
      <x:c r="M260" t="n">
        <x:f>SUM(E260,J260:L260)</x:f>
        <x:v>1738352.85</x:v>
      </x:c>
      <x:c r="N260" t="n">
        <x:v>8100</x:v>
      </x:c>
      <x:c r="O260" t="n">
        <x:f>D260*N260</x:f>
        <x:v>2381400</x:v>
      </x:c>
      <x:c r="P260" s="22" t="n">
        <x:f>IF(O260=0,0,(M260-O260)/O260)</x:f>
        <x:v>-0.27002903754094226</x:v>
      </x:c>
      <x:c r="Q260" s="20" t="n">
        <x:v>45483</x:v>
      </x:c>
    </x:row>
    <x:row r="261" ht="20" customHeight="1">
      <x:c r="A261" t="str">
        <x:v>WO00251</x:v>
      </x:c>
      <x:c r="B261" t="str">
        <x:v>LOT00251</x:v>
      </x:c>
      <x:c r="C261" t="str">
        <x:v>AUTO-BS-B</x:v>
      </x:c>
      <x:c r="D261" t="n">
        <x:v>6917</x:v>
      </x:c>
      <x:c r="E261" t="n">
        <x:v>2643766.87</x:v>
      </x:c>
      <x:c r="F261" t="n">
        <x:v>33.63</x:v>
      </x:c>
      <x:c r="G261" t="n">
        <x:v>0</x:v>
      </x:c>
      <x:c r="H261" t="n">
        <x:v>5.02</x:v>
      </x:c>
      <x:c r="I261" t="n">
        <x:v>1.22</x:v>
      </x:c>
      <x:c r="J261" t="n">
        <x:v>24269.1</x:v>
      </x:c>
      <x:c r="K261" t="n">
        <x:v>267868.25</x:v>
      </x:c>
      <x:c r="L261" t="n">
        <x:v>13948.6</x:v>
      </x:c>
      <x:c r="M261" t="n">
        <x:f>SUM(E261,J261:L261)</x:f>
        <x:v>2949852.8200000003</x:v>
      </x:c>
      <x:c r="N261" t="n">
        <x:v>650</x:v>
      </x:c>
      <x:c r="O261" t="n">
        <x:f>D261*N261</x:f>
        <x:v>4496050</x:v>
      </x:c>
      <x:c r="P261" s="22" t="n">
        <x:f>IF(O261=0,0,(M261-O261)/O261)</x:f>
        <x:v>-0.34390124220148793</x:v>
      </x:c>
      <x:c r="Q261" s="20" t="n">
        <x:v>45479</x:v>
      </x:c>
    </x:row>
    <x:row r="262" ht="20" customHeight="1">
      <x:c r="A262" t="str">
        <x:v>WO00271</x:v>
      </x:c>
      <x:c r="B262" t="str">
        <x:v>LOT00271</x:v>
      </x:c>
      <x:c r="C262" t="str">
        <x:v>PM-ALB-A</x:v>
      </x:c>
      <x:c r="D262" t="n">
        <x:v>594</x:v>
      </x:c>
      <x:c r="E262" t="n">
        <x:v>3271567.4</x:v>
      </x:c>
      <x:c r="F262" t="n">
        <x:v>5.27</x:v>
      </x:c>
      <x:c r="G262" t="n">
        <x:v>0</x:v>
      </x:c>
      <x:c r="H262" t="n">
        <x:v>1.04</x:v>
      </x:c>
      <x:c r="I262" t="n">
        <x:v>1.65</x:v>
      </x:c>
      <x:c r="J262" t="n">
        <x:v>3924.7</x:v>
      </x:c>
      <x:c r="K262" t="n">
        <x:v>164165.62</x:v>
      </x:c>
      <x:c r="L262" t="n">
        <x:v>2664</x:v>
      </x:c>
      <x:c r="M262" t="n">
        <x:f>SUM(E262,J262:L262)</x:f>
        <x:v>3442321.7199999997</x:v>
      </x:c>
      <x:c r="N262" t="n">
        <x:v>8100</x:v>
      </x:c>
      <x:c r="O262" t="n">
        <x:f>D262*N262</x:f>
        <x:v>4811400</x:v>
      </x:c>
      <x:c r="P262" s="22" t="n">
        <x:f>IF(O262=0,0,(M262-O262)/O262)</x:f>
        <x:v>-0.28454883817599874</x:v>
      </x:c>
      <x:c r="Q262" s="20" t="n">
        <x:v>45480</x:v>
      </x:c>
    </x:row>
    <x:row r="263" ht="20" customHeight="1">
      <x:c r="A263" t="str">
        <x:v>WO00274</x:v>
      </x:c>
      <x:c r="B263" t="str">
        <x:v>LOT00274</x:v>
      </x:c>
      <x:c r="C263" t="str">
        <x:v>PM-ALB-B</x:v>
      </x:c>
      <x:c r="D263" t="n">
        <x:v>779</x:v>
      </x:c>
      <x:c r="E263" t="n">
        <x:v>6295820.8</x:v>
      </x:c>
      <x:c r="F263" t="n">
        <x:v>6.72</x:v>
      </x:c>
      <x:c r="G263" t="n">
        <x:v>0</x:v>
      </x:c>
      <x:c r="H263" t="n">
        <x:v>1.6</x:v>
      </x:c>
      <x:c r="I263" t="n">
        <x:v>1.58</x:v>
      </x:c>
      <x:c r="J263" t="n">
        <x:v>5136</x:v>
      </x:c>
      <x:c r="K263" t="n">
        <x:v>347960.73</x:v>
      </x:c>
      <x:c r="L263" t="n">
        <x:v>3283.6</x:v>
      </x:c>
      <x:c r="M263" t="n">
        <x:f>SUM(E263,J263:L263)</x:f>
        <x:v>6652201.13</x:v>
      </x:c>
      <x:c r="N263" t="n">
        <x:v>11750</x:v>
      </x:c>
      <x:c r="O263" t="n">
        <x:f>D263*N263</x:f>
        <x:v>9153250</x:v>
      </x:c>
      <x:c r="P263" s="22" t="n">
        <x:f>IF(O263=0,0,(M263-O263)/O263)</x:f>
        <x:v>-0.2732416212820583</x:v>
      </x:c>
      <x:c r="Q263" s="20" t="n">
        <x:v>45492</x:v>
      </x:c>
    </x:row>
    <x:row r="264" ht="20" customHeight="1">
      <x:c r="A264" t="str">
        <x:v>WO00258</x:v>
      </x:c>
      <x:c r="B264" t="str">
        <x:v>LOT00258</x:v>
      </x:c>
      <x:c r="C264" t="str">
        <x:v>MECH-STG-B</x:v>
      </x:c>
      <x:c r="D264" t="n">
        <x:v>17</x:v>
      </x:c>
      <x:c r="E264" t="n">
        <x:v>1681989.06</x:v>
      </x:c>
      <x:c r="F264" t="n">
        <x:v>1302.79</x:v>
      </x:c>
      <x:c r="G264" t="n">
        <x:v>3923.97</x:v>
      </x:c>
      <x:c r="H264" t="n">
        <x:v>2862.51</x:v>
      </x:c>
      <x:c r="I264" t="n">
        <x:v>3.24</x:v>
      </x:c>
      <x:c r="J264" t="n">
        <x:v>4261282.7</x:v>
      </x:c>
      <x:c r="K264" t="n">
        <x:v>140274.71</x:v>
      </x:c>
      <x:c r="L264" t="n">
        <x:v>1738827.8</x:v>
      </x:c>
      <x:c r="M264" t="n">
        <x:f>SUM(E264,J264:L264)</x:f>
        <x:v>7822374.27</x:v>
      </x:c>
      <x:c r="N264" t="n">
        <x:v>151000</x:v>
      </x:c>
      <x:c r="O264" t="n">
        <x:f>D264*N264</x:f>
        <x:v>2567000</x:v>
      </x:c>
      <x:c r="P264" s="22" t="n">
        <x:f>IF(O264=0,0,(M264-O264)/O264)</x:f>
        <x:v>2.047282536034281</x:v>
      </x:c>
      <x:c r="Q264" s="20" t="n">
        <x:v>45512</x:v>
      </x:c>
    </x:row>
    <x:row r="265" ht="20" customHeight="1">
      <x:c r="A265" t="str">
        <x:v>WO00257</x:v>
      </x:c>
      <x:c r="B265" t="str">
        <x:v>LOT00257</x:v>
      </x:c>
      <x:c r="C265" t="str">
        <x:v>MECH-STG-B</x:v>
      </x:c>
      <x:c r="D265" t="n">
        <x:v>17</x:v>
      </x:c>
      <x:c r="E265" t="n">
        <x:v>1656489.72</x:v>
      </x:c>
      <x:c r="F265" t="n">
        <x:v>1277.57</x:v>
      </x:c>
      <x:c r="G265" t="n">
        <x:v>3965.74</x:v>
      </x:c>
      <x:c r="H265" t="n">
        <x:v>3385.88</x:v>
      </x:c>
      <x:c r="I265" t="n">
        <x:v>2.8</x:v>
      </x:c>
      <x:c r="J265" t="n">
        <x:v>4517827.7</x:v>
      </x:c>
      <x:c r="K265" t="n">
        <x:v>151240.56</x:v>
      </x:c>
      <x:c r="L265" t="n">
        <x:v>1821205.4</x:v>
      </x:c>
      <x:c r="M265" t="n">
        <x:f>SUM(E265,J265:L265)</x:f>
        <x:v>8146763.38</x:v>
      </x:c>
      <x:c r="N265" t="n">
        <x:v>151000</x:v>
      </x:c>
      <x:c r="O265" t="n">
        <x:f>D265*N265</x:f>
        <x:v>2567000</x:v>
      </x:c>
      <x:c r="P265" s="22" t="n">
        <x:f>IF(O265=0,0,(M265-O265)/O265)</x:f>
        <x:v>2.173651492014024</x:v>
      </x:c>
      <x:c r="Q265" s="20" t="n">
        <x:v>45511</x:v>
      </x:c>
    </x:row>
    <x:row r="266" ht="20" customHeight="1">
      <x:c r="A266" t="str">
        <x:v>WO00280</x:v>
      </x:c>
      <x:c r="B266" t="str">
        <x:v>LOT00280</x:v>
      </x:c>
      <x:c r="C266" t="str">
        <x:v>PM-BRG-B</x:v>
      </x:c>
      <x:c r="D266" t="n">
        <x:v>295</x:v>
      </x:c>
      <x:c r="E266" t="n">
        <x:v>916455.05</x:v>
      </x:c>
      <x:c r="F266" t="n">
        <x:v>2.33</x:v>
      </x:c>
      <x:c r="G266" t="n">
        <x:v>0</x:v>
      </x:c>
      <x:c r="H266" t="n">
        <x:v>0.6</x:v>
      </x:c>
      <x:c r="I266" t="n">
        <x:v>1.68</x:v>
      </x:c>
      <x:c r="J266" t="n">
        <x:v>1802.5</x:v>
      </x:c>
      <x:c r="K266" t="n">
        <x:v>74101.72</x:v>
      </x:c>
      <x:c r="L266" t="n">
        <x:v>1485.4</x:v>
      </x:c>
      <x:c r="M266" t="n">
        <x:f>SUM(E266,J266:L266)</x:f>
        <x:v>993844.67</x:v>
      </x:c>
      <x:c r="N266" t="n">
        <x:v>5400</x:v>
      </x:c>
      <x:c r="O266" t="n">
        <x:f>D266*N266</x:f>
        <x:v>1593000</x:v>
      </x:c>
      <x:c r="P266" s="22" t="n">
        <x:f>IF(O266=0,0,(M266-O266)/O266)</x:f>
        <x:v>-0.3761175957313245</x:v>
      </x:c>
      <x:c r="Q266" s="20" t="n">
        <x:v>45484</x:v>
      </x:c>
    </x:row>
    <x:row r="267" ht="20" customHeight="1">
      <x:c r="A267" t="str">
        <x:v>WO00259</x:v>
      </x:c>
      <x:c r="B267" t="str">
        <x:v>LOT00259</x:v>
      </x:c>
      <x:c r="C267" t="str">
        <x:v>MECH-STG-B</x:v>
      </x:c>
      <x:c r="D267" t="n">
        <x:v>16</x:v>
      </x:c>
      <x:c r="E267" t="n">
        <x:v>1674996.7</x:v>
      </x:c>
      <x:c r="F267" t="n">
        <x:v>1250.28</x:v>
      </x:c>
      <x:c r="G267" t="n">
        <x:v>4475.16</x:v>
      </x:c>
      <x:c r="H267" t="n">
        <x:v>2427.03</x:v>
      </x:c>
      <x:c r="I267" t="n">
        <x:v>3.42</x:v>
      </x:c>
      <x:c r="J267" t="n">
        <x:v>4304739.6</x:v>
      </x:c>
      <x:c r="K267" t="n">
        <x:v>130794.26</x:v>
      </x:c>
      <x:c r="L267" t="n">
        <x:v>1759489.2</x:v>
      </x:c>
      <x:c r="M267" t="n">
        <x:f>SUM(E267,J267:L267)</x:f>
        <x:v>7870019.76</x:v>
      </x:c>
      <x:c r="N267" t="n">
        <x:v>151000</x:v>
      </x:c>
      <x:c r="O267" t="n">
        <x:f>D267*N267</x:f>
        <x:v>2416000</x:v>
      </x:c>
      <x:c r="P267" s="22" t="n">
        <x:f>IF(O267=0,0,(M267-O267)/O267)</x:f>
        <x:v>2.257458509933775</x:v>
      </x:c>
      <x:c r="Q267" s="20" t="n">
        <x:v>45517</x:v>
      </x:c>
    </x:row>
    <x:row r="268" ht="20" customHeight="1">
      <x:c r="A268" t="str">
        <x:v>WO00265</x:v>
      </x:c>
      <x:c r="B268" t="str">
        <x:v>LOT00265</x:v>
      </x:c>
      <x:c r="C268" t="str">
        <x:v>AUTO-KN-B</x:v>
      </x:c>
      <x:c r="D268" t="n">
        <x:v>4955</x:v>
      </x:c>
      <x:c r="E268" t="n">
        <x:v>8830069.83</x:v>
      </x:c>
      <x:c r="F268" t="n">
        <x:v>25.08</x:v>
      </x:c>
      <x:c r="G268" t="n">
        <x:v>0</x:v>
      </x:c>
      <x:c r="H268" t="n">
        <x:v>3.87</x:v>
      </x:c>
      <x:c r="I268" t="n">
        <x:v>1.23</x:v>
      </x:c>
      <x:c r="J268" t="n">
        <x:v>18159.6</x:v>
      </x:c>
      <x:c r="K268" t="n">
        <x:v>630250.44</x:v>
      </x:c>
      <x:c r="L268" t="n">
        <x:v>10518.6</x:v>
      </x:c>
      <x:c r="M268" t="n">
        <x:f>SUM(E268,J268:L268)</x:f>
        <x:v>9488998.47</x:v>
      </x:c>
      <x:c r="N268" t="n">
        <x:v>2590</x:v>
      </x:c>
      <x:c r="O268" t="n">
        <x:f>D268*N268</x:f>
        <x:v>12833450</x:v>
      </x:c>
      <x:c r="P268" s="22" t="n">
        <x:f>IF(O268=0,0,(M268-O268)/O268)</x:f>
        <x:v>-0.26060424359778545</x:v>
      </x:c>
      <x:c r="Q268" s="20" t="n">
        <x:v>45492</x:v>
      </x:c>
    </x:row>
    <x:row r="269" ht="20" customHeight="1">
      <x:c r="A269" t="str">
        <x:v>WO00266</x:v>
      </x:c>
      <x:c r="B269" t="str">
        <x:v>LOT00266</x:v>
      </x:c>
      <x:c r="C269" t="str">
        <x:v>AUTO-KN-B</x:v>
      </x:c>
      <x:c r="D269" t="n">
        <x:v>4949</x:v>
      </x:c>
      <x:c r="E269" t="n">
        <x:v>8659716.71</x:v>
      </x:c>
      <x:c r="F269" t="n">
        <x:v>25.81</x:v>
      </x:c>
      <x:c r="G269" t="n">
        <x:v>0</x:v>
      </x:c>
      <x:c r="H269" t="n">
        <x:v>3.66</x:v>
      </x:c>
      <x:c r="I269" t="n">
        <x:v>1.2</x:v>
      </x:c>
      <x:c r="J269" t="n">
        <x:v>18533.3</x:v>
      </x:c>
      <x:c r="K269" t="n">
        <x:v>707941.49</x:v>
      </x:c>
      <x:c r="L269" t="n">
        <x:v>10753.4</x:v>
      </x:c>
      <x:c r="M269" t="n">
        <x:f>SUM(E269,J269:L269)</x:f>
        <x:v>9396944.9</x:v>
      </x:c>
      <x:c r="N269" t="n">
        <x:v>2590</x:v>
      </x:c>
      <x:c r="O269" t="n">
        <x:f>D269*N269</x:f>
        <x:v>12817910</x:v>
      </x:c>
      <x:c r="P269" s="22" t="n">
        <x:f>IF(O269=0,0,(M269-O269)/O269)</x:f>
        <x:v>-0.266889461698514</x:v>
      </x:c>
      <x:c r="Q269" s="20" t="n">
        <x:v>45489</x:v>
      </x:c>
    </x:row>
    <x:row r="270" ht="20" customHeight="1">
      <x:c r="A270" t="str">
        <x:v>WO00263</x:v>
      </x:c>
      <x:c r="B270" t="str">
        <x:v>LOT00263</x:v>
      </x:c>
      <x:c r="C270" t="str">
        <x:v>AUTO-LG-B</x:v>
      </x:c>
      <x:c r="D270" t="n">
        <x:v>2996</x:v>
      </x:c>
      <x:c r="E270" t="n">
        <x:v>1701193.78</x:v>
      </x:c>
      <x:c r="F270" t="n">
        <x:v>13.6</x:v>
      </x:c>
      <x:c r="G270" t="n">
        <x:v>0</x:v>
      </x:c>
      <x:c r="H270" t="n">
        <x:v>2.61</x:v>
      </x:c>
      <x:c r="I270" t="n">
        <x:v>1.16</x:v>
      </x:c>
      <x:c r="J270" t="n">
        <x:v>10092.8</x:v>
      </x:c>
      <x:c r="K270" t="n">
        <x:v>143659.49</x:v>
      </x:c>
      <x:c r="L270" t="n">
        <x:v>5933.6</x:v>
      </x:c>
      <x:c r="M270" t="n">
        <x:f>SUM(E270,J270:L270)</x:f>
        <x:v>1860879.67</x:v>
      </x:c>
      <x:c r="N270" t="n">
        <x:v>925</x:v>
      </x:c>
      <x:c r="O270" t="n">
        <x:f>D270*N270</x:f>
        <x:v>2771300</x:v>
      </x:c>
      <x:c r="P270" s="22" t="n">
        <x:f>IF(O270=0,0,(M270-O270)/O270)</x:f>
        <x:v>-0.32851742142676726</x:v>
      </x:c>
      <x:c r="Q270" s="20" t="n">
        <x:v>45494</x:v>
      </x:c>
    </x:row>
    <x:row r="271" ht="20" customHeight="1">
      <x:c r="A271" t="str">
        <x:v>WO00279</x:v>
      </x:c>
      <x:c r="B271" t="str">
        <x:v>LOT00279</x:v>
      </x:c>
      <x:c r="C271" t="str">
        <x:v>AUTO-BRK-A</x:v>
      </x:c>
      <x:c r="D271" t="n">
        <x:v>4933</x:v>
      </x:c>
      <x:c r="E271" t="n">
        <x:v>4521276.14</x:v>
      </x:c>
      <x:c r="F271" t="n">
        <x:v>29</x:v>
      </x:c>
      <x:c r="G271" t="n">
        <x:v>0</x:v>
      </x:c>
      <x:c r="H271" t="n">
        <x:v>3.94</x:v>
      </x:c>
      <x:c r="I271" t="n">
        <x:v>1.26</x:v>
      </x:c>
      <x:c r="J271" t="n">
        <x:v>20741.2</x:v>
      </x:c>
      <x:c r="K271" t="n">
        <x:v>373503.51</x:v>
      </x:c>
      <x:c r="L271" t="n">
        <x:v>12028.4</x:v>
      </x:c>
      <x:c r="M271" t="n">
        <x:f>SUM(E271,J271:L271)</x:f>
        <x:v>4927549.25</x:v>
      </x:c>
      <x:c r="N271" t="n">
        <x:v>1380</x:v>
      </x:c>
      <x:c r="O271" t="n">
        <x:f>D271*N271</x:f>
        <x:v>6807540</x:v>
      </x:c>
      <x:c r="P271" s="22" t="n">
        <x:f>IF(O271=0,0,(M271-O271)/O271)</x:f>
        <x:v>-0.27616301189563336</x:v>
      </x:c>
      <x:c r="Q271" s="20" t="n">
        <x:v>45491</x:v>
      </x:c>
    </x:row>
    <x:row r="272" ht="20" customHeight="1">
      <x:c r="A272" t="str">
        <x:v>WO00254</x:v>
      </x:c>
      <x:c r="B272" t="str">
        <x:v>LOT00254</x:v>
      </x:c>
      <x:c r="C272" t="str">
        <x:v>AUTO-FL-A</x:v>
      </x:c>
      <x:c r="D272" t="n">
        <x:v>6863</x:v>
      </x:c>
      <x:c r="E272" t="n">
        <x:v>4599967.86</x:v>
      </x:c>
      <x:c r="F272" t="n">
        <x:v>35.94</x:v>
      </x:c>
      <x:c r="G272" t="n">
        <x:v>0</x:v>
      </x:c>
      <x:c r="H272" t="n">
        <x:v>5.16</x:v>
      </x:c>
      <x:c r="I272" t="n">
        <x:v>1.09</x:v>
      </x:c>
      <x:c r="J272" t="n">
        <x:v>25837.8</x:v>
      </x:c>
      <x:c r="K272" t="n">
        <x:v>335202.69</x:v>
      </x:c>
      <x:c r="L272" t="n">
        <x:v>14809.8</x:v>
      </x:c>
      <x:c r="M272" t="n">
        <x:f>SUM(E272,J272:L272)</x:f>
        <x:v>4975818.15</x:v>
      </x:c>
      <x:c r="N272" t="n">
        <x:v>970</x:v>
      </x:c>
      <x:c r="O272" t="n">
        <x:f>D272*N272</x:f>
        <x:v>6657110</x:v>
      </x:c>
      <x:c r="P272" s="22" t="n">
        <x:f>IF(O272=0,0,(M272-O272)/O272)</x:f>
        <x:v>-0.2525558162626124</x:v>
      </x:c>
      <x:c r="Q272" s="20" t="n">
        <x:v>45493</x:v>
      </x:c>
    </x:row>
    <x:row r="273" ht="20" customHeight="1">
      <x:c r="A273" t="str">
        <x:v>WO00278</x:v>
      </x:c>
      <x:c r="B273" t="str">
        <x:v>LOT00278</x:v>
      </x:c>
      <x:c r="C273" t="str">
        <x:v>AUTO-BRK-A</x:v>
      </x:c>
      <x:c r="D273" t="n">
        <x:v>4931</x:v>
      </x:c>
      <x:c r="E273" t="n">
        <x:v>4591439.6</x:v>
      </x:c>
      <x:c r="F273" t="n">
        <x:v>23.17</x:v>
      </x:c>
      <x:c r="G273" t="n">
        <x:v>0</x:v>
      </x:c>
      <x:c r="H273" t="n">
        <x:v>3.86</x:v>
      </x:c>
      <x:c r="I273" t="n">
        <x:v>1.29</x:v>
      </x:c>
      <x:c r="J273" t="n">
        <x:v>16913.3</x:v>
      </x:c>
      <x:c r="K273" t="n">
        <x:v>390671.58</x:v>
      </x:c>
      <x:c r="L273" t="n">
        <x:v>9809.2</x:v>
      </x:c>
      <x:c r="M273" t="n">
        <x:f>SUM(E273,J273:L273)</x:f>
        <x:v>5008833.68</x:v>
      </x:c>
      <x:c r="N273" t="n">
        <x:v>1380</x:v>
      </x:c>
      <x:c r="O273" t="n">
        <x:f>D273*N273</x:f>
        <x:v>6804780</x:v>
      </x:c>
      <x:c r="P273" s="22" t="n">
        <x:f>IF(O273=0,0,(M273-O273)/O273)</x:f>
        <x:v>-0.2639242297326292</x:v>
      </x:c>
      <x:c r="Q273" s="20" t="n">
        <x:v>45495</x:v>
      </x:c>
    </x:row>
    <x:row r="274" ht="20" customHeight="1">
      <x:c r="A274" t="str">
        <x:v>WO00249</x:v>
      </x:c>
      <x:c r="B274" t="str">
        <x:v>LOT00249</x:v>
      </x:c>
      <x:c r="C274" t="str">
        <x:v>SEMI-WH-B</x:v>
      </x:c>
      <x:c r="D274" t="n">
        <x:v>59</x:v>
      </x:c>
      <x:c r="E274" t="n">
        <x:v>4543513.53</x:v>
      </x:c>
      <x:c r="F274" t="n">
        <x:v>1.61</x:v>
      </x:c>
      <x:c r="G274" t="n">
        <x:v>0</x:v>
      </x:c>
      <x:c r="H274" t="n">
        <x:v>0.5</x:v>
      </x:c>
      <x:c r="I274" t="n">
        <x:v>2.9</x:v>
      </x:c>
      <x:c r="J274" t="n">
        <x:v>1286.5</x:v>
      </x:c>
      <x:c r="K274" t="n">
        <x:v>645917.57</x:v>
      </x:c>
      <x:c r="L274" t="n">
        <x:v>1561.8</x:v>
      </x:c>
      <x:c r="M274" t="n">
        <x:f>SUM(E274,J274:L274)</x:f>
        <x:v>5192279.4</x:v>
      </x:c>
      <x:c r="N274" t="n">
        <x:v>130000</x:v>
      </x:c>
      <x:c r="O274" t="n">
        <x:f>D274*N274</x:f>
        <x:v>7670000</x:v>
      </x:c>
      <x:c r="P274" s="22" t="n">
        <x:f>IF(O274=0,0,(M274-O274)/O274)</x:f>
        <x:v>-0.32304049543676655</x:v>
      </x:c>
      <x:c r="Q274" s="20" t="n">
        <x:v>45528</x:v>
      </x:c>
    </x:row>
    <x:row r="275" ht="20" customHeight="1">
      <x:c r="A275" t="str">
        <x:v>WO00250</x:v>
      </x:c>
      <x:c r="B275" t="str">
        <x:v>LOT00250</x:v>
      </x:c>
      <x:c r="C275" t="str">
        <x:v>SEMI-WH-B</x:v>
      </x:c>
      <x:c r="D275" t="n">
        <x:v>59</x:v>
      </x:c>
      <x:c r="E275" t="n">
        <x:v>4505238.04</x:v>
      </x:c>
      <x:c r="F275" t="n">
        <x:v>1.7</x:v>
      </x:c>
      <x:c r="G275" t="n">
        <x:v>0</x:v>
      </x:c>
      <x:c r="H275" t="n">
        <x:v>0.54</x:v>
      </x:c>
      <x:c r="I275" t="n">
        <x:v>3.05</x:v>
      </x:c>
      <x:c r="J275" t="n">
        <x:v>1364.2</x:v>
      </x:c>
      <x:c r="K275" t="n">
        <x:v>595292.05</x:v>
      </x:c>
      <x:c r="L275" t="n">
        <x:v>1647.4</x:v>
      </x:c>
      <x:c r="M275" t="n">
        <x:f>SUM(E275,J275:L275)</x:f>
        <x:v>5103541.69</x:v>
      </x:c>
      <x:c r="N275" t="n">
        <x:v>130000</x:v>
      </x:c>
      <x:c r="O275" t="n">
        <x:f>D275*N275</x:f>
        <x:v>7670000</x:v>
      </x:c>
      <x:c r="P275" s="22" t="n">
        <x:f>IF(O275=0,0,(M275-O275)/O275)</x:f>
        <x:v>-0.33460994915254233</x:v>
      </x:c>
      <x:c r="Q275" s="20" t="n">
        <x:v>45529</x:v>
      </x:c>
    </x:row>
    <x:row r="276" ht="20" customHeight="1">
      <x:c r="A276" t="str">
        <x:v>WO00264</x:v>
      </x:c>
      <x:c r="B276" t="str">
        <x:v>LOT00264</x:v>
      </x:c>
      <x:c r="C276" t="str">
        <x:v>AUTO-FL-B</x:v>
      </x:c>
      <x:c r="D276" t="n">
        <x:v>6979</x:v>
      </x:c>
      <x:c r="E276" t="n">
        <x:v>5109279.69</x:v>
      </x:c>
      <x:c r="F276" t="n">
        <x:v>34.84</x:v>
      </x:c>
      <x:c r="G276" t="n">
        <x:v>0</x:v>
      </x:c>
      <x:c r="H276" t="n">
        <x:v>6</x:v>
      </x:c>
      <x:c r="I276" t="n">
        <x:v>1.25</x:v>
      </x:c>
      <x:c r="J276" t="n">
        <x:v>25526</x:v>
      </x:c>
      <x:c r="K276" t="n">
        <x:v>436676.37</x:v>
      </x:c>
      <x:c r="L276" t="n">
        <x:v>14574.2</x:v>
      </x:c>
      <x:c r="M276" t="n">
        <x:f>SUM(E276,J276:L276)</x:f>
        <x:v>5586056.260000001</x:v>
      </x:c>
      <x:c r="N276" t="n">
        <x:v>1170</x:v>
      </x:c>
      <x:c r="O276" t="n">
        <x:f>D276*N276</x:f>
        <x:v>8165430</x:v>
      </x:c>
      <x:c r="P276" s="22" t="n">
        <x:f>IF(O276=0,0,(M276-O276)/O276)</x:f>
        <x:v>-0.31588951714729036</x:v>
      </x:c>
      <x:c r="Q276" s="20" t="n">
        <x:v>45494</x:v>
      </x:c>
    </x:row>
    <x:row r="277" ht="20" customHeight="1">
      <x:c r="A277" t="str">
        <x:v>WO00283</x:v>
      </x:c>
      <x:c r="B277" t="str">
        <x:v>LOT00283</x:v>
      </x:c>
      <x:c r="C277" t="str">
        <x:v>AUTO-LG-A</x:v>
      </x:c>
      <x:c r="D277" t="n">
        <x:v>2997</x:v>
      </x:c>
      <x:c r="E277" t="n">
        <x:v>1599471.59</x:v>
      </x:c>
      <x:c r="F277" t="n">
        <x:v>15.92</x:v>
      </x:c>
      <x:c r="G277" t="n">
        <x:v>0</x:v>
      </x:c>
      <x:c r="H277" t="n">
        <x:v>2.61</x:v>
      </x:c>
      <x:c r="I277" t="n">
        <x:v>0.96</x:v>
      </x:c>
      <x:c r="J277" t="n">
        <x:v>11600.8</x:v>
      </x:c>
      <x:c r="K277" t="n">
        <x:v>127533.86</x:v>
      </x:c>
      <x:c r="L277" t="n">
        <x:v>6755.2</x:v>
      </x:c>
      <x:c r="M277" t="n">
        <x:f>SUM(E277,J277:L277)</x:f>
        <x:v>1745361.4500000002</x:v>
      </x:c>
      <x:c r="N277" t="n">
        <x:v>840</x:v>
      </x:c>
      <x:c r="O277" t="n">
        <x:f>D277*N277</x:f>
        <x:v>2517480</x:v>
      </x:c>
      <x:c r="P277" s="22" t="n">
        <x:f>IF(O277=0,0,(M277-O277)/O277)</x:f>
        <x:v>-0.30670295295295286</x:v>
      </x:c>
      <x:c r="Q277" s="20" t="n">
        <x:v>45493</x:v>
      </x:c>
    </x:row>
    <x:row r="278" ht="20" customHeight="1">
      <x:c r="A278" t="str">
        <x:v>WO00277</x:v>
      </x:c>
      <x:c r="B278" t="str">
        <x:v>LOT00277</x:v>
      </x:c>
      <x:c r="C278" t="str">
        <x:v>MECH-STG-A</x:v>
      </x:c>
      <x:c r="D278" t="n">
        <x:v>10</x:v>
      </x:c>
      <x:c r="E278" t="n">
        <x:v>705476.63</x:v>
      </x:c>
      <x:c r="F278" t="n">
        <x:v>716.54</x:v>
      </x:c>
      <x:c r="G278" t="n">
        <x:v>2305.41</x:v>
      </x:c>
      <x:c r="H278" t="n">
        <x:v>1949.46</x:v>
      </x:c>
      <x:c r="I278" t="n">
        <x:v>3.05</x:v>
      </x:c>
      <x:c r="J278" t="n">
        <x:v>2600305</x:v>
      </x:c>
      <x:c r="K278" t="n">
        <x:v>62176.82</x:v>
      </x:c>
      <x:c r="L278" t="n">
        <x:v>1046195.8</x:v>
      </x:c>
      <x:c r="M278" t="n">
        <x:f>SUM(E278,J278:L278)</x:f>
        <x:v>4414154.25</x:v>
      </x:c>
      <x:c r="N278" t="n">
        <x:v>104000</x:v>
      </x:c>
      <x:c r="O278" t="n">
        <x:f>D278*N278</x:f>
        <x:v>1040000</x:v>
      </x:c>
      <x:c r="P278" s="22" t="n">
        <x:f>IF(O278=0,0,(M278-O278)/O278)</x:f>
        <x:v>3.2443790865384616</x:v>
      </x:c>
      <x:c r="Q278" s="20" t="n">
        <x:v>45525</x:v>
      </x:c>
    </x:row>
    <x:row r="279" ht="20" customHeight="1">
      <x:c r="A279" t="str">
        <x:v>WO00267</x:v>
      </x:c>
      <x:c r="B279" t="str">
        <x:v>LOT00267</x:v>
      </x:c>
      <x:c r="C279" t="str">
        <x:v>PM-ALB-B</x:v>
      </x:c>
      <x:c r="D279" t="n">
        <x:v>491</x:v>
      </x:c>
      <x:c r="E279" t="n">
        <x:v>4160303.66</x:v>
      </x:c>
      <x:c r="F279" t="n">
        <x:v>3.8</x:v>
      </x:c>
      <x:c r="G279" t="n">
        <x:v>0</x:v>
      </x:c>
      <x:c r="H279" t="n">
        <x:v>0.96</x:v>
      </x:c>
      <x:c r="I279" t="n">
        <x:v>1.49</x:v>
      </x:c>
      <x:c r="J279" t="n">
        <x:v>2930.8</x:v>
      </x:c>
      <x:c r="K279" t="n">
        <x:v>204928.23</x:v>
      </x:c>
      <x:c r="L279" t="n">
        <x:v>2044.6</x:v>
      </x:c>
      <x:c r="M279" t="n">
        <x:f>SUM(E279,J279:L279)</x:f>
        <x:v>4370207.29</x:v>
      </x:c>
      <x:c r="N279" t="n">
        <x:v>11750</x:v>
      </x:c>
      <x:c r="O279" t="n">
        <x:f>D279*N279</x:f>
        <x:v>5769250</x:v>
      </x:c>
      <x:c r="P279" s="22" t="n">
        <x:f>IF(O279=0,0,(M279-O279)/O279)</x:f>
        <x:v>-0.24249992806690643</x:v>
      </x:c>
      <x:c r="Q279" s="20" t="n">
        <x:v>45506</x:v>
      </x:c>
    </x:row>
    <x:row r="280" ht="20" customHeight="1">
      <x:c r="A280" t="str">
        <x:v>WO00255</x:v>
      </x:c>
      <x:c r="B280" t="str">
        <x:v>LOT00255</x:v>
      </x:c>
      <x:c r="C280" t="str">
        <x:v>PM-VAC-B</x:v>
      </x:c>
      <x:c r="D280" t="n">
        <x:v>777</x:v>
      </x:c>
      <x:c r="E280" t="n">
        <x:v>8005699.82</x:v>
      </x:c>
      <x:c r="F280" t="n">
        <x:v>7.01</x:v>
      </x:c>
      <x:c r="G280" t="n">
        <x:v>0</x:v>
      </x:c>
      <x:c r="H280" t="n">
        <x:v>1.31</x:v>
      </x:c>
      <x:c r="I280" t="n">
        <x:v>1.66</x:v>
      </x:c>
      <x:c r="J280" t="n">
        <x:v>5185.3</x:v>
      </x:c>
      <x:c r="K280" t="n">
        <x:v>875503.3</x:v>
      </x:c>
      <x:c r="L280" t="n">
        <x:v>3371.4</x:v>
      </x:c>
      <x:c r="M280" t="n">
        <x:f>SUM(E280,J280:L280)</x:f>
        <x:v>8889759.82</x:v>
      </x:c>
      <x:c r="N280" t="n">
        <x:v>15500</x:v>
      </x:c>
      <x:c r="O280" t="n">
        <x:f>D280*N280</x:f>
        <x:v>12043500</x:v>
      </x:c>
      <x:c r="P280" s="22" t="n">
        <x:f>IF(O280=0,0,(M280-O280)/O280)</x:f>
        <x:v>-0.2618624303566239</x:v>
      </x:c>
      <x:c r="Q280" s="20" t="n">
        <x:v>45513</x:v>
      </x:c>
    </x:row>
    <x:row r="281" ht="20" customHeight="1">
      <x:c r="A281" t="str">
        <x:v>WO00256</x:v>
      </x:c>
      <x:c r="B281" t="str">
        <x:v>LOT00256</x:v>
      </x:c>
      <x:c r="C281" t="str">
        <x:v>PM-VAC-B</x:v>
      </x:c>
      <x:c r="D281" t="n">
        <x:v>788</x:v>
      </x:c>
      <x:c r="E281" t="n">
        <x:v>7655920.41</x:v>
      </x:c>
      <x:c r="F281" t="n">
        <x:v>6.51</x:v>
      </x:c>
      <x:c r="G281" t="n">
        <x:v>0</x:v>
      </x:c>
      <x:c r="H281" t="n">
        <x:v>1.5</x:v>
      </x:c>
      <x:c r="I281" t="n">
        <x:v>1.66</x:v>
      </x:c>
      <x:c r="J281" t="n">
        <x:v>4951.5</x:v>
      </x:c>
      <x:c r="K281" t="n">
        <x:v>792811</x:v>
      </x:c>
      <x:c r="L281" t="n">
        <x:v>3211.8</x:v>
      </x:c>
      <x:c r="M281" t="n">
        <x:f>SUM(E281,J281:L281)</x:f>
        <x:v>8456894.71</x:v>
      </x:c>
      <x:c r="N281" t="n">
        <x:v>15500</x:v>
      </x:c>
      <x:c r="O281" t="n">
        <x:f>D281*N281</x:f>
        <x:v>12214000</x:v>
      </x:c>
      <x:c r="P281" s="22" t="n">
        <x:f>IF(O281=0,0,(M281-O281)/O281)</x:f>
        <x:v>-0.3076064589814966</x:v>
      </x:c>
      <x:c r="Q281" s="20" t="n">
        <x:v>45514</x:v>
      </x:c>
    </x:row>
    <x:row r="282" ht="20" customHeight="1">
      <x:c r="A282" t="str">
        <x:v>WO00262</x:v>
      </x:c>
      <x:c r="B282" t="str">
        <x:v>LOT00262</x:v>
      </x:c>
      <x:c r="C282" t="str">
        <x:v>AUTO-FL-B</x:v>
      </x:c>
      <x:c r="D282" t="n">
        <x:v>4913</x:v>
      </x:c>
      <x:c r="E282" t="n">
        <x:v>3681221.29</x:v>
      </x:c>
      <x:c r="F282" t="n">
        <x:v>25.46</x:v>
      </x:c>
      <x:c r="G282" t="n">
        <x:v>0</x:v>
      </x:c>
      <x:c r="H282" t="n">
        <x:v>4.49</x:v>
      </x:c>
      <x:c r="I282" t="n">
        <x:v>1.14</x:v>
      </x:c>
      <x:c r="J282" t="n">
        <x:v>18704.2</x:v>
      </x:c>
      <x:c r="K282" t="n">
        <x:v>286401.24</x:v>
      </x:c>
      <x:c r="L282" t="n">
        <x:v>10735.2</x:v>
      </x:c>
      <x:c r="M282" t="n">
        <x:f>SUM(E282,J282:L282)</x:f>
        <x:v>3997061.93</x:v>
      </x:c>
      <x:c r="N282" t="n">
        <x:v>1170</x:v>
      </x:c>
      <x:c r="O282" t="n">
        <x:f>D282*N282</x:f>
        <x:v>5748210</x:v>
      </x:c>
      <x:c r="P282" s="22" t="n">
        <x:f>IF(O282=0,0,(M282-O282)/O282)</x:f>
        <x:v>-0.30464232691568327</x:v>
      </x:c>
      <x:c r="Q282" s="20" t="n">
        <x:v>45506</x:v>
      </x:c>
    </x:row>
    <x:row r="283" ht="20" customHeight="1">
      <x:c r="A283" t="str">
        <x:v>WO00281</x:v>
      </x:c>
      <x:c r="B283" t="str">
        <x:v>LOT00281</x:v>
      </x:c>
      <x:c r="C283" t="str">
        <x:v>AUTO-FL-B</x:v>
      </x:c>
      <x:c r="D283" t="n">
        <x:v>4939</x:v>
      </x:c>
      <x:c r="E283" t="n">
        <x:v>3830678.75</x:v>
      </x:c>
      <x:c r="F283" t="n">
        <x:v>27.18</x:v>
      </x:c>
      <x:c r="G283" t="n">
        <x:v>0</x:v>
      </x:c>
      <x:c r="H283" t="n">
        <x:v>4.57</x:v>
      </x:c>
      <x:c r="I283" t="n">
        <x:v>1.21</x:v>
      </x:c>
      <x:c r="J283" t="n">
        <x:v>19860.6</x:v>
      </x:c>
      <x:c r="K283" t="n">
        <x:v>271054.88</x:v>
      </x:c>
      <x:c r="L283" t="n">
        <x:v>11422.6</x:v>
      </x:c>
      <x:c r="M283" t="n">
        <x:f>SUM(E283,J283:L283)</x:f>
        <x:v>4133016.83</x:v>
      </x:c>
      <x:c r="N283" t="n">
        <x:v>1170</x:v>
      </x:c>
      <x:c r="O283" t="n">
        <x:f>D283*N283</x:f>
        <x:v>5778630</x:v>
      </x:c>
      <x:c r="P283" s="22" t="n">
        <x:f>IF(O283=0,0,(M283-O283)/O283)</x:f>
        <x:v>-0.2847756596286663</x:v>
      </x:c>
      <x:c r="Q283" s="20" t="n">
        <x:v>45499</x:v>
      </x:c>
    </x:row>
    <x:row r="284" ht="20" customHeight="1">
      <x:c r="A284" t="str">
        <x:v>WO00298</x:v>
      </x:c>
      <x:c r="B284" t="str">
        <x:v>LOT00298</x:v>
      </x:c>
      <x:c r="C284" t="str">
        <x:v>PM-BRG-A</x:v>
      </x:c>
      <x:c r="D284" t="n">
        <x:v>780</x:v>
      </x:c>
      <x:c r="E284" t="n">
        <x:v>2013208.95</x:v>
      </x:c>
      <x:c r="F284" t="n">
        <x:v>6.65</x:v>
      </x:c>
      <x:c r="G284" t="n">
        <x:v>0</x:v>
      </x:c>
      <x:c r="H284" t="n">
        <x:v>1.69</x:v>
      </x:c>
      <x:c r="I284" t="n">
        <x:v>1.79</x:v>
      </x:c>
      <x:c r="J284" t="n">
        <x:v>5133.7</x:v>
      </x:c>
      <x:c r="K284" t="n">
        <x:v>174004.5</x:v>
      </x:c>
      <x:c r="L284" t="n">
        <x:v>3334.4</x:v>
      </x:c>
      <x:c r="M284" t="n">
        <x:f>SUM(E284,J284:L284)</x:f>
        <x:v>2195681.55</x:v>
      </x:c>
      <x:c r="N284" t="n">
        <x:v>4450</x:v>
      </x:c>
      <x:c r="O284" t="n">
        <x:f>D284*N284</x:f>
        <x:v>3471000</x:v>
      </x:c>
      <x:c r="P284" s="22" t="n">
        <x:f>IF(O284=0,0,(M284-O284)/O284)</x:f>
        <x:v>-0.3674210458081245</x:v>
      </x:c>
      <x:c r="Q284" s="20" t="n">
        <x:v>45503</x:v>
      </x:c>
    </x:row>
    <x:row r="285" ht="20" customHeight="1">
      <x:c r="A285" t="str">
        <x:v>WO00299</x:v>
      </x:c>
      <x:c r="B285" t="str">
        <x:v>LOT00299</x:v>
      </x:c>
      <x:c r="C285" t="str">
        <x:v>PM-BRG-A</x:v>
      </x:c>
      <x:c r="D285" t="n">
        <x:v>786</x:v>
      </x:c>
      <x:c r="E285" t="n">
        <x:v>2008658.38</x:v>
      </x:c>
      <x:c r="F285" t="n">
        <x:v>7</x:v>
      </x:c>
      <x:c r="G285" t="n">
        <x:v>0</x:v>
      </x:c>
      <x:c r="H285" t="n">
        <x:v>1.36</x:v>
      </x:c>
      <x:c r="I285" t="n">
        <x:v>1.84</x:v>
      </x:c>
      <x:c r="J285" t="n">
        <x:v>5202.8</x:v>
      </x:c>
      <x:c r="K285" t="n">
        <x:v>170963.88</x:v>
      </x:c>
      <x:c r="L285" t="n">
        <x:v>3429.6</x:v>
      </x:c>
      <x:c r="M285" t="n">
        <x:f>SUM(E285,J285:L285)</x:f>
        <x:v>2188254.6599999997</x:v>
      </x:c>
      <x:c r="N285" t="n">
        <x:v>4450</x:v>
      </x:c>
      <x:c r="O285" t="n">
        <x:f>D285*N285</x:f>
        <x:v>3497700</x:v>
      </x:c>
      <x:c r="P285" s="22" t="n">
        <x:f>IF(O285=0,0,(M285-O285)/O285)</x:f>
        <x:v>-0.3743732567115534</x:v>
      </x:c>
      <x:c r="Q285" s="20" t="n">
        <x:v>45503</x:v>
      </x:c>
    </x:row>
    <x:row r="286" ht="20" customHeight="1">
      <x:c r="A286" t="str">
        <x:v>WO00296</x:v>
      </x:c>
      <x:c r="B286" t="str">
        <x:v>LOT00296</x:v>
      </x:c>
      <x:c r="C286" t="str">
        <x:v>PM-ALB-A</x:v>
      </x:c>
      <x:c r="D286" t="n">
        <x:v>592</x:v>
      </x:c>
      <x:c r="E286" t="n">
        <x:v>3230132.14</x:v>
      </x:c>
      <x:c r="F286" t="n">
        <x:v>5.42</x:v>
      </x:c>
      <x:c r="G286" t="n">
        <x:v>0</x:v>
      </x:c>
      <x:c r="H286" t="n">
        <x:v>1.27</x:v>
      </x:c>
      <x:c r="I286" t="n">
        <x:v>1.78</x:v>
      </x:c>
      <x:c r="J286" t="n">
        <x:v>4132.6</x:v>
      </x:c>
      <x:c r="K286" t="n">
        <x:v>198330.4</x:v>
      </x:c>
      <x:c r="L286" t="n">
        <x:v>2796.8</x:v>
      </x:c>
      <x:c r="M286" t="n">
        <x:f>SUM(E286,J286:L286)</x:f>
        <x:v>3435391.94</x:v>
      </x:c>
      <x:c r="N286" t="n">
        <x:v>8100</x:v>
      </x:c>
      <x:c r="O286" t="n">
        <x:f>D286*N286</x:f>
        <x:v>4795200</x:v>
      </x:c>
      <x:c r="P286" s="22" t="n">
        <x:f>IF(O286=0,0,(M286-O286)/O286)</x:f>
        <x:v>-0.2835769227560894</x:v>
      </x:c>
      <x:c r="Q286" s="20" t="n">
        <x:v>45516</x:v>
      </x:c>
    </x:row>
    <x:row r="287" ht="20" customHeight="1">
      <x:c r="A287" t="str">
        <x:v>WO00297</x:v>
      </x:c>
      <x:c r="B287" t="str">
        <x:v>LOT00297</x:v>
      </x:c>
      <x:c r="C287" t="str">
        <x:v>AUTO-FL-B</x:v>
      </x:c>
      <x:c r="D287" t="n">
        <x:v>6836</x:v>
      </x:c>
      <x:c r="E287" t="n">
        <x:v>5273538.68</x:v>
      </x:c>
      <x:c r="F287" t="n">
        <x:v>34.81</x:v>
      </x:c>
      <x:c r="G287" t="n">
        <x:v>0</x:v>
      </x:c>
      <x:c r="H287" t="n">
        <x:v>5.71</x:v>
      </x:c>
      <x:c r="I287" t="n">
        <x:v>1.26</x:v>
      </x:c>
      <x:c r="J287" t="n">
        <x:v>25367.3</x:v>
      </x:c>
      <x:c r="K287" t="n">
        <x:v>419827.18</x:v>
      </x:c>
      <x:c r="L287" t="n">
        <x:v>14519.4</x:v>
      </x:c>
      <x:c r="M287" t="n">
        <x:f>SUM(E287,J287:L287)</x:f>
        <x:v>5733252.56</x:v>
      </x:c>
      <x:c r="N287" t="n">
        <x:v>1170</x:v>
      </x:c>
      <x:c r="O287" t="n">
        <x:f>D287*N287</x:f>
        <x:v>7998120</x:v>
      </x:c>
      <x:c r="P287" s="22" t="n">
        <x:f>IF(O287=0,0,(M287-O287)/O287)</x:f>
        <x:v>-0.28317497611938813</x:v>
      </x:c>
      <x:c r="Q287" s="20" t="n">
        <x:v>45505</x:v>
      </x:c>
    </x:row>
    <x:row r="288" ht="20" customHeight="1">
      <x:c r="A288" t="str">
        <x:v>WO00282</x:v>
      </x:c>
      <x:c r="B288" t="str">
        <x:v>LOT00282</x:v>
      </x:c>
      <x:c r="C288" t="str">
        <x:v>PM-BRG-B</x:v>
      </x:c>
      <x:c r="D288" t="n">
        <x:v>797</x:v>
      </x:c>
      <x:c r="E288" t="n">
        <x:v>2516128.13</x:v>
      </x:c>
      <x:c r="F288" t="n">
        <x:v>6.72</x:v>
      </x:c>
      <x:c r="G288" t="n">
        <x:v>0</x:v>
      </x:c>
      <x:c r="H288" t="n">
        <x:v>1.62</x:v>
      </x:c>
      <x:c r="I288" t="n">
        <x:v>1.66</x:v>
      </x:c>
      <x:c r="J288" t="n">
        <x:v>5145.6</x:v>
      </x:c>
      <x:c r="K288" t="n">
        <x:v>198162.67</x:v>
      </x:c>
      <x:c r="L288" t="n">
        <x:v>3310.8</x:v>
      </x:c>
      <x:c r="M288" t="n">
        <x:f>SUM(E288,J288:L288)</x:f>
        <x:v>2722747.1999999997</x:v>
      </x:c>
      <x:c r="N288" t="n">
        <x:v>5400</x:v>
      </x:c>
      <x:c r="O288" t="n">
        <x:f>D288*N288</x:f>
        <x:v>4303800</x:v>
      </x:c>
      <x:c r="P288" s="22" t="n">
        <x:f>IF(O288=0,0,(M288-O288)/O288)</x:f>
        <x:v>-0.3673620521399694</x:v>
      </x:c>
      <x:c r="Q288" s="20" t="n">
        <x:v>45507</x:v>
      </x:c>
    </x:row>
    <x:row r="289" ht="20" customHeight="1">
      <x:c r="A289" t="str">
        <x:v>WO00292</x:v>
      </x:c>
      <x:c r="B289" t="str">
        <x:v>LOT00292</x:v>
      </x:c>
      <x:c r="C289" t="str">
        <x:v>AUTO-LG-A</x:v>
      </x:c>
      <x:c r="D289" t="n">
        <x:v>6952</x:v>
      </x:c>
      <x:c r="E289" t="n">
        <x:v>3845583.24</x:v>
      </x:c>
      <x:c r="F289" t="n">
        <x:v>34.36</x:v>
      </x:c>
      <x:c r="G289" t="n">
        <x:v>0</x:v>
      </x:c>
      <x:c r="H289" t="n">
        <x:v>5.91</x:v>
      </x:c>
      <x:c r="I289" t="n">
        <x:v>1.15</x:v>
      </x:c>
      <x:c r="J289" t="n">
        <x:v>25170.8</x:v>
      </x:c>
      <x:c r="K289" t="n">
        <x:v>285546.14</x:v>
      </x:c>
      <x:c r="L289" t="n">
        <x:v>14347.4</x:v>
      </x:c>
      <x:c r="M289" t="n">
        <x:f>SUM(E289,J289:L289)</x:f>
        <x:v>4170647.58</x:v>
      </x:c>
      <x:c r="N289" t="n">
        <x:v>840</x:v>
      </x:c>
      <x:c r="O289" t="n">
        <x:f>D289*N289</x:f>
        <x:v>5839680</x:v>
      </x:c>
      <x:c r="P289" s="22" t="n">
        <x:f>IF(O289=0,0,(M289-O289)/O289)</x:f>
        <x:v>-0.28580888336347193</x:v>
      </x:c>
      <x:c r="Q289" s="20" t="n">
        <x:v>45507</x:v>
      </x:c>
    </x:row>
    <x:row r="290" ht="20" customHeight="1">
      <x:c r="A290" t="str">
        <x:v>WO00295</x:v>
      </x:c>
      <x:c r="B290" t="str">
        <x:v>LOT00295</x:v>
      </x:c>
      <x:c r="C290" t="str">
        <x:v>PM-ALB-A</x:v>
      </x:c>
      <x:c r="D290" t="n">
        <x:v>591</x:v>
      </x:c>
      <x:c r="E290" t="n">
        <x:v>3317241.97</x:v>
      </x:c>
      <x:c r="F290" t="n">
        <x:v>5.37</x:v>
      </x:c>
      <x:c r="G290" t="n">
        <x:v>0</x:v>
      </x:c>
      <x:c r="H290" t="n">
        <x:v>1.1</x:v>
      </x:c>
      <x:c r="I290" t="n">
        <x:v>1.74</x:v>
      </x:c>
      <x:c r="J290" t="n">
        <x:v>4018.5</x:v>
      </x:c>
      <x:c r="K290" t="n">
        <x:v>198099.98</x:v>
      </x:c>
      <x:c r="L290" t="n">
        <x:v>2738.6</x:v>
      </x:c>
      <x:c r="M290" t="n">
        <x:f>SUM(E290,J290:L290)</x:f>
        <x:v>3522099.0500000003</x:v>
      </x:c>
      <x:c r="N290" t="n">
        <x:v>8100</x:v>
      </x:c>
      <x:c r="O290" t="n">
        <x:f>D290*N290</x:f>
        <x:v>4787100</x:v>
      </x:c>
      <x:c r="P290" s="22" t="n">
        <x:f>IF(O290=0,0,(M290-O290)/O290)</x:f>
        <x:v>-0.26425204194606333</x:v>
      </x:c>
      <x:c r="Q290" s="20" t="n">
        <x:v>45515</x:v>
      </x:c>
    </x:row>
    <x:row r="291" ht="20" customHeight="1">
      <x:c r="A291" t="str">
        <x:v>WO00284</x:v>
      </x:c>
      <x:c r="B291" t="str">
        <x:v>LOT00284</x:v>
      </x:c>
      <x:c r="C291" t="str">
        <x:v>AUTO-BRK-A</x:v>
      </x:c>
      <x:c r="D291" t="n">
        <x:v>6432</x:v>
      </x:c>
      <x:c r="E291" t="n">
        <x:v>5671437.3</x:v>
      </x:c>
      <x:c r="F291" t="n">
        <x:v>37.88</x:v>
      </x:c>
      <x:c r="G291" t="n">
        <x:v>0</x:v>
      </x:c>
      <x:c r="H291" t="n">
        <x:v>4.98</x:v>
      </x:c>
      <x:c r="I291" t="n">
        <x:v>1.1</x:v>
      </x:c>
      <x:c r="J291" t="n">
        <x:v>27012.4</x:v>
      </x:c>
      <x:c r="K291" t="n">
        <x:v>569689.87</x:v>
      </x:c>
      <x:c r="L291" t="n">
        <x:v>15521.2</x:v>
      </x:c>
      <x:c r="M291" t="n">
        <x:f>SUM(E291,J291:L291)</x:f>
        <x:v>6283660.77</x:v>
      </x:c>
      <x:c r="N291" t="n">
        <x:v>1380</x:v>
      </x:c>
      <x:c r="O291" t="n">
        <x:f>D291*N291</x:f>
        <x:v>8876160</x:v>
      </x:c>
      <x:c r="P291" s="22" t="n">
        <x:f>IF(O291=0,0,(M291-O291)/O291)</x:f>
        <x:v>-0.29207441393575606</x:v>
      </x:c>
      <x:c r="Q291" s="20" t="n">
        <x:v>45509</x:v>
      </x:c>
    </x:row>
    <x:row r="292" ht="20" customHeight="1">
      <x:c r="A292" t="str">
        <x:v>WO00285</x:v>
      </x:c>
      <x:c r="B292" t="str">
        <x:v>LOT00285</x:v>
      </x:c>
      <x:c r="C292" t="str">
        <x:v>AUTO-BRK-A</x:v>
      </x:c>
      <x:c r="D292" t="n">
        <x:v>6288</x:v>
      </x:c>
      <x:c r="E292" t="n">
        <x:v>5699786.09</x:v>
      </x:c>
      <x:c r="F292" t="n">
        <x:v>34.08</x:v>
      </x:c>
      <x:c r="G292" t="n">
        <x:v>0</x:v>
      </x:c>
      <x:c r="H292" t="n">
        <x:v>5.91</x:v>
      </x:c>
      <x:c r="I292" t="n">
        <x:v>1.25</x:v>
      </x:c>
      <x:c r="J292" t="n">
        <x:v>24988.8</x:v>
      </x:c>
      <x:c r="K292" t="n">
        <x:v>503732.63</x:v>
      </x:c>
      <x:c r="L292" t="n">
        <x:v>14271</x:v>
      </x:c>
      <x:c r="M292" t="n">
        <x:f>SUM(E292,J292:L292)</x:f>
        <x:v>6242778.52</x:v>
      </x:c>
      <x:c r="N292" t="n">
        <x:v>1380</x:v>
      </x:c>
      <x:c r="O292" t="n">
        <x:f>D292*N292</x:f>
        <x:v>8677440</x:v>
      </x:c>
      <x:c r="P292" s="22" t="n">
        <x:f>IF(O292=0,0,(M292-O292)/O292)</x:f>
        <x:v>-0.2805737037651658</x:v>
      </x:c>
      <x:c r="Q292" s="20" t="n">
        <x:v>45506</x:v>
      </x:c>
    </x:row>
    <x:row r="293" ht="20" customHeight="1">
      <x:c r="A293" t="str">
        <x:v>WO00307</x:v>
      </x:c>
      <x:c r="B293" t="str">
        <x:v>LOT00307</x:v>
      </x:c>
      <x:c r="C293" t="str">
        <x:v>PM-ALB-B</x:v>
      </x:c>
      <x:c r="D293" t="n">
        <x:v>587</x:v>
      </x:c>
      <x:c r="E293" t="n">
        <x:v>4922790.07</x:v>
      </x:c>
      <x:c r="F293" t="n">
        <x:v>4.84</x:v>
      </x:c>
      <x:c r="G293" t="n">
        <x:v>0</x:v>
      </x:c>
      <x:c r="H293" t="n">
        <x:v>1.02</x:v>
      </x:c>
      <x:c r="I293" t="n">
        <x:v>1.85</x:v>
      </x:c>
      <x:c r="J293" t="n">
        <x:v>3635.6</x:v>
      </x:c>
      <x:c r="K293" t="n">
        <x:v>302359.43</x:v>
      </x:c>
      <x:c r="L293" t="n">
        <x:v>2557.4</x:v>
      </x:c>
      <x:c r="M293" t="n">
        <x:f>SUM(E293,J293:L293)</x:f>
        <x:v>5231342.5</x:v>
      </x:c>
      <x:c r="N293" t="n">
        <x:v>11750</x:v>
      </x:c>
      <x:c r="O293" t="n">
        <x:f>D293*N293</x:f>
        <x:v>6897250</x:v>
      </x:c>
      <x:c r="P293" s="22" t="n">
        <x:f>IF(O293=0,0,(M293-O293)/O293)</x:f>
        <x:v>-0.24153213237159737</x:v>
      </x:c>
      <x:c r="Q293" s="20" t="n">
        <x:v>45529</x:v>
      </x:c>
    </x:row>
    <x:row r="294" ht="20" customHeight="1">
      <x:c r="A294" t="str">
        <x:v>WO00308</x:v>
      </x:c>
      <x:c r="B294" t="str">
        <x:v>LOT00308</x:v>
      </x:c>
      <x:c r="C294" t="str">
        <x:v>PM-ALB-B</x:v>
      </x:c>
      <x:c r="D294" t="n">
        <x:v>591</x:v>
      </x:c>
      <x:c r="E294" t="n">
        <x:v>4652840.59</x:v>
      </x:c>
      <x:c r="F294" t="n">
        <x:v>5</x:v>
      </x:c>
      <x:c r="G294" t="n">
        <x:v>0</x:v>
      </x:c>
      <x:c r="H294" t="n">
        <x:v>1.2</x:v>
      </x:c>
      <x:c r="I294" t="n">
        <x:v>1.78</x:v>
      </x:c>
      <x:c r="J294" t="n">
        <x:v>3826</x:v>
      </x:c>
      <x:c r="K294" t="n">
        <x:v>274601.96</x:v>
      </x:c>
      <x:c r="L294" t="n">
        <x:v>2626</x:v>
      </x:c>
      <x:c r="M294" t="n">
        <x:f>SUM(E294,J294:L294)</x:f>
        <x:v>4933894.55</x:v>
      </x:c>
      <x:c r="N294" t="n">
        <x:v>11750</x:v>
      </x:c>
      <x:c r="O294" t="n">
        <x:f>D294*N294</x:f>
        <x:v>6944250</x:v>
      </x:c>
      <x:c r="P294" s="22" t="n">
        <x:f>IF(O294=0,0,(M294-O294)/O294)</x:f>
        <x:v>-0.28949929078014186</x:v>
      </x:c>
      <x:c r="Q294" s="20" t="n">
        <x:v>45525</x:v>
      </x:c>
    </x:row>
    <x:row r="295" ht="20" customHeight="1">
      <x:c r="A295" t="str">
        <x:v>WO00286</x:v>
      </x:c>
      <x:c r="B295" t="str">
        <x:v>LOT00286</x:v>
      </x:c>
      <x:c r="C295" t="str">
        <x:v>MECH-STG-A</x:v>
      </x:c>
      <x:c r="D295" t="n">
        <x:v>10</x:v>
      </x:c>
      <x:c r="E295" t="n">
        <x:v>671415.81</x:v>
      </x:c>
      <x:c r="F295" t="n">
        <x:v>873.96</x:v>
      </x:c>
      <x:c r="G295" t="n">
        <x:v>2474.87</x:v>
      </x:c>
      <x:c r="H295" t="n">
        <x:v>1629.07</x:v>
      </x:c>
      <x:c r="I295" t="n">
        <x:v>2.84</x:v>
      </x:c>
      <x:c r="J295" t="n">
        <x:v>2636960</x:v>
      </x:c>
      <x:c r="K295" t="n">
        <x:v>65251.25</x:v>
      </x:c>
      <x:c r="L295" t="n">
        <x:v>1088582</x:v>
      </x:c>
      <x:c r="M295" t="n">
        <x:f>SUM(E295,J295:L295)</x:f>
        <x:v>4462209.0600000005</x:v>
      </x:c>
      <x:c r="N295" t="n">
        <x:v>104000</x:v>
      </x:c>
      <x:c r="O295" t="n">
        <x:f>D295*N295</x:f>
        <x:v>1040000</x:v>
      </x:c>
      <x:c r="P295" s="22" t="n">
        <x:f>IF(O295=0,0,(M295-O295)/O295)</x:f>
        <x:v>3.2905856346153852</x:v>
      </x:c>
      <x:c r="Q295" s="20" t="n">
        <x:v>45537</x:v>
      </x:c>
    </x:row>
    <x:row r="296" ht="20" customHeight="1">
      <x:c r="A296" t="str">
        <x:v>WO00287</x:v>
      </x:c>
      <x:c r="B296" t="str">
        <x:v>LOT00287</x:v>
      </x:c>
      <x:c r="C296" t="str">
        <x:v>MECH-STG-B</x:v>
      </x:c>
      <x:c r="D296" t="n">
        <x:v>17</x:v>
      </x:c>
      <x:c r="E296" t="n">
        <x:v>1769659.03</x:v>
      </x:c>
      <x:c r="F296" t="n">
        <x:v>1364.8</x:v>
      </x:c>
      <x:c r="G296" t="n">
        <x:v>3665.56</x:v>
      </x:c>
      <x:c r="H296" t="n">
        <x:v>2771.38</x:v>
      </x:c>
      <x:c r="I296" t="n">
        <x:v>3.39</x:v>
      </x:c>
      <x:c r="J296" t="n">
        <x:v>4123473.6</x:v>
      </x:c>
      <x:c r="K296" t="n">
        <x:v>149709.09</x:v>
      </x:c>
      <x:c r="L296" t="n">
        <x:v>1696173.8</x:v>
      </x:c>
      <x:c r="M296" t="n">
        <x:f>SUM(E296,J296:L296)</x:f>
        <x:v>7739015.5200000005</x:v>
      </x:c>
      <x:c r="N296" t="n">
        <x:v>151000</x:v>
      </x:c>
      <x:c r="O296" t="n">
        <x:f>D296*N296</x:f>
        <x:v>2567000</x:v>
      </x:c>
      <x:c r="P296" s="22" t="n">
        <x:f>IF(O296=0,0,(M296-O296)/O296)</x:f>
        <x:v>2.0148093182703546</x:v>
      </x:c>
      <x:c r="Q296" s="20" t="n">
        <x:v>45545</x:v>
      </x:c>
    </x:row>
    <x:row r="297" ht="20" customHeight="1">
      <x:c r="A297" t="str">
        <x:v>WO00289</x:v>
      </x:c>
      <x:c r="B297" t="str">
        <x:v>LOT00289</x:v>
      </x:c>
      <x:c r="C297" t="str">
        <x:v>MECH-STG-B</x:v>
      </x:c>
      <x:c r="D297" t="n">
        <x:v>16</x:v>
      </x:c>
      <x:c r="E297" t="n">
        <x:v>1509263.68</x:v>
      </x:c>
      <x:c r="F297" t="n">
        <x:v>1152.73</x:v>
      </x:c>
      <x:c r="G297" t="n">
        <x:v>4242.4</x:v>
      </x:c>
      <x:c r="H297" t="n">
        <x:v>2567.48</x:v>
      </x:c>
      <x:c r="I297" t="n">
        <x:v>2.77</x:v>
      </x:c>
      <x:c r="J297" t="n">
        <x:v>4187712.9</x:v>
      </x:c>
      <x:c r="K297" t="n">
        <x:v>149272.96</x:v>
      </x:c>
      <x:c r="L297" t="n">
        <x:v>1698145.2</x:v>
      </x:c>
      <x:c r="M297" t="n">
        <x:f>SUM(E297,J297:L297)</x:f>
        <x:v>7544394.74</x:v>
      </x:c>
      <x:c r="N297" t="n">
        <x:v>151000</x:v>
      </x:c>
      <x:c r="O297" t="n">
        <x:f>D297*N297</x:f>
        <x:v>2416000</x:v>
      </x:c>
      <x:c r="P297" s="22" t="n">
        <x:f>IF(O297=0,0,(M297-O297)/O297)</x:f>
        <x:v>2.1226799420529803</x:v>
      </x:c>
      <x:c r="Q297" s="20" t="n">
        <x:v>45545</x:v>
      </x:c>
    </x:row>
    <x:row r="298" ht="20" customHeight="1">
      <x:c r="A298" t="str">
        <x:v>WO00305</x:v>
      </x:c>
      <x:c r="B298" t="str">
        <x:v>LOT00305</x:v>
      </x:c>
      <x:c r="C298" t="str">
        <x:v>MECH-STG-B</x:v>
      </x:c>
      <x:c r="D298" t="n">
        <x:v>10</x:v>
      </x:c>
      <x:c r="E298" t="n">
        <x:v>958708.56</x:v>
      </x:c>
      <x:c r="F298" t="n">
        <x:v>861.16</x:v>
      </x:c>
      <x:c r="G298" t="n">
        <x:v>2721.34</x:v>
      </x:c>
      <x:c r="H298" t="n">
        <x:v>1780.79</x:v>
      </x:c>
      <x:c r="I298" t="n">
        <x:v>3.03</x:v>
      </x:c>
      <x:c r="J298" t="n">
        <x:v>2829630</x:v>
      </x:c>
      <x:c r="K298" t="n">
        <x:v>84884.08</x:v>
      </x:c>
      <x:c r="L298" t="n">
        <x:v>1157344.2</x:v>
      </x:c>
      <x:c r="M298" t="n">
        <x:f>SUM(E298,J298:L298)</x:f>
        <x:v>5030566.84</x:v>
      </x:c>
      <x:c r="N298" t="n">
        <x:v>151000</x:v>
      </x:c>
      <x:c r="O298" t="n">
        <x:f>D298*N298</x:f>
        <x:v>1510000</x:v>
      </x:c>
      <x:c r="P298" s="22" t="n">
        <x:f>IF(O298=0,0,(M298-O298)/O298)</x:f>
        <x:v>2.331501218543046</x:v>
      </x:c>
      <x:c r="Q298" s="20" t="n">
        <x:v>45552</x:v>
      </x:c>
    </x:row>
    <x:row r="299" ht="20" customHeight="1">
      <x:c r="A299" t="str">
        <x:v>WO00288</x:v>
      </x:c>
      <x:c r="B299" t="str">
        <x:v>LOT00288</x:v>
      </x:c>
      <x:c r="C299" t="str">
        <x:v>MECH-STG-B</x:v>
      </x:c>
      <x:c r="D299" t="n">
        <x:v>17</x:v>
      </x:c>
      <x:c r="E299" t="n">
        <x:v>1603549.15</x:v>
      </x:c>
      <x:c r="F299" t="n">
        <x:v>1200.09</x:v>
      </x:c>
      <x:c r="G299" t="n">
        <x:v>4229.99</x:v>
      </x:c>
      <x:c r="H299" t="n">
        <x:v>3321.32</x:v>
      </x:c>
      <x:c r="I299" t="n">
        <x:v>2.97</x:v>
      </x:c>
      <x:c r="J299" t="n">
        <x:v>4573886.9</x:v>
      </x:c>
      <x:c r="K299" t="n">
        <x:v>147167.55</x:v>
      </x:c>
      <x:c r="L299" t="n">
        <x:v>1834334.4</x:v>
      </x:c>
      <x:c r="M299" t="n">
        <x:f>SUM(E299,J299:L299)</x:f>
        <x:v>8158938</x:v>
      </x:c>
      <x:c r="N299" t="n">
        <x:v>151000</x:v>
      </x:c>
      <x:c r="O299" t="n">
        <x:f>D299*N299</x:f>
        <x:v>2567000</x:v>
      </x:c>
      <x:c r="P299" s="22" t="n">
        <x:f>IF(O299=0,0,(M299-O299)/O299)</x:f>
        <x:v>2.178394234514998</x:v>
      </x:c>
      <x:c r="Q299" s="20" t="n">
        <x:v>45544</x:v>
      </x:c>
    </x:row>
    <x:row r="300" ht="20" customHeight="1">
      <x:c r="A300" t="str">
        <x:v>WO00306</x:v>
      </x:c>
      <x:c r="B300" t="str">
        <x:v>LOT00306</x:v>
      </x:c>
      <x:c r="C300" t="str">
        <x:v>AUTO-BS-A</x:v>
      </x:c>
      <x:c r="D300" t="n">
        <x:v>6841</x:v>
      </x:c>
      <x:c r="E300" t="n">
        <x:v>2361837</x:v>
      </x:c>
      <x:c r="F300" t="n">
        <x:v>32.4</x:v>
      </x:c>
      <x:c r="G300" t="n">
        <x:v>0</x:v>
      </x:c>
      <x:c r="H300" t="n">
        <x:v>5.6</x:v>
      </x:c>
      <x:c r="I300" t="n">
        <x:v>1.22</x:v>
      </x:c>
      <x:c r="J300" t="n">
        <x:v>23748</x:v>
      </x:c>
      <x:c r="K300" t="n">
        <x:v>228897.62</x:v>
      </x:c>
      <x:c r="L300" t="n">
        <x:v>13574</x:v>
      </x:c>
      <x:c r="M300" t="n">
        <x:f>SUM(E300,J300:L300)</x:f>
        <x:v>2628056.62</x:v>
      </x:c>
      <x:c r="N300" t="n">
        <x:v>550</x:v>
      </x:c>
      <x:c r="O300" t="n">
        <x:f>D300*N300</x:f>
        <x:v>3762550</x:v>
      </x:c>
      <x:c r="P300" s="22" t="n">
        <x:f>IF(O300=0,0,(M300-O300)/O300)</x:f>
        <x:v>-0.3015224727910592</x:v>
      </x:c>
      <x:c r="Q300" s="20" t="n">
        <x:v>45514</x:v>
      </x:c>
    </x:row>
    <x:row r="301" ht="20" customHeight="1">
      <x:c r="A301" t="str">
        <x:v>WO00302</x:v>
      </x:c>
      <x:c r="B301" t="str">
        <x:v>LOT00302</x:v>
      </x:c>
      <x:c r="C301" t="str">
        <x:v>AUTO-FL-B</x:v>
      </x:c>
      <x:c r="D301" t="n">
        <x:v>6934</x:v>
      </x:c>
      <x:c r="E301" t="n">
        <x:v>5169274.04</x:v>
      </x:c>
      <x:c r="F301" t="n">
        <x:v>36.55</x:v>
      </x:c>
      <x:c r="G301" t="n">
        <x:v>0</x:v>
      </x:c>
      <x:c r="H301" t="n">
        <x:v>4.96</x:v>
      </x:c>
      <x:c r="I301" t="n">
        <x:v>1.04</x:v>
      </x:c>
      <x:c r="J301" t="n">
        <x:v>26138.3</x:v>
      </x:c>
      <x:c r="K301" t="n">
        <x:v>446994.53</x:v>
      </x:c>
      <x:c r="L301" t="n">
        <x:v>14994.6</x:v>
      </x:c>
      <x:c r="M301" t="n">
        <x:f>SUM(E301,J301:L301)</x:f>
        <x:v>5657401.47</x:v>
      </x:c>
      <x:c r="N301" t="n">
        <x:v>1170</x:v>
      </x:c>
      <x:c r="O301" t="n">
        <x:f>D301*N301</x:f>
        <x:v>8112780</x:v>
      </x:c>
      <x:c r="P301" s="22" t="n">
        <x:f>IF(O301=0,0,(M301-O301)/O301)</x:f>
        <x:v>-0.30265562852684286</x:v>
      </x:c>
      <x:c r="Q301" s="20" t="n">
        <x:v>45518</x:v>
      </x:c>
    </x:row>
    <x:row r="302" ht="20" customHeight="1">
      <x:c r="A302" t="str">
        <x:v>WO00293</x:v>
      </x:c>
      <x:c r="B302" t="str">
        <x:v>LOT00293</x:v>
      </x:c>
      <x:c r="C302" t="str">
        <x:v>AUTO-BRK-B</x:v>
      </x:c>
      <x:c r="D302" t="n">
        <x:v>6946</x:v>
      </x:c>
      <x:c r="E302" t="n">
        <x:v>7405265.7</x:v>
      </x:c>
      <x:c r="F302" t="n">
        <x:v>37.31</x:v>
      </x:c>
      <x:c r="G302" t="n">
        <x:v>0</x:v>
      </x:c>
      <x:c r="H302" t="n">
        <x:v>5</x:v>
      </x:c>
      <x:c r="I302" t="n">
        <x:v>1.17</x:v>
      </x:c>
      <x:c r="J302" t="n">
        <x:v>26651.5</x:v>
      </x:c>
      <x:c r="K302" t="n">
        <x:v>576070.56</x:v>
      </x:c>
      <x:c r="L302" t="n">
        <x:v>15328.8</x:v>
      </x:c>
      <x:c r="M302" t="n">
        <x:f>SUM(E302,J302:L302)</x:f>
        <x:v>8023316.5600000005</x:v>
      </x:c>
      <x:c r="N302" t="n">
        <x:v>1660</x:v>
      </x:c>
      <x:c r="O302" t="n">
        <x:f>D302*N302</x:f>
        <x:v>11530360</x:v>
      </x:c>
      <x:c r="P302" s="22" t="n">
        <x:f>IF(O302=0,0,(M302-O302)/O302)</x:f>
        <x:v>-0.30415732379561433</x:v>
      </x:c>
      <x:c r="Q302" s="20" t="n">
        <x:v>45524</x:v>
      </x:c>
    </x:row>
    <x:row r="303" ht="20" customHeight="1">
      <x:c r="A303" t="str">
        <x:v>WO00294</x:v>
      </x:c>
      <x:c r="B303" t="str">
        <x:v>LOT00294</x:v>
      </x:c>
      <x:c r="C303" t="str">
        <x:v>AUTO-KN-A</x:v>
      </x:c>
      <x:c r="D303" t="n">
        <x:v>4945</x:v>
      </x:c>
      <x:c r="E303" t="n">
        <x:v>7707428.42</x:v>
      </x:c>
      <x:c r="F303" t="n">
        <x:v>24.18</x:v>
      </x:c>
      <x:c r="G303" t="n">
        <x:v>0</x:v>
      </x:c>
      <x:c r="H303" t="n">
        <x:v>3.62</x:v>
      </x:c>
      <x:c r="I303" t="n">
        <x:v>1.27</x:v>
      </x:c>
      <x:c r="J303" t="n">
        <x:v>17454.6</x:v>
      </x:c>
      <x:c r="K303" t="n">
        <x:v>562388.5</x:v>
      </x:c>
      <x:c r="L303" t="n">
        <x:v>10148.6</x:v>
      </x:c>
      <x:c r="M303" t="n">
        <x:f>SUM(E303,J303:L303)</x:f>
        <x:v>8297420.12</x:v>
      </x:c>
      <x:c r="N303" t="n">
        <x:v>2210</x:v>
      </x:c>
      <x:c r="O303" t="n">
        <x:f>D303*N303</x:f>
        <x:v>10928450</x:v>
      </x:c>
      <x:c r="P303" s="22" t="n">
        <x:f>IF(O303=0,0,(M303-O303)/O303)</x:f>
        <x:v>-0.24075050716249788</x:v>
      </x:c>
      <x:c r="Q303" s="20" t="n">
        <x:v>45525</x:v>
      </x:c>
    </x:row>
    <x:row r="304" ht="20" customHeight="1">
      <x:c r="A304" t="str">
        <x:v>WO00300</x:v>
      </x:c>
      <x:c r="B304" t="str">
        <x:v>LOT00300</x:v>
      </x:c>
      <x:c r="C304" t="str">
        <x:v>SEMI-WH-A</x:v>
      </x:c>
      <x:c r="D304" t="n">
        <x:v>59</x:v>
      </x:c>
      <x:c r="E304" t="n">
        <x:v>3163840.11</x:v>
      </x:c>
      <x:c r="F304" t="n">
        <x:v>1.6</x:v>
      </x:c>
      <x:c r="G304" t="n">
        <x:v>0</x:v>
      </x:c>
      <x:c r="H304" t="n">
        <x:v>0.57</x:v>
      </x:c>
      <x:c r="I304" t="n">
        <x:v>3.27</x:v>
      </x:c>
      <x:c r="J304" t="n">
        <x:v>1313.6</x:v>
      </x:c>
      <x:c r="K304" t="n">
        <x:v>412246.23</x:v>
      </x:c>
      <x:c r="L304" t="n">
        <x:v>1680.2</x:v>
      </x:c>
      <x:c r="M304" t="n">
        <x:f>SUM(E304,J304:L304)</x:f>
        <x:v>3579080.1399999997</x:v>
      </x:c>
      <x:c r="N304" t="n">
        <x:v>88000</x:v>
      </x:c>
      <x:c r="O304" t="n">
        <x:f>D304*N304</x:f>
        <x:v>5192000</x:v>
      </x:c>
      <x:c r="P304" s="22" t="n">
        <x:f>IF(O304=0,0,(M304-O304)/O304)</x:f>
        <x:v>-0.31065482665639454</x:v>
      </x:c>
      <x:c r="Q304" s="20" t="n">
        <x:v>45557</x:v>
      </x:c>
    </x:row>
    <x:row r="305" ht="20" customHeight="1">
      <x:c r="A305" t="str">
        <x:v>WO00301</x:v>
      </x:c>
      <x:c r="B305" t="str">
        <x:v>LOT00301</x:v>
      </x:c>
      <x:c r="C305" t="str">
        <x:v>SEMI-WH-A</x:v>
      </x:c>
      <x:c r="D305" t="n">
        <x:v>58</x:v>
      </x:c>
      <x:c r="E305" t="n">
        <x:v>3078058.46</x:v>
      </x:c>
      <x:c r="F305" t="n">
        <x:v>1.39</x:v>
      </x:c>
      <x:c r="G305" t="n">
        <x:v>0</x:v>
      </x:c>
      <x:c r="H305" t="n">
        <x:v>0.6</x:v>
      </x:c>
      <x:c r="I305" t="n">
        <x:v>3.11</x:v>
      </x:c>
      <x:c r="J305" t="n">
        <x:v>1191.5</x:v>
      </x:c>
      <x:c r="K305" t="n">
        <x:v>465829.03</x:v>
      </x:c>
      <x:c r="L305" t="n">
        <x:v>1557.2</x:v>
      </x:c>
      <x:c r="M305" t="n">
        <x:f>SUM(E305,J305:L305)</x:f>
        <x:v>3546636.19</x:v>
      </x:c>
      <x:c r="N305" t="n">
        <x:v>88000</x:v>
      </x:c>
      <x:c r="O305" t="n">
        <x:f>D305*N305</x:f>
        <x:v>5104000</x:v>
      </x:c>
      <x:c r="P305" s="22" t="n">
        <x:f>IF(O305=0,0,(M305-O305)/O305)</x:f>
        <x:v>-0.30512613832288404</x:v>
      </x:c>
      <x:c r="Q305" s="20" t="n">
        <x:v>45552</x:v>
      </x:c>
    </x:row>
    <x:row r="306" ht="20" customHeight="1">
      <x:c r="A306" t="str">
        <x:v>WO00309</x:v>
      </x:c>
      <x:c r="B306" t="str">
        <x:v>LOT00309</x:v>
      </x:c>
      <x:c r="C306" t="str">
        <x:v>PM-BRG-A</x:v>
      </x:c>
      <x:c r="D306" t="n">
        <x:v>486</x:v>
      </x:c>
      <x:c r="E306" t="n">
        <x:v>1219516</x:v>
      </x:c>
      <x:c r="F306" t="n">
        <x:v>3.96</x:v>
      </x:c>
      <x:c r="G306" t="n">
        <x:v>0</x:v>
      </x:c>
      <x:c r="H306" t="n">
        <x:v>1.03</x:v>
      </x:c>
      <x:c r="I306" t="n">
        <x:v>1.67</x:v>
      </x:c>
      <x:c r="J306" t="n">
        <x:v>3068.4</x:v>
      </x:c>
      <x:c r="K306" t="n">
        <x:v>90093.68</x:v>
      </x:c>
      <x:c r="L306" t="n">
        <x:v>2170.6</x:v>
      </x:c>
      <x:c r="M306" t="n">
        <x:f>SUM(E306,J306:L306)</x:f>
        <x:v>1314848.68</x:v>
      </x:c>
      <x:c r="N306" t="n">
        <x:v>4450</x:v>
      </x:c>
      <x:c r="O306" t="n">
        <x:f>D306*N306</x:f>
        <x:v>2162700</x:v>
      </x:c>
      <x:c r="P306" s="22" t="n">
        <x:f>IF(O306=0,0,(M306-O306)/O306)</x:f>
        <x:v>-0.3920337171128682</x:v>
      </x:c>
      <x:c r="Q306" s="20" t="n">
        <x:v>45531</x:v>
      </x:c>
    </x:row>
    <x:row r="307" ht="20" customHeight="1">
      <x:c r="A307" t="str">
        <x:v>WO00327</x:v>
      </x:c>
      <x:c r="B307" t="str">
        <x:v>LOT00327</x:v>
      </x:c>
      <x:c r="C307" t="str">
        <x:v>PM-BRG-B</x:v>
      </x:c>
      <x:c r="D307" t="n">
        <x:v>292</x:v>
      </x:c>
      <x:c r="E307" t="n">
        <x:v>967495.82</x:v>
      </x:c>
      <x:c r="F307" t="n">
        <x:v>2.43</x:v>
      </x:c>
      <x:c r="G307" t="n">
        <x:v>0</x:v>
      </x:c>
      <x:c r="H307" t="n">
        <x:v>0.6</x:v>
      </x:c>
      <x:c r="I307" t="n">
        <x:v>1.7</x:v>
      </x:c>
      <x:c r="J307" t="n">
        <x:v>1867.5</x:v>
      </x:c>
      <x:c r="K307" t="n">
        <x:v>71554.45</x:v>
      </x:c>
      <x:c r="L307" t="n">
        <x:v>1529.4</x:v>
      </x:c>
      <x:c r="M307" t="n">
        <x:f>SUM(E307,J307:L307)</x:f>
        <x:v>1042447.1699999999</x:v>
      </x:c>
      <x:c r="N307" t="n">
        <x:v>5400</x:v>
      </x:c>
      <x:c r="O307" t="n">
        <x:f>D307*N307</x:f>
        <x:v>1576800</x:v>
      </x:c>
      <x:c r="P307" s="22" t="n">
        <x:f>IF(O307=0,0,(M307-O307)/O307)</x:f>
        <x:v>-0.3388843417047185</x:v>
      </x:c>
      <x:c r="Q307" s="20" t="n">
        <x:v>45529</x:v>
      </x:c>
    </x:row>
    <x:row r="308" ht="20" customHeight="1">
      <x:c r="A308" t="str">
        <x:v>WO00290</x:v>
      </x:c>
      <x:c r="B308" t="str">
        <x:v>LOT00290</x:v>
      </x:c>
      <x:c r="C308" t="str">
        <x:v>SEMI-WH-A</x:v>
      </x:c>
      <x:c r="D308" t="n">
        <x:v>78</x:v>
      </x:c>
      <x:c r="E308" t="n">
        <x:v>4143537.29</x:v>
      </x:c>
      <x:c r="F308" t="n">
        <x:v>2.02</x:v>
      </x:c>
      <x:c r="G308" t="n">
        <x:v>0</x:v>
      </x:c>
      <x:c r="H308" t="n">
        <x:v>0.72</x:v>
      </x:c>
      <x:c r="I308" t="n">
        <x:v>2.87</x:v>
      </x:c>
      <x:c r="J308" t="n">
        <x:v>1658.6</x:v>
      </x:c>
      <x:c r="K308" t="n">
        <x:v>600392.83</x:v>
      </x:c>
      <x:c r="L308" t="n">
        <x:v>1743.8</x:v>
      </x:c>
      <x:c r="M308" t="n">
        <x:f>SUM(E308,J308:L308)</x:f>
        <x:v>4747332.52</x:v>
      </x:c>
      <x:c r="N308" t="n">
        <x:v>88000</x:v>
      </x:c>
      <x:c r="O308" t="n">
        <x:f>D308*N308</x:f>
        <x:v>6864000</x:v>
      </x:c>
      <x:c r="P308" s="22" t="n">
        <x:f>IF(O308=0,0,(M308-O308)/O308)</x:f>
        <x:v>-0.3083723018648019</x:v>
      </x:c>
      <x:c r="Q308" s="20" t="n">
        <x:v>45562</x:v>
      </x:c>
    </x:row>
    <x:row r="309" ht="20" customHeight="1">
      <x:c r="A309" t="str">
        <x:v>WO00291</x:v>
      </x:c>
      <x:c r="B309" t="str">
        <x:v>LOT00291</x:v>
      </x:c>
      <x:c r="C309" t="str">
        <x:v>SEMI-WH-A</x:v>
      </x:c>
      <x:c r="D309" t="n">
        <x:v>78</x:v>
      </x:c>
      <x:c r="E309" t="n">
        <x:v>4023761.66</x:v>
      </x:c>
      <x:c r="F309" t="n">
        <x:v>1.94</x:v>
      </x:c>
      <x:c r="G309" t="n">
        <x:v>0</x:v>
      </x:c>
      <x:c r="H309" t="n">
        <x:v>0.74</x:v>
      </x:c>
      <x:c r="I309" t="n">
        <x:v>2.66</x:v>
      </x:c>
      <x:c r="J309" t="n">
        <x:v>1616.2</x:v>
      </x:c>
      <x:c r="K309" t="n">
        <x:v>602214.27</x:v>
      </x:c>
      <x:c r="L309" t="n">
        <x:v>1653.6</x:v>
      </x:c>
      <x:c r="M309" t="n">
        <x:f>SUM(E309,J309:L309)</x:f>
        <x:v>4629245.73</x:v>
      </x:c>
      <x:c r="N309" t="n">
        <x:v>88000</x:v>
      </x:c>
      <x:c r="O309" t="n">
        <x:f>D309*N309</x:f>
        <x:v>6864000</x:v>
      </x:c>
      <x:c r="P309" s="22" t="n">
        <x:f>IF(O309=0,0,(M309-O309)/O309)</x:f>
        <x:v>-0.3255760882867132</x:v>
      </x:c>
      <x:c r="Q309" s="20" t="n">
        <x:v>45570</x:v>
      </x:c>
    </x:row>
    <x:row r="310" ht="20" customHeight="1">
      <x:c r="A310" t="str">
        <x:v>WO00303</x:v>
      </x:c>
      <x:c r="B310" t="str">
        <x:v>LOT00303</x:v>
      </x:c>
      <x:c r="C310" t="str">
        <x:v>PM-ALB-B</x:v>
      </x:c>
      <x:c r="D310" t="n">
        <x:v>788</x:v>
      </x:c>
      <x:c r="E310" t="n">
        <x:v>6228042.07</x:v>
      </x:c>
      <x:c r="F310" t="n">
        <x:v>7.39</x:v>
      </x:c>
      <x:c r="G310" t="n">
        <x:v>0</x:v>
      </x:c>
      <x:c r="H310" t="n">
        <x:v>1.68</x:v>
      </x:c>
      <x:c r="I310" t="n">
        <x:v>1.47</x:v>
      </x:c>
      <x:c r="J310" t="n">
        <x:v>5609.9</x:v>
      </x:c>
      <x:c r="K310" t="n">
        <x:v>344176.04</x:v>
      </x:c>
      <x:c r="L310" t="n">
        <x:v>3518</x:v>
      </x:c>
      <x:c r="M310" t="n">
        <x:f>SUM(E310,J310:L310)</x:f>
        <x:v>6581346.010000001</x:v>
      </x:c>
      <x:c r="N310" t="n">
        <x:v>11750</x:v>
      </x:c>
      <x:c r="O310" t="n">
        <x:f>D310*N310</x:f>
        <x:v>9259000</x:v>
      </x:c>
      <x:c r="P310" s="22" t="n">
        <x:f>IF(O310=0,0,(M310-O310)/O310)</x:f>
        <x:v>-0.28919472837239435</x:v>
      </x:c>
      <x:c r="Q310" s="20" t="n">
        <x:v>45542</x:v>
      </x:c>
    </x:row>
    <x:row r="311" ht="20" customHeight="1">
      <x:c r="A311" t="str">
        <x:v>WO00304</x:v>
      </x:c>
      <x:c r="B311" t="str">
        <x:v>LOT00304</x:v>
      </x:c>
      <x:c r="C311" t="str">
        <x:v>PM-ALB-B</x:v>
      </x:c>
      <x:c r="D311" t="n">
        <x:v>784</x:v>
      </x:c>
      <x:c r="E311" t="n">
        <x:v>6162343.55</x:v>
      </x:c>
      <x:c r="F311" t="n">
        <x:v>6.39</x:v>
      </x:c>
      <x:c r="G311" t="n">
        <x:v>0</x:v>
      </x:c>
      <x:c r="H311" t="n">
        <x:v>1.28</x:v>
      </x:c>
      <x:c r="I311" t="n">
        <x:v>1.69</x:v>
      </x:c>
      <x:c r="J311" t="n">
        <x:v>4767.9</x:v>
      </x:c>
      <x:c r="K311" t="n">
        <x:v>361954.16</x:v>
      </x:c>
      <x:c r="L311" t="n">
        <x:v>3140</x:v>
      </x:c>
      <x:c r="M311" t="n">
        <x:f>SUM(E311,J311:L311)</x:f>
        <x:v>6532205.609999999</x:v>
      </x:c>
      <x:c r="N311" t="n">
        <x:v>11750</x:v>
      </x:c>
      <x:c r="O311" t="n">
        <x:f>D311*N311</x:f>
        <x:v>9212000</x:v>
      </x:c>
      <x:c r="P311" s="22" t="n">
        <x:f>IF(O311=0,0,(M311-O311)/O311)</x:f>
        <x:v>-0.2909025607902736</x:v>
      </x:c>
      <x:c r="Q311" s="20" t="n">
        <x:v>45542</x:v>
      </x:c>
    </x:row>
    <x:row r="312" ht="20" customHeight="1">
      <x:c r="A312" t="str">
        <x:v>WO00332</x:v>
      </x:c>
      <x:c r="B312" t="str">
        <x:v>LOT00332</x:v>
      </x:c>
      <x:c r="C312" t="str">
        <x:v>AUTO-MH-B</x:v>
      </x:c>
      <x:c r="D312" t="n">
        <x:v>4955</x:v>
      </x:c>
      <x:c r="E312" t="n">
        <x:v>7717560.64</x:v>
      </x:c>
      <x:c r="F312" t="n">
        <x:v>26.16</x:v>
      </x:c>
      <x:c r="G312" t="n">
        <x:v>0</x:v>
      </x:c>
      <x:c r="H312" t="n">
        <x:v>4.01</x:v>
      </x:c>
      <x:c r="I312" t="n">
        <x:v>1.23</x:v>
      </x:c>
      <x:c r="J312" t="n">
        <x:v>18928.8</x:v>
      </x:c>
      <x:c r="K312" t="n">
        <x:v>497554.91</x:v>
      </x:c>
      <x:c r="L312" t="n">
        <x:v>10951.4</x:v>
      </x:c>
      <x:c r="M312" t="n">
        <x:f>SUM(E312,J312:L312)</x:f>
        <x:v>8244995.75</x:v>
      </x:c>
      <x:c r="N312" t="n">
        <x:v>2320</x:v>
      </x:c>
      <x:c r="O312" t="n">
        <x:f>D312*N312</x:f>
        <x:v>11495600</x:v>
      </x:c>
      <x:c r="P312" s="22" t="n">
        <x:f>IF(O312=0,0,(M312-O312)/O312)</x:f>
        <x:v>-0.28276942917290093</x:v>
      </x:c>
      <x:c r="Q312" s="20" t="n">
        <x:v>45538</x:v>
      </x:c>
    </x:row>
    <x:row r="313" ht="20" customHeight="1">
      <x:c r="A313" t="str">
        <x:v>WO00318</x:v>
      </x:c>
      <x:c r="B313" t="str">
        <x:v>LOT00318</x:v>
      </x:c>
      <x:c r="C313" t="str">
        <x:v>MECH-CON-A</x:v>
      </x:c>
      <x:c r="D313" t="n">
        <x:v>20</x:v>
      </x:c>
      <x:c r="E313" t="n">
        <x:v>1111273.43</x:v>
      </x:c>
      <x:c r="F313" t="n">
        <x:v>1476.25</x:v>
      </x:c>
      <x:c r="G313" t="n">
        <x:v>5597.92</x:v>
      </x:c>
      <x:c r="H313" t="n">
        <x:v>3277.24</x:v>
      </x:c>
      <x:c r="I313" t="n">
        <x:v>3.22</x:v>
      </x:c>
      <x:c r="J313" t="n">
        <x:v>5443556.1</x:v>
      </x:c>
      <x:c r="K313" t="n">
        <x:v>97064.76</x:v>
      </x:c>
      <x:c r="L313" t="n">
        <x:v>2205883.4</x:v>
      </x:c>
      <x:c r="M313" t="n">
        <x:f>SUM(E313,J313:L313)</x:f>
        <x:v>8857777.69</x:v>
      </x:c>
      <x:c r="N313" t="n">
        <x:v>83000</x:v>
      </x:c>
      <x:c r="O313" t="n">
        <x:f>D313*N313</x:f>
        <x:v>1660000</x:v>
      </x:c>
      <x:c r="P313" s="22" t="n">
        <x:f>IF(O313=0,0,(M313-O313)/O313)</x:f>
        <x:v>4.336010656626506</x:v>
      </x:c>
      <x:c r="Q313" s="20" t="n">
        <x:v>45547</x:v>
      </x:c>
    </x:row>
    <x:row r="314" ht="20" customHeight="1">
      <x:c r="A314" t="str">
        <x:v>WO00321</x:v>
      </x:c>
      <x:c r="B314" t="str">
        <x:v>LOT00321</x:v>
      </x:c>
      <x:c r="C314" t="str">
        <x:v>MECH-CON-B</x:v>
      </x:c>
      <x:c r="D314" t="n">
        <x:v>16</x:v>
      </x:c>
      <x:c r="E314" t="n">
        <x:v>1337874.76</x:v>
      </x:c>
      <x:c r="F314" t="n">
        <x:v>1463.48</x:v>
      </x:c>
      <x:c r="G314" t="n">
        <x:v>4295.96</x:v>
      </x:c>
      <x:c r="H314" t="n">
        <x:v>2817.44</x:v>
      </x:c>
      <x:c r="I314" t="n">
        <x:v>2.86</x:v>
      </x:c>
      <x:c r="J314" t="n">
        <x:v>4537532.4</x:v>
      </x:c>
      <x:c r="K314" t="n">
        <x:v>114112.9</x:v>
      </x:c>
      <x:c r="L314" t="n">
        <x:v>1866962.8</x:v>
      </x:c>
      <x:c r="M314" t="n">
        <x:f>SUM(E314,J314:L314)</x:f>
        <x:v>7856482.86</x:v>
      </x:c>
      <x:c r="N314" t="n">
        <x:v>119000</x:v>
      </x:c>
      <x:c r="O314" t="n">
        <x:f>D314*N314</x:f>
        <x:v>1904000</x:v>
      </x:c>
      <x:c r="P314" s="22" t="n">
        <x:f>IF(O314=0,0,(M314-O314)/O314)</x:f>
        <x:v>3.126304023109244</x:v>
      </x:c>
      <x:c r="Q314" s="20" t="n">
        <x:v>45558</x:v>
      </x:c>
    </x:row>
    <x:row r="315" ht="20" customHeight="1">
      <x:c r="A315" t="str">
        <x:v>WO00322</x:v>
      </x:c>
      <x:c r="B315" t="str">
        <x:v>LOT00322</x:v>
      </x:c>
      <x:c r="C315" t="str">
        <x:v>MECH-CON-B</x:v>
      </x:c>
      <x:c r="D315" t="n">
        <x:v>17</x:v>
      </x:c>
      <x:c r="E315" t="n">
        <x:v>1361417.73</x:v>
      </x:c>
      <x:c r="F315" t="n">
        <x:v>1263.76</x:v>
      </x:c>
      <x:c r="G315" t="n">
        <x:v>4526.18</x:v>
      </x:c>
      <x:c r="H315" t="n">
        <x:v>2744.15</x:v>
      </x:c>
      <x:c r="I315" t="n">
        <x:v>2.71</x:v>
      </x:c>
      <x:c r="J315" t="n">
        <x:v>4492249.6</x:v>
      </x:c>
      <x:c r="K315" t="n">
        <x:v>127448.21</x:v>
      </x:c>
      <x:c r="L315" t="n">
        <x:v>1825341.8</x:v>
      </x:c>
      <x:c r="M315" t="n">
        <x:f>SUM(E315,J315:L315)</x:f>
        <x:v>7806457.34</x:v>
      </x:c>
      <x:c r="N315" t="n">
        <x:v>119000</x:v>
      </x:c>
      <x:c r="O315" t="n">
        <x:f>D315*N315</x:f>
        <x:v>2023000</x:v>
      </x:c>
      <x:c r="P315" s="22" t="n">
        <x:f>IF(O315=0,0,(M315-O315)/O315)</x:f>
        <x:v>2.8588518734552646</x:v>
      </x:c>
      <x:c r="Q315" s="20" t="n">
        <x:v>45560</x:v>
      </x:c>
    </x:row>
    <x:row r="316" ht="20" customHeight="1">
      <x:c r="A316" t="str">
        <x:v>WO00323</x:v>
      </x:c>
      <x:c r="B316" t="str">
        <x:v>LOT00323</x:v>
      </x:c>
      <x:c r="C316" t="str">
        <x:v>MECH-CON-B</x:v>
      </x:c>
      <x:c r="D316" t="n">
        <x:v>16</x:v>
      </x:c>
      <x:c r="E316" t="n">
        <x:v>1292031.94</x:v>
      </x:c>
      <x:c r="F316" t="n">
        <x:v>1059</x:v>
      </x:c>
      <x:c r="G316" t="n">
        <x:v>3776.6</x:v>
      </x:c>
      <x:c r="H316" t="n">
        <x:v>2602.83</x:v>
      </x:c>
      <x:c r="I316" t="n">
        <x:v>2.92</x:v>
      </x:c>
      <x:c r="J316" t="n">
        <x:v>3901540.4</x:v>
      </x:c>
      <x:c r="K316" t="n">
        <x:v>108194.28</x:v>
      </x:c>
      <x:c r="L316" t="n">
        <x:v>1575068.8</x:v>
      </x:c>
      <x:c r="M316" t="n">
        <x:f>SUM(E316,J316:L316)</x:f>
        <x:v>6876835.42</x:v>
      </x:c>
      <x:c r="N316" t="n">
        <x:v>119000</x:v>
      </x:c>
      <x:c r="O316" t="n">
        <x:f>D316*N316</x:f>
        <x:v>1904000</x:v>
      </x:c>
      <x:c r="P316" s="22" t="n">
        <x:f>IF(O316=0,0,(M316-O316)/O316)</x:f>
        <x:v>2.6117833088235294</x:v>
      </x:c>
      <x:c r="Q316" s="20" t="n">
        <x:v>45557</x:v>
      </x:c>
    </x:row>
    <x:row r="317" ht="20" customHeight="1">
      <x:c r="A317" t="str">
        <x:v>WO00311</x:v>
      </x:c>
      <x:c r="B317" t="str">
        <x:v>LOT00311</x:v>
      </x:c>
      <x:c r="C317" t="str">
        <x:v>MECH-CON-A</x:v>
      </x:c>
      <x:c r="D317" t="n">
        <x:v>20</x:v>
      </x:c>
      <x:c r="E317" t="n">
        <x:v>1036565.35</x:v>
      </x:c>
      <x:c r="F317" t="n">
        <x:v>1759.1</x:v>
      </x:c>
      <x:c r="G317" t="n">
        <x:v>4534.99</x:v>
      </x:c>
      <x:c r="H317" t="n">
        <x:v>3271.52</x:v>
      </x:c>
      <x:c r="I317" t="n">
        <x:v>2.58</x:v>
      </x:c>
      <x:c r="J317" t="n">
        <x:v>5071939.4</x:v>
      </x:c>
      <x:c r="K317" t="n">
        <x:v>111166.14</x:v>
      </x:c>
      <x:c r="L317" t="n">
        <x:v>2099673.2</x:v>
      </x:c>
      <x:c r="M317" t="n">
        <x:f>SUM(E317,J317:L317)</x:f>
        <x:v>8319344.09</x:v>
      </x:c>
      <x:c r="N317" t="n">
        <x:v>83000</x:v>
      </x:c>
      <x:c r="O317" t="n">
        <x:f>D317*N317</x:f>
        <x:v>1660000</x:v>
      </x:c>
      <x:c r="P317" s="22" t="n">
        <x:f>IF(O317=0,0,(M317-O317)/O317)</x:f>
        <x:v>4.01165306626506</x:v>
      </x:c>
      <x:c r="Q317" s="20" t="n">
        <x:v>45552</x:v>
      </x:c>
    </x:row>
    <x:row r="318" ht="20" customHeight="1">
      <x:c r="A318" t="str">
        <x:v>WO00310</x:v>
      </x:c>
      <x:c r="B318" t="str">
        <x:v>LOT00310</x:v>
      </x:c>
      <x:c r="C318" t="str">
        <x:v>MECH-CON-A</x:v>
      </x:c>
      <x:c r="D318" t="n">
        <x:v>20</x:v>
      </x:c>
      <x:c r="E318" t="n">
        <x:v>1010680.42</x:v>
      </x:c>
      <x:c r="F318" t="n">
        <x:v>1755.27</x:v>
      </x:c>
      <x:c r="G318" t="n">
        <x:v>5139.96</x:v>
      </x:c>
      <x:c r="H318" t="n">
        <x:v>3333.87</x:v>
      </x:c>
      <x:c r="I318" t="n">
        <x:v>3.03</x:v>
      </x:c>
      <x:c r="J318" t="n">
        <x:v>5413962.3</x:v>
      </x:c>
      <x:c r="K318" t="n">
        <x:v>103546.84</x:v>
      </x:c>
      <x:c r="L318" t="n">
        <x:v>2229322.8</x:v>
      </x:c>
      <x:c r="M318" t="n">
        <x:f>SUM(E318,J318:L318)</x:f>
        <x:v>8757512.36</x:v>
      </x:c>
      <x:c r="N318" t="n">
        <x:v>83000</x:v>
      </x:c>
      <x:c r="O318" t="n">
        <x:f>D318*N318</x:f>
        <x:v>1660000</x:v>
      </x:c>
      <x:c r="P318" s="22" t="n">
        <x:f>IF(O318=0,0,(M318-O318)/O318)</x:f>
        <x:v>4.275609855421687</x:v>
      </x:c>
      <x:c r="Q318" s="20" t="n">
        <x:v>45550</x:v>
      </x:c>
    </x:row>
    <x:row r="319" ht="20" customHeight="1">
      <x:c r="A319" t="str">
        <x:v>WO00319</x:v>
      </x:c>
      <x:c r="B319" t="str">
        <x:v>LOT00319</x:v>
      </x:c>
      <x:c r="C319" t="str">
        <x:v>AUTO-BRK-B</x:v>
      </x:c>
      <x:c r="D319" t="n">
        <x:v>6909</x:v>
      </x:c>
      <x:c r="E319" t="n">
        <x:v>8156253.81</x:v>
      </x:c>
      <x:c r="F319" t="n">
        <x:v>34.77</x:v>
      </x:c>
      <x:c r="G319" t="n">
        <x:v>0</x:v>
      </x:c>
      <x:c r="H319" t="n">
        <x:v>5.72</x:v>
      </x:c>
      <x:c r="I319" t="n">
        <x:v>1.28</x:v>
      </x:c>
      <x:c r="J319" t="n">
        <x:v>25346.1</x:v>
      </x:c>
      <x:c r="K319" t="n">
        <x:v>634147.49</x:v>
      </x:c>
      <x:c r="L319" t="n">
        <x:v>14511.8</x:v>
      </x:c>
      <x:c r="M319" t="n">
        <x:f>SUM(E319,J319:L319)</x:f>
        <x:v>8830259.2</x:v>
      </x:c>
      <x:c r="N319" t="n">
        <x:v>1660</x:v>
      </x:c>
      <x:c r="O319" t="n">
        <x:f>D319*N319</x:f>
        <x:v>11468940</x:v>
      </x:c>
      <x:c r="P319" s="22" t="n">
        <x:f>IF(O319=0,0,(M319-O319)/O319)</x:f>
        <x:v>-0.2300718985363949</x:v>
      </x:c>
      <x:c r="Q319" s="20" t="n">
        <x:v>45540</x:v>
      </x:c>
    </x:row>
    <x:row r="320" ht="20" customHeight="1">
      <x:c r="A320" t="str">
        <x:v>WO00320</x:v>
      </x:c>
      <x:c r="B320" t="str">
        <x:v>LOT00320</x:v>
      </x:c>
      <x:c r="C320" t="str">
        <x:v>SEMI-WH-A</x:v>
      </x:c>
      <x:c r="D320" t="n">
        <x:v>60</x:v>
      </x:c>
      <x:c r="E320" t="n">
        <x:v>3329243.12</x:v>
      </x:c>
      <x:c r="F320" t="n">
        <x:v>1.49</x:v>
      </x:c>
      <x:c r="G320" t="n">
        <x:v>0</x:v>
      </x:c>
      <x:c r="H320" t="n">
        <x:v>0.59</x:v>
      </x:c>
      <x:c r="I320" t="n">
        <x:v>3.17</x:v>
      </x:c>
      <x:c r="J320" t="n">
        <x:v>1251.7</x:v>
      </x:c>
      <x:c r="K320" t="n">
        <x:v>439181.76</x:v>
      </x:c>
      <x:c r="L320" t="n">
        <x:v>1611.6</x:v>
      </x:c>
      <x:c r="M320" t="n">
        <x:f>SUM(E320,J320:L320)</x:f>
        <x:v>3771288.18</x:v>
      </x:c>
      <x:c r="N320" t="n">
        <x:v>88000</x:v>
      </x:c>
      <x:c r="O320" t="n">
        <x:f>D320*N320</x:f>
        <x:v>5280000</x:v>
      </x:c>
      <x:c r="P320" s="22" t="n">
        <x:f>IF(O320=0,0,(M320-O320)/O320)</x:f>
        <x:v>-0.28574087499999995</x:v>
      </x:c>
      <x:c r="Q320" s="20" t="n">
        <x:v>45569</x:v>
      </x:c>
    </x:row>
    <x:row r="321" ht="20" customHeight="1">
      <x:c r="A321" t="str">
        <x:v>WO00314</x:v>
      </x:c>
      <x:c r="B321" t="str">
        <x:v>LOT00314</x:v>
      </x:c>
      <x:c r="C321" t="str">
        <x:v>AUTO-BRK-B</x:v>
      </x:c>
      <x:c r="D321" t="n">
        <x:v>4943</x:v>
      </x:c>
      <x:c r="E321" t="n">
        <x:v>5666291.52</x:v>
      </x:c>
      <x:c r="F321" t="n">
        <x:v>25.47</x:v>
      </x:c>
      <x:c r="G321" t="n">
        <x:v>0</x:v>
      </x:c>
      <x:c r="H321" t="n">
        <x:v>4.32</x:v>
      </x:c>
      <x:c r="I321" t="n">
        <x:v>1.08</x:v>
      </x:c>
      <x:c r="J321" t="n">
        <x:v>18629.1</x:v>
      </x:c>
      <x:c r="K321" t="n">
        <x:v>446380.41</x:v>
      </x:c>
      <x:c r="L321" t="n">
        <x:v>10693.8</x:v>
      </x:c>
      <x:c r="M321" t="n">
        <x:f>SUM(E321,J321:L321)</x:f>
        <x:v>6141994.829999999</x:v>
      </x:c>
      <x:c r="N321" t="n">
        <x:v>1660</x:v>
      </x:c>
      <x:c r="O321" t="n">
        <x:f>D321*N321</x:f>
        <x:v>8205380</x:v>
      </x:c>
      <x:c r="P321" s="22" t="n">
        <x:f>IF(O321=0,0,(M321-O321)/O321)</x:f>
        <x:v>-0.25146735068942583</x:v>
      </x:c>
      <x:c r="Q321" s="20" t="n">
        <x:v>45544</x:v>
      </x:c>
    </x:row>
    <x:row r="322" ht="20" customHeight="1">
      <x:c r="A322" t="str">
        <x:v>WO00324</x:v>
      </x:c>
      <x:c r="B322" t="str">
        <x:v>LOT00324</x:v>
      </x:c>
      <x:c r="C322" t="str">
        <x:v>PM-ALB-A</x:v>
      </x:c>
      <x:c r="D322" t="n">
        <x:v>492</x:v>
      </x:c>
      <x:c r="E322" t="n">
        <x:v>2566505.84</x:v>
      </x:c>
      <x:c r="F322" t="n">
        <x:v>4.52</x:v>
      </x:c>
      <x:c r="G322" t="n">
        <x:v>0</x:v>
      </x:c>
      <x:c r="H322" t="n">
        <x:v>0.85</x:v>
      </x:c>
      <x:c r="I322" t="n">
        <x:v>1.67</x:v>
      </x:c>
      <x:c r="J322" t="n">
        <x:v>3346</x:v>
      </x:c>
      <x:c r="K322" t="n">
        <x:v>137419.61</x:v>
      </x:c>
      <x:c r="L322" t="n">
        <x:v>2354.6</x:v>
      </x:c>
      <x:c r="M322" t="n">
        <x:f>SUM(E322,J322:L322)</x:f>
        <x:v>2709626.05</x:v>
      </x:c>
      <x:c r="N322" t="n">
        <x:v>8100</x:v>
      </x:c>
      <x:c r="O322" t="n">
        <x:f>D322*N322</x:f>
        <x:v>3985200</x:v>
      </x:c>
      <x:c r="P322" s="22" t="n">
        <x:f>IF(O322=0,0,(M322-O322)/O322)</x:f>
        <x:v>-0.32007777526849346</x:v>
      </x:c>
      <x:c r="Q322" s="20" t="n">
        <x:v>45550</x:v>
      </x:c>
    </x:row>
    <x:row r="323" ht="20" customHeight="1">
      <x:c r="A323" t="str">
        <x:v>WO00316</x:v>
      </x:c>
      <x:c r="B323" t="str">
        <x:v>LOT00316</x:v>
      </x:c>
      <x:c r="C323" t="str">
        <x:v>PM-BRG-A</x:v>
      </x:c>
      <x:c r="D323" t="n">
        <x:v>294</x:v>
      </x:c>
      <x:c r="E323" t="n">
        <x:v>800843.41</x:v>
      </x:c>
      <x:c r="F323" t="n">
        <x:v>2.9</x:v>
      </x:c>
      <x:c r="G323" t="n">
        <x:v>0</x:v>
      </x:c>
      <x:c r="H323" t="n">
        <x:v>0.56</x:v>
      </x:c>
      <x:c r="I323" t="n">
        <x:v>1.72</x:v>
      </x:c>
      <x:c r="J323" t="n">
        <x:v>2153.8</x:v>
      </x:c>
      <x:c r="K323" t="n">
        <x:v>58141.05</x:v>
      </x:c>
      <x:c r="L323" t="n">
        <x:v>1707.6</x:v>
      </x:c>
      <x:c r="M323" t="n">
        <x:f>SUM(E323,J323:L323)</x:f>
        <x:v>862845.86</x:v>
      </x:c>
      <x:c r="N323" t="n">
        <x:v>4450</x:v>
      </x:c>
      <x:c r="O323" t="n">
        <x:f>D323*N323</x:f>
        <x:v>1308300</x:v>
      </x:c>
      <x:c r="P323" s="22" t="n">
        <x:f>IF(O323=0,0,(M323-O323)/O323)</x:f>
        <x:v>-0.3404831766414431</x:v>
      </x:c>
      <x:c r="Q323" s="20" t="n">
        <x:v>45546</x:v>
      </x:c>
    </x:row>
    <x:row r="324" ht="20" customHeight="1">
      <x:c r="A324" t="str">
        <x:v>WO00326</x:v>
      </x:c>
      <x:c r="B324" t="str">
        <x:v>LOT00326</x:v>
      </x:c>
      <x:c r="C324" t="str">
        <x:v>PM-VAC-B</x:v>
      </x:c>
      <x:c r="D324" t="n">
        <x:v>783</x:v>
      </x:c>
      <x:c r="E324" t="n">
        <x:v>7999343.5</x:v>
      </x:c>
      <x:c r="F324" t="n">
        <x:v>6.07</x:v>
      </x:c>
      <x:c r="G324" t="n">
        <x:v>0</x:v>
      </x:c>
      <x:c r="H324" t="n">
        <x:v>1.64</x:v>
      </x:c>
      <x:c r="I324" t="n">
        <x:v>1.58</x:v>
      </x:c>
      <x:c r="J324" t="n">
        <x:v>4732.7</x:v>
      </x:c>
      <x:c r="K324" t="n">
        <x:v>802980.67</x:v>
      </x:c>
      <x:c r="L324" t="n">
        <x:v>3043</x:v>
      </x:c>
      <x:c r="M324" t="n">
        <x:f>SUM(E324,J324:L324)</x:f>
        <x:v>8810099.87</x:v>
      </x:c>
      <x:c r="N324" t="n">
        <x:v>15500</x:v>
      </x:c>
      <x:c r="O324" t="n">
        <x:f>D324*N324</x:f>
        <x:v>12136500</x:v>
      </x:c>
      <x:c r="P324" s="22" t="n">
        <x:f>IF(O324=0,0,(M324-O324)/O324)</x:f>
        <x:v>-0.27408232439335894</x:v>
      </x:c>
      <x:c r="Q324" s="20" t="n">
        <x:v>45561</x:v>
      </x:c>
    </x:row>
    <x:row r="325" ht="20" customHeight="1">
      <x:c r="A325" t="str">
        <x:v>WO00334</x:v>
      </x:c>
      <x:c r="B325" t="str">
        <x:v>LOT00334</x:v>
      </x:c>
      <x:c r="C325" t="str">
        <x:v>AUTO-KN-A</x:v>
      </x:c>
      <x:c r="D325" t="n">
        <x:v>4929</x:v>
      </x:c>
      <x:c r="E325" t="n">
        <x:v>7409639</x:v>
      </x:c>
      <x:c r="F325" t="n">
        <x:v>26.48</x:v>
      </x:c>
      <x:c r="G325" t="n">
        <x:v>0</x:v>
      </x:c>
      <x:c r="H325" t="n">
        <x:v>3.68</x:v>
      </x:c>
      <x:c r="I325" t="n">
        <x:v>1.16</x:v>
      </x:c>
      <x:c r="J325" t="n">
        <x:v>18978.4</x:v>
      </x:c>
      <x:c r="K325" t="n">
        <x:v>580503.48</x:v>
      </x:c>
      <x:c r="L325" t="n">
        <x:v>10999.2</x:v>
      </x:c>
      <x:c r="M325" t="n">
        <x:f>SUM(E325,J325:L325)</x:f>
        <x:v>8020120.08</x:v>
      </x:c>
      <x:c r="N325" t="n">
        <x:v>2210</x:v>
      </x:c>
      <x:c r="O325" t="n">
        <x:f>D325*N325</x:f>
        <x:v>10893090</x:v>
      </x:c>
      <x:c r="P325" s="22" t="n">
        <x:f>IF(O325=0,0,(M325-O325)/O325)</x:f>
        <x:v>-0.26374242019482075</x:v>
      </x:c>
      <x:c r="Q325" s="20" t="n">
        <x:v>45557</x:v>
      </x:c>
    </x:row>
    <x:row r="326" ht="20" customHeight="1">
      <x:c r="A326" t="str">
        <x:v>WO00312</x:v>
      </x:c>
      <x:c r="B326" t="str">
        <x:v>LOT00312</x:v>
      </x:c>
      <x:c r="C326" t="str">
        <x:v>AUTO-KN-A</x:v>
      </x:c>
      <x:c r="D326" t="n">
        <x:v>4962</x:v>
      </x:c>
      <x:c r="E326" t="n">
        <x:v>7371118.45</x:v>
      </x:c>
      <x:c r="F326" t="n">
        <x:v>23.05</x:v>
      </x:c>
      <x:c r="G326" t="n">
        <x:v>0</x:v>
      </x:c>
      <x:c r="H326" t="n">
        <x:v>3.91</x:v>
      </x:c>
      <x:c r="I326" t="n">
        <x:v>1.28</x:v>
      </x:c>
      <x:c r="J326" t="n">
        <x:v>16859.3</x:v>
      </x:c>
      <x:c r="K326" t="n">
        <x:v>654075.98</x:v>
      </x:c>
      <x:c r="L326" t="n">
        <x:v>9768.6</x:v>
      </x:c>
      <x:c r="M326" t="n">
        <x:f>SUM(E326,J326:L326)</x:f>
        <x:v>8051822.33</x:v>
      </x:c>
      <x:c r="N326" t="n">
        <x:v>2210</x:v>
      </x:c>
      <x:c r="O326" t="n">
        <x:f>D326*N326</x:f>
        <x:v>10966020</x:v>
      </x:c>
      <x:c r="P326" s="22" t="n">
        <x:f>IF(O326=0,0,(M326-O326)/O326)</x:f>
        <x:v>-0.26574798058000987</x:v>
      </x:c>
      <x:c r="Q326" s="20" t="n">
        <x:v>45553</x:v>
      </x:c>
    </x:row>
    <x:row r="327" ht="20" customHeight="1">
      <x:c r="A327" t="str">
        <x:v>WO00313</x:v>
      </x:c>
      <x:c r="B327" t="str">
        <x:v>LOT00313</x:v>
      </x:c>
      <x:c r="C327" t="str">
        <x:v>AUTO-KN-A</x:v>
      </x:c>
      <x:c r="D327" t="n">
        <x:v>4968</x:v>
      </x:c>
      <x:c r="E327" t="n">
        <x:v>7319111.97</x:v>
      </x:c>
      <x:c r="F327" t="n">
        <x:v>25.79</x:v>
      </x:c>
      <x:c r="G327" t="n">
        <x:v>0</x:v>
      </x:c>
      <x:c r="H327" t="n">
        <x:v>3.7</x:v>
      </x:c>
      <x:c r="I327" t="n">
        <x:v>1.26</x:v>
      </x:c>
      <x:c r="J327" t="n">
        <x:v>18539.5</x:v>
      </x:c>
      <x:c r="K327" t="n">
        <x:v>608968.65</x:v>
      </x:c>
      <x:c r="L327" t="n">
        <x:v>10770.2</x:v>
      </x:c>
      <x:c r="M327" t="n">
        <x:f>SUM(E327,J327:L327)</x:f>
        <x:v>7957390.319999999</x:v>
      </x:c>
      <x:c r="N327" t="n">
        <x:v>2210</x:v>
      </x:c>
      <x:c r="O327" t="n">
        <x:f>D327*N327</x:f>
        <x:v>10979280</x:v>
      </x:c>
      <x:c r="P327" s="22" t="n">
        <x:f>IF(O327=0,0,(M327-O327)/O327)</x:f>
        <x:v>-0.27523568758607125</x:v>
      </x:c>
      <x:c r="Q327" s="20" t="n">
        <x:v>45559</x:v>
      </x:c>
    </x:row>
    <x:row r="328" ht="20" customHeight="1">
      <x:c r="A328" t="str">
        <x:v>WO00335</x:v>
      </x:c>
      <x:c r="B328" t="str">
        <x:v>LOT00335</x:v>
      </x:c>
      <x:c r="C328" t="str">
        <x:v>AUTO-KN-A</x:v>
      </x:c>
      <x:c r="D328" t="n">
        <x:v>4947</x:v>
      </x:c>
      <x:c r="E328" t="n">
        <x:v>7736064.8</x:v>
      </x:c>
      <x:c r="F328" t="n">
        <x:v>28.38</x:v>
      </x:c>
      <x:c r="G328" t="n">
        <x:v>0</x:v>
      </x:c>
      <x:c r="H328" t="n">
        <x:v>4.54</x:v>
      </x:c>
      <x:c r="I328" t="n">
        <x:v>1.3</x:v>
      </x:c>
      <x:c r="J328" t="n">
        <x:v>20626.2</x:v>
      </x:c>
      <x:c r="K328" t="n">
        <x:v>594675.52</x:v>
      </x:c>
      <x:c r="L328" t="n">
        <x:v>11900.8</x:v>
      </x:c>
      <x:c r="M328" t="n">
        <x:f>SUM(E328,J328:L328)</x:f>
        <x:v>8363267.32</x:v>
      </x:c>
      <x:c r="N328" t="n">
        <x:v>2210</x:v>
      </x:c>
      <x:c r="O328" t="n">
        <x:f>D328*N328</x:f>
        <x:v>10932870</x:v>
      </x:c>
      <x:c r="P328" s="22" t="n">
        <x:f>IF(O328=0,0,(M328-O328)/O328)</x:f>
        <x:v>-0.23503459567341417</x:v>
      </x:c>
      <x:c r="Q328" s="20" t="n">
        <x:v>45557</x:v>
      </x:c>
    </x:row>
    <x:row r="329" ht="20" customHeight="1">
      <x:c r="A329" t="str">
        <x:v>WO00325</x:v>
      </x:c>
      <x:c r="B329" t="str">
        <x:v>LOT00325</x:v>
      </x:c>
      <x:c r="C329" t="str">
        <x:v>PM-VAC-B</x:v>
      </x:c>
      <x:c r="D329" t="n">
        <x:v>294</x:v>
      </x:c>
      <x:c r="E329" t="n">
        <x:v>2926355.92</x:v>
      </x:c>
      <x:c r="F329" t="n">
        <x:v>2.28</x:v>
      </x:c>
      <x:c r="G329" t="n">
        <x:v>0</x:v>
      </x:c>
      <x:c r="H329" t="n">
        <x:v>0.53</x:v>
      </x:c>
      <x:c r="I329" t="n">
        <x:v>1.61</x:v>
      </x:c>
      <x:c r="J329" t="n">
        <x:v>1736.4</x:v>
      </x:c>
      <x:c r="K329" t="n">
        <x:v>355244.1</x:v>
      </x:c>
      <x:c r="L329" t="n">
        <x:v>1434.2</x:v>
      </x:c>
      <x:c r="M329" t="n">
        <x:f>SUM(E329,J329:L329)</x:f>
        <x:v>3284770.62</x:v>
      </x:c>
      <x:c r="N329" t="n">
        <x:v>15500</x:v>
      </x:c>
      <x:c r="O329" t="n">
        <x:f>D329*N329</x:f>
        <x:v>4557000</x:v>
      </x:c>
      <x:c r="P329" s="22" t="n">
        <x:f>IF(O329=0,0,(M329-O329)/O329)</x:f>
        <x:v>-0.2791813429888084</x:v>
      </x:c>
      <x:c r="Q329" s="20" t="n">
        <x:v>45568</x:v>
      </x:c>
    </x:row>
    <x:row r="330" ht="20" customHeight="1">
      <x:c r="A330" t="str">
        <x:v>WO00328</x:v>
      </x:c>
      <x:c r="B330" t="str">
        <x:v>LOT00328</x:v>
      </x:c>
      <x:c r="C330" t="str">
        <x:v>PM-VAC-B</x:v>
      </x:c>
      <x:c r="D330" t="n">
        <x:v>584</x:v>
      </x:c>
      <x:c r="E330" t="n">
        <x:v>5922813.37</x:v>
      </x:c>
      <x:c r="F330" t="n">
        <x:v>5.19</x:v>
      </x:c>
      <x:c r="G330" t="n">
        <x:v>0</x:v>
      </x:c>
      <x:c r="H330" t="n">
        <x:v>1.07</x:v>
      </x:c>
      <x:c r="I330" t="n">
        <x:v>1.57</x:v>
      </x:c>
      <x:c r="J330" t="n">
        <x:v>3887.1</x:v>
      </x:c>
      <x:c r="K330" t="n">
        <x:v>697638.33</x:v>
      </x:c>
      <x:c r="L330" t="n">
        <x:v>2614.4</x:v>
      </x:c>
      <x:c r="M330" t="n">
        <x:f>SUM(E330,J330:L330)</x:f>
        <x:v>6626953.2</x:v>
      </x:c>
      <x:c r="N330" t="n">
        <x:v>15500</x:v>
      </x:c>
      <x:c r="O330" t="n">
        <x:f>D330*N330</x:f>
        <x:v>9052000</x:v>
      </x:c>
      <x:c r="P330" s="22" t="n">
        <x:f>IF(O330=0,0,(M330-O330)/O330)</x:f>
        <x:v>-0.26790176756517897</x:v>
      </x:c>
      <x:c r="Q330" s="20" t="n">
        <x:v>45565</x:v>
      </x:c>
    </x:row>
    <x:row r="331" ht="20" customHeight="1">
      <x:c r="A331" t="str">
        <x:v>WO00329</x:v>
      </x:c>
      <x:c r="B331" t="str">
        <x:v>LOT00329</x:v>
      </x:c>
      <x:c r="C331" t="str">
        <x:v>PM-VAC-B</x:v>
      </x:c>
      <x:c r="D331" t="n">
        <x:v>589</x:v>
      </x:c>
      <x:c r="E331" t="n">
        <x:v>6021611.86</x:v>
      </x:c>
      <x:c r="F331" t="n">
        <x:v>5.36</x:v>
      </x:c>
      <x:c r="G331" t="n">
        <x:v>0</x:v>
      </x:c>
      <x:c r="H331" t="n">
        <x:v>0.98</x:v>
      </x:c>
      <x:c r="I331" t="n">
        <x:v>1.75</x:v>
      </x:c>
      <x:c r="J331" t="n">
        <x:v>3954.4</x:v>
      </x:c>
      <x:c r="K331" t="n">
        <x:v>717622.48</x:v>
      </x:c>
      <x:c r="L331" t="n">
        <x:v>2718.6</x:v>
      </x:c>
      <x:c r="M331" t="n">
        <x:f>SUM(E331,J331:L331)</x:f>
        <x:v>6745907.34</x:v>
      </x:c>
      <x:c r="N331" t="n">
        <x:v>15500</x:v>
      </x:c>
      <x:c r="O331" t="n">
        <x:f>D331*N331</x:f>
        <x:v>9129500</x:v>
      </x:c>
      <x:c r="P331" s="22" t="n">
        <x:f>IF(O331=0,0,(M331-O331)/O331)</x:f>
        <x:v>-0.26108687879949616</x:v>
      </x:c>
      <x:c r="Q331" s="20" t="n">
        <x:v>45566</x:v>
      </x:c>
    </x:row>
    <x:row r="332" ht="20" customHeight="1">
      <x:c r="A332" t="str">
        <x:v>WO00315</x:v>
      </x:c>
      <x:c r="B332" t="str">
        <x:v>LOT00315</x:v>
      </x:c>
      <x:c r="C332" t="str">
        <x:v>PM-ALB-A</x:v>
      </x:c>
      <x:c r="D332" t="n">
        <x:v>293</x:v>
      </x:c>
      <x:c r="E332" t="n">
        <x:v>1504469.29</x:v>
      </x:c>
      <x:c r="F332" t="n">
        <x:v>2.73</x:v>
      </x:c>
      <x:c r="G332" t="n">
        <x:v>0</x:v>
      </x:c>
      <x:c r="H332" t="n">
        <x:v>0.6</x:v>
      </x:c>
      <x:c r="I332" t="n">
        <x:v>1.44</x:v>
      </x:c>
      <x:c r="J332" t="n">
        <x:v>2062.5</x:v>
      </x:c>
      <x:c r="K332" t="n">
        <x:v>86900.3</x:v>
      </x:c>
      <x:c r="L332" t="n">
        <x:v>1565.4</x:v>
      </x:c>
      <x:c r="M332" t="n">
        <x:f>SUM(E332,J332:L332)</x:f>
        <x:v>1594997.49</x:v>
      </x:c>
      <x:c r="N332" t="n">
        <x:v>8100</x:v>
      </x:c>
      <x:c r="O332" t="n">
        <x:f>D332*N332</x:f>
        <x:v>2373300</x:v>
      </x:c>
      <x:c r="P332" s="22" t="n">
        <x:f>IF(O332=0,0,(M332-O332)/O332)</x:f>
        <x:v>-0.3279410567564151</x:v>
      </x:c>
      <x:c r="Q332" s="20" t="n">
        <x:v>45572</x:v>
      </x:c>
    </x:row>
    <x:row r="333" ht="20" customHeight="1">
      <x:c r="A333" t="str">
        <x:v>WO00330</x:v>
      </x:c>
      <x:c r="B333" t="str">
        <x:v>LOT00330</x:v>
      </x:c>
      <x:c r="C333" t="str">
        <x:v>PM-ALB-A</x:v>
      </x:c>
      <x:c r="D333" t="n">
        <x:v>785</x:v>
      </x:c>
      <x:c r="E333" t="n">
        <x:v>4426660.17</x:v>
      </x:c>
      <x:c r="F333" t="n">
        <x:v>6.88</x:v>
      </x:c>
      <x:c r="G333" t="n">
        <x:v>0</x:v>
      </x:c>
      <x:c r="H333" t="n">
        <x:v>1.34</x:v>
      </x:c>
      <x:c r="I333" t="n">
        <x:v>1.68</x:v>
      </x:c>
      <x:c r="J333" t="n">
        <x:v>5115.2</x:v>
      </x:c>
      <x:c r="K333" t="n">
        <x:v>250843.08</x:v>
      </x:c>
      <x:c r="L333" t="n">
        <x:v>3332.8</x:v>
      </x:c>
      <x:c r="M333" t="n">
        <x:f>SUM(E333,J333:L333)</x:f>
        <x:v>4685951.25</x:v>
      </x:c>
      <x:c r="N333" t="n">
        <x:v>8100</x:v>
      </x:c>
      <x:c r="O333" t="n">
        <x:f>D333*N333</x:f>
        <x:v>6358500</x:v>
      </x:c>
      <x:c r="P333" s="22" t="n">
        <x:f>IF(O333=0,0,(M333-O333)/O333)</x:f>
        <x:v>-0.26304140127388537</x:v>
      </x:c>
      <x:c r="Q333" s="20" t="n">
        <x:v>45565</x:v>
      </x:c>
    </x:row>
    <x:row r="334" ht="20" customHeight="1">
      <x:c r="A334" t="str">
        <x:v>WO00333</x:v>
      </x:c>
      <x:c r="B334" t="str">
        <x:v>LOT00333</x:v>
      </x:c>
      <x:c r="C334" t="str">
        <x:v>AUTO-KN-A</x:v>
      </x:c>
      <x:c r="D334" t="n">
        <x:v>2970</x:v>
      </x:c>
      <x:c r="E334" t="n">
        <x:v>4206121.04</x:v>
      </x:c>
      <x:c r="F334" t="n">
        <x:v>15.96</x:v>
      </x:c>
      <x:c r="G334" t="n">
        <x:v>0</x:v>
      </x:c>
      <x:c r="H334" t="n">
        <x:v>2.51</x:v>
      </x:c>
      <x:c r="I334" t="n">
        <x:v>1.15</x:v>
      </x:c>
      <x:c r="J334" t="n">
        <x:v>11578.8</x:v>
      </x:c>
      <x:c r="K334" t="n">
        <x:v>364661.73</x:v>
      </x:c>
      <x:c r="L334" t="n">
        <x:v>6811.4</x:v>
      </x:c>
      <x:c r="M334" t="n">
        <x:f>SUM(E334,J334:L334)</x:f>
        <x:v>4589172.97</x:v>
      </x:c>
      <x:c r="N334" t="n">
        <x:v>2210</x:v>
      </x:c>
      <x:c r="O334" t="n">
        <x:f>D334*N334</x:f>
        <x:v>6563700</x:v>
      </x:c>
      <x:c r="P334" s="22" t="n">
        <x:f>IF(O334=0,0,(M334-O334)/O334)</x:f>
        <x:v>-0.3008253012782425</x:v>
      </x:c>
      <x:c r="Q334" s="20" t="n">
        <x:v>45565</x:v>
      </x:c>
    </x:row>
    <x:row r="335" ht="20" customHeight="1">
      <x:c r="A335" t="str">
        <x:v>WO00341</x:v>
      </x:c>
      <x:c r="B335" t="str">
        <x:v>LOT00341</x:v>
      </x:c>
      <x:c r="C335" t="str">
        <x:v>PM-ALB-A</x:v>
      </x:c>
      <x:c r="D335" t="n">
        <x:v>595</x:v>
      </x:c>
      <x:c r="E335" t="n">
        <x:v>3053751.9</x:v>
      </x:c>
      <x:c r="F335" t="n">
        <x:v>4.96</x:v>
      </x:c>
      <x:c r="G335" t="n">
        <x:v>0</x:v>
      </x:c>
      <x:c r="H335" t="n">
        <x:v>0.96</x:v>
      </x:c>
      <x:c r="I335" t="n">
        <x:v>1.76</x:v>
      </x:c>
      <x:c r="J335" t="n">
        <x:v>3684.8</x:v>
      </x:c>
      <x:c r="K335" t="n">
        <x:v>187520.54</x:v>
      </x:c>
      <x:c r="L335" t="n">
        <x:v>2566.4</x:v>
      </x:c>
      <x:c r="M335" t="n">
        <x:f>SUM(E335,J335:L335)</x:f>
        <x:v>3247523.6399999997</x:v>
      </x:c>
      <x:c r="N335" t="n">
        <x:v>8100</x:v>
      </x:c>
      <x:c r="O335" t="n">
        <x:f>D335*N335</x:f>
        <x:v>4819500</x:v>
      </x:c>
      <x:c r="P335" s="22" t="n">
        <x:f>IF(O335=0,0,(M335-O335)/O335)</x:f>
        <x:v>-0.32617000933706825</x:v>
      </x:c>
      <x:c r="Q335" s="20" t="n">
        <x:v>45564</x:v>
      </x:c>
    </x:row>
    <x:row r="336" ht="20" customHeight="1">
      <x:c r="A336" t="str">
        <x:v>WO00331</x:v>
      </x:c>
      <x:c r="B336" t="str">
        <x:v>LOT00331</x:v>
      </x:c>
      <x:c r="C336" t="str">
        <x:v>AUTO-LG-B</x:v>
      </x:c>
      <x:c r="D336" t="n">
        <x:v>6906</x:v>
      </x:c>
      <x:c r="E336" t="n">
        <x:v>4294554.24</x:v>
      </x:c>
      <x:c r="F336" t="n">
        <x:v>37.38</x:v>
      </x:c>
      <x:c r="G336" t="n">
        <x:v>0</x:v>
      </x:c>
      <x:c r="H336" t="n">
        <x:v>5.46</x:v>
      </x:c>
      <x:c r="I336" t="n">
        <x:v>1.29</x:v>
      </x:c>
      <x:c r="J336" t="n">
        <x:v>26917.8</x:v>
      </x:c>
      <x:c r="K336" t="n">
        <x:v>288568.7</x:v>
      </x:c>
      <x:c r="L336" t="n">
        <x:v>15465</x:v>
      </x:c>
      <x:c r="M336" t="n">
        <x:f>SUM(E336,J336:L336)</x:f>
        <x:v>4625505.74</x:v>
      </x:c>
      <x:c r="N336" t="n">
        <x:v>925</x:v>
      </x:c>
      <x:c r="O336" t="n">
        <x:f>D336*N336</x:f>
        <x:v>6388050</x:v>
      </x:c>
      <x:c r="P336" s="22" t="n">
        <x:f>IF(O336=0,0,(M336-O336)/O336)</x:f>
        <x:v>-0.2759127214095068</x:v>
      </x:c>
      <x:c r="Q336" s="20" t="n">
        <x:v>45559</x:v>
      </x:c>
    </x:row>
    <x:row r="337" ht="20" customHeight="1">
      <x:c r="A337" t="str">
        <x:v>WO00340</x:v>
      </x:c>
      <x:c r="B337" t="str">
        <x:v>LOT00340</x:v>
      </x:c>
      <x:c r="C337" t="str">
        <x:v>PM-ALB-A</x:v>
      </x:c>
      <x:c r="D337" t="n">
        <x:v>585</x:v>
      </x:c>
      <x:c r="E337" t="n">
        <x:v>3312776.53</x:v>
      </x:c>
      <x:c r="F337" t="n">
        <x:v>5.36</x:v>
      </x:c>
      <x:c r="G337" t="n">
        <x:v>0</x:v>
      </x:c>
      <x:c r="H337" t="n">
        <x:v>1.07</x:v>
      </x:c>
      <x:c r="I337" t="n">
        <x:v>1.64</x:v>
      </x:c>
      <x:c r="J337" t="n">
        <x:v>3997.6</x:v>
      </x:c>
      <x:c r="K337" t="n">
        <x:v>199728.17</x:v>
      </x:c>
      <x:c r="L337" t="n">
        <x:v>2700</x:v>
      </x:c>
      <x:c r="M337" t="n">
        <x:f>SUM(E337,J337:L337)</x:f>
        <x:v>3519202.3</x:v>
      </x:c>
      <x:c r="N337" t="n">
        <x:v>8100</x:v>
      </x:c>
      <x:c r="O337" t="n">
        <x:f>D337*N337</x:f>
        <x:v>4738500</x:v>
      </x:c>
      <x:c r="P337" s="22" t="n">
        <x:f>IF(O337=0,0,(M337-O337)/O337)</x:f>
        <x:v>-0.2573172311913053</x:v>
      </x:c>
      <x:c r="Q337" s="20" t="n">
        <x:v>45564</x:v>
      </x:c>
    </x:row>
    <x:row r="338" ht="20" customHeight="1">
      <x:c r="A338" t="str">
        <x:v>WO00350</x:v>
      </x:c>
      <x:c r="B338" t="str">
        <x:v>LOT00350</x:v>
      </x:c>
      <x:c r="C338" t="str">
        <x:v>AUTO-LG-A</x:v>
      </x:c>
      <x:c r="D338" t="n">
        <x:v>6892</x:v>
      </x:c>
      <x:c r="E338" t="n">
        <x:v>3625934.4</x:v>
      </x:c>
      <x:c r="F338" t="n">
        <x:v>36.89</x:v>
      </x:c>
      <x:c r="G338" t="n">
        <x:v>0</x:v>
      </x:c>
      <x:c r="H338" t="n">
        <x:v>5.7</x:v>
      </x:c>
      <x:c r="I338" t="n">
        <x:v>1.07</x:v>
      </x:c>
      <x:c r="J338" t="n">
        <x:v>26714.5</x:v>
      </x:c>
      <x:c r="K338" t="n">
        <x:v>290045.08</x:v>
      </x:c>
      <x:c r="L338" t="n">
        <x:v>15251.2</x:v>
      </x:c>
      <x:c r="M338" t="n">
        <x:f>SUM(E338,J338:L338)</x:f>
        <x:v>3957945.1799999997</x:v>
      </x:c>
      <x:c r="N338" t="n">
        <x:v>840</x:v>
      </x:c>
      <x:c r="O338" t="n">
        <x:f>D338*N338</x:f>
        <x:v>5789280</x:v>
      </x:c>
      <x:c r="P338" s="22" t="n">
        <x:f>IF(O338=0,0,(M338-O338)/O338)</x:f>
        <x:v>-0.31633205165409173</x:v>
      </x:c>
      <x:c r="Q338" s="20" t="n">
        <x:v>45559</x:v>
      </x:c>
    </x:row>
    <x:row r="339" ht="20" customHeight="1">
      <x:c r="A339" t="str">
        <x:v>WO00352</x:v>
      </x:c>
      <x:c r="B339" t="str">
        <x:v>LOT00352</x:v>
      </x:c>
      <x:c r="C339" t="str">
        <x:v>AUTO-FL-B</x:v>
      </x:c>
      <x:c r="D339" t="n">
        <x:v>2937</x:v>
      </x:c>
      <x:c r="E339" t="n">
        <x:v>2413652.81</x:v>
      </x:c>
      <x:c r="F339" t="n">
        <x:v>14.91</x:v>
      </x:c>
      <x:c r="G339" t="n">
        <x:v>0</x:v>
      </x:c>
      <x:c r="H339" t="n">
        <x:v>2.82</x:v>
      </x:c>
      <x:c r="I339" t="n">
        <x:v>1.11</x:v>
      </x:c>
      <x:c r="J339" t="n">
        <x:v>11045.1</x:v>
      </x:c>
      <x:c r="K339" t="n">
        <x:v>162911.29</x:v>
      </x:c>
      <x:c r="L339" t="n">
        <x:v>6450</x:v>
      </x:c>
      <x:c r="M339" t="n">
        <x:f>SUM(E339,J339:L339)</x:f>
        <x:v>2594059.2</x:v>
      </x:c>
      <x:c r="N339" t="n">
        <x:v>1170</x:v>
      </x:c>
      <x:c r="O339" t="n">
        <x:f>D339*N339</x:f>
        <x:v>3436290</x:v>
      </x:c>
      <x:c r="P339" s="22" t="n">
        <x:f>IF(O339=0,0,(M339-O339)/O339)</x:f>
        <x:v>-0.24509887116628684</x:v>
      </x:c>
      <x:c r="Q339" s="20" t="n">
        <x:v>45560</x:v>
      </x:c>
    </x:row>
    <x:row r="340" ht="20" customHeight="1">
      <x:c r="A340" t="str">
        <x:v>WO00317</x:v>
      </x:c>
      <x:c r="B340" t="str">
        <x:v>LOT00317</x:v>
      </x:c>
      <x:c r="C340" t="str">
        <x:v>AUTO-BRK-B</x:v>
      </x:c>
      <x:c r="D340" t="n">
        <x:v>2947</x:v>
      </x:c>
      <x:c r="E340" t="n">
        <x:v>3272426.76</x:v>
      </x:c>
      <x:c r="F340" t="n">
        <x:v>15.06</x:v>
      </x:c>
      <x:c r="G340" t="n">
        <x:v>0</x:v>
      </x:c>
      <x:c r="H340" t="n">
        <x:v>2.76</x:v>
      </x:c>
      <x:c r="I340" t="n">
        <x:v>1.25</x:v>
      </x:c>
      <x:c r="J340" t="n">
        <x:v>11113.8</x:v>
      </x:c>
      <x:c r="K340" t="n">
        <x:v>289663.55</x:v>
      </x:c>
      <x:c r="L340" t="n">
        <x:v>6539.4</x:v>
      </x:c>
      <x:c r="M340" t="n">
        <x:f>SUM(E340,J340:L340)</x:f>
        <x:v>3579743.51</x:v>
      </x:c>
      <x:c r="N340" t="n">
        <x:v>1660</x:v>
      </x:c>
      <x:c r="O340" t="n">
        <x:f>D340*N340</x:f>
        <x:v>4892020</x:v>
      </x:c>
      <x:c r="P340" s="22" t="n">
        <x:f>IF(O340=0,0,(M340-O340)/O340)</x:f>
        <x:v>-0.2682483902355265</x:v>
      </x:c>
      <x:c r="Q340" s="20" t="n">
        <x:v>45560</x:v>
      </x:c>
    </x:row>
    <x:row r="341" ht="20" customHeight="1">
      <x:c r="A341" t="str">
        <x:v>WO00342</x:v>
      </x:c>
      <x:c r="B341" t="str">
        <x:v>LOT00342</x:v>
      </x:c>
      <x:c r="C341" t="str">
        <x:v>SEMI-CHB-A</x:v>
      </x:c>
      <x:c r="D341" t="n">
        <x:v>79</x:v>
      </x:c>
      <x:c r="E341" t="n">
        <x:v>3521657.63</x:v>
      </x:c>
      <x:c r="F341" t="n">
        <x:v>2.16</x:v>
      </x:c>
      <x:c r="G341" t="n">
        <x:v>0</x:v>
      </x:c>
      <x:c r="H341" t="n">
        <x:v>0.73</x:v>
      </x:c>
      <x:c r="I341" t="n">
        <x:v>2.95</x:v>
      </x:c>
      <x:c r="J341" t="n">
        <x:v>1754.4</x:v>
      </x:c>
      <x:c r="K341" t="n">
        <x:v>418189.03</x:v>
      </x:c>
      <x:c r="L341" t="n">
        <x:v>1822.6</x:v>
      </x:c>
      <x:c r="M341" t="n">
        <x:f>SUM(E341,J341:L341)</x:f>
        <x:v>3943423.66</x:v>
      </x:c>
      <x:c r="N341" t="n">
        <x:v>70000</x:v>
      </x:c>
      <x:c r="O341" t="n">
        <x:f>D341*N341</x:f>
        <x:v>5530000</x:v>
      </x:c>
      <x:c r="P341" s="22" t="n">
        <x:f>IF(O341=0,0,(M341-O341)/O341)</x:f>
        <x:v>-0.28690349728752257</x:v>
      </x:c>
      <x:c r="Q341" s="20" t="n">
        <x:v>45592</x:v>
      </x:c>
    </x:row>
    <x:row r="342" ht="20" customHeight="1">
      <x:c r="A342" t="str">
        <x:v>WO00343</x:v>
      </x:c>
      <x:c r="B342" t="str">
        <x:v>LOT00343</x:v>
      </x:c>
      <x:c r="C342" t="str">
        <x:v>SEMI-CHB-A</x:v>
      </x:c>
      <x:c r="D342" t="n">
        <x:v>79</x:v>
      </x:c>
      <x:c r="E342" t="n">
        <x:v>3240359.71</x:v>
      </x:c>
      <x:c r="F342" t="n">
        <x:v>2.13</x:v>
      </x:c>
      <x:c r="G342" t="n">
        <x:v>0</x:v>
      </x:c>
      <x:c r="H342" t="n">
        <x:v>0.8</x:v>
      </x:c>
      <x:c r="I342" t="n">
        <x:v>3.12</x:v>
      </x:c>
      <x:c r="J342" t="n">
        <x:v>1768.5</x:v>
      </x:c>
      <x:c r="K342" t="n">
        <x:v>421409.17</x:v>
      </x:c>
      <x:c r="L342" t="n">
        <x:v>1873.4</x:v>
      </x:c>
      <x:c r="M342" t="n">
        <x:f>SUM(E342,J342:L342)</x:f>
        <x:v>3665410.78</x:v>
      </x:c>
      <x:c r="N342" t="n">
        <x:v>70000</x:v>
      </x:c>
      <x:c r="O342" t="n">
        <x:f>D342*N342</x:f>
        <x:v>5530000</x:v>
      </x:c>
      <x:c r="P342" s="22" t="n">
        <x:f>IF(O342=0,0,(M342-O342)/O342)</x:f>
        <x:v>-0.33717707414104886</x:v>
      </x:c>
      <x:c r="Q342" s="20" t="n">
        <x:v>45603</x:v>
      </x:c>
    </x:row>
    <x:row r="343" ht="20" customHeight="1">
      <x:c r="A343" t="str">
        <x:v>WO00354</x:v>
      </x:c>
      <x:c r="B343" t="str">
        <x:v>LOT00354</x:v>
      </x:c>
      <x:c r="C343" t="str">
        <x:v>PM-VAC-B</x:v>
      </x:c>
      <x:c r="D343" t="n">
        <x:v>493</x:v>
      </x:c>
      <x:c r="E343" t="n">
        <x:v>4872296.56</x:v>
      </x:c>
      <x:c r="F343" t="n">
        <x:v>4.49</x:v>
      </x:c>
      <x:c r="G343" t="n">
        <x:v>0</x:v>
      </x:c>
      <x:c r="H343" t="n">
        <x:v>0.83</x:v>
      </x:c>
      <x:c r="I343" t="n">
        <x:v>1.7</x:v>
      </x:c>
      <x:c r="J343" t="n">
        <x:v>3316.9</x:v>
      </x:c>
      <x:c r="K343" t="n">
        <x:v>604297.94</x:v>
      </x:c>
      <x:c r="L343" t="n">
        <x:v>2349</x:v>
      </x:c>
      <x:c r="M343" t="n">
        <x:f>SUM(E343,J343:L343)</x:f>
        <x:v>5482260.399999999</x:v>
      </x:c>
      <x:c r="N343" t="n">
        <x:v>15500</x:v>
      </x:c>
      <x:c r="O343" t="n">
        <x:f>D343*N343</x:f>
        <x:v>7641500</x:v>
      </x:c>
      <x:c r="P343" s="22" t="n">
        <x:f>IF(O343=0,0,(M343-O343)/O343)</x:f>
        <x:v>-0.28256750637963757</x:v>
      </x:c>
      <x:c r="Q343" s="20" t="n">
        <x:v>45585</x:v>
      </x:c>
    </x:row>
    <x:row r="344" ht="20" customHeight="1">
      <x:c r="A344" t="str">
        <x:v>WO00351</x:v>
      </x:c>
      <x:c r="B344" t="str">
        <x:v>LOT00351</x:v>
      </x:c>
      <x:c r="C344" t="str">
        <x:v>PM-BRG-A</x:v>
      </x:c>
      <x:c r="D344" t="n">
        <x:v>292</x:v>
      </x:c>
      <x:c r="E344" t="n">
        <x:v>796418.04</x:v>
      </x:c>
      <x:c r="F344" t="n">
        <x:v>2.48</x:v>
      </x:c>
      <x:c r="G344" t="n">
        <x:v>0</x:v>
      </x:c>
      <x:c r="H344" t="n">
        <x:v>0.58</x:v>
      </x:c>
      <x:c r="I344" t="n">
        <x:v>1.64</x:v>
      </x:c>
      <x:c r="J344" t="n">
        <x:v>1890.4</x:v>
      </x:c>
      <x:c r="K344" t="n">
        <x:v>56207.91</x:v>
      </x:c>
      <x:c r="L344" t="n">
        <x:v>1527.2</x:v>
      </x:c>
      <x:c r="M344" t="n">
        <x:f>SUM(E344,J344:L344)</x:f>
        <x:v>856043.55</x:v>
      </x:c>
      <x:c r="N344" t="n">
        <x:v>4450</x:v>
      </x:c>
      <x:c r="O344" t="n">
        <x:f>D344*N344</x:f>
        <x:v>1299400</x:v>
      </x:c>
      <x:c r="P344" s="22" t="n">
        <x:f>IF(O344=0,0,(M344-O344)/O344)</x:f>
        <x:v>-0.3412009004155764</x:v>
      </x:c>
      <x:c r="Q344" s="20" t="n">
        <x:v>45582</x:v>
      </x:c>
    </x:row>
    <x:row r="345" ht="20" customHeight="1">
      <x:c r="A345" t="str">
        <x:v>WO00353</x:v>
      </x:c>
      <x:c r="B345" t="str">
        <x:v>LOT00353</x:v>
      </x:c>
      <x:c r="C345" t="str">
        <x:v>PM-ALB-A</x:v>
      </x:c>
      <x:c r="D345" t="n">
        <x:v>789</x:v>
      </x:c>
      <x:c r="E345" t="n">
        <x:v>4379163.61</x:v>
      </x:c>
      <x:c r="F345" t="n">
        <x:v>6.89</x:v>
      </x:c>
      <x:c r="G345" t="n">
        <x:v>0</x:v>
      </x:c>
      <x:c r="H345" t="n">
        <x:v>1.49</x:v>
      </x:c>
      <x:c r="I345" t="n">
        <x:v>1.58</x:v>
      </x:c>
      <x:c r="J345" t="n">
        <x:v>5193.7</x:v>
      </x:c>
      <x:c r="K345" t="n">
        <x:v>267013.6</x:v>
      </x:c>
      <x:c r="L345" t="n">
        <x:v>3330.6</x:v>
      </x:c>
      <x:c r="M345" t="n">
        <x:f>SUM(E345,J345:L345)</x:f>
        <x:v>4654701.510000001</x:v>
      </x:c>
      <x:c r="N345" t="n">
        <x:v>8100</x:v>
      </x:c>
      <x:c r="O345" t="n">
        <x:f>D345*N345</x:f>
        <x:v>6390900</x:v>
      </x:c>
      <x:c r="P345" s="22" t="n">
        <x:f>IF(O345=0,0,(M345-O345)/O345)</x:f>
        <x:v>-0.271667290991879</x:v>
      </x:c>
      <x:c r="Q345" s="20" t="n">
        <x:v>45585</x:v>
      </x:c>
    </x:row>
    <x:row r="346" ht="20" customHeight="1">
      <x:c r="A346" t="str">
        <x:v>WO00359</x:v>
      </x:c>
      <x:c r="B346" t="str">
        <x:v>LOT00359</x:v>
      </x:c>
      <x:c r="C346" t="str">
        <x:v>AUTO-MH-B</x:v>
      </x:c>
      <x:c r="D346" t="n">
        <x:v>6928</x:v>
      </x:c>
      <x:c r="E346" t="n">
        <x:v>11584575.37</x:v>
      </x:c>
      <x:c r="F346" t="n">
        <x:v>36.81</x:v>
      </x:c>
      <x:c r="G346" t="n">
        <x:v>0</x:v>
      </x:c>
      <x:c r="H346" t="n">
        <x:v>5.52</x:v>
      </x:c>
      <x:c r="I346" t="n">
        <x:v>1.32</x:v>
      </x:c>
      <x:c r="J346" t="n">
        <x:v>26576.1</x:v>
      </x:c>
      <x:c r="K346" t="n">
        <x:v>570956.28</x:v>
      </x:c>
      <x:c r="L346" t="n">
        <x:v>15267</x:v>
      </x:c>
      <x:c r="M346" t="n">
        <x:f>SUM(E346,J346:L346)</x:f>
        <x:v>12197374.75</x:v>
      </x:c>
      <x:c r="N346" t="n">
        <x:v>2320</x:v>
      </x:c>
      <x:c r="O346" t="n">
        <x:f>D346*N346</x:f>
        <x:v>16072960</x:v>
      </x:c>
      <x:c r="P346" s="22" t="n">
        <x:f>IF(O346=0,0,(M346-O346)/O346)</x:f>
        <x:v>-0.24112455017619655</x:v>
      </x:c>
      <x:c r="Q346" s="20" t="n">
        <x:v>45588</x:v>
      </x:c>
    </x:row>
    <x:row r="347" ht="20" customHeight="1">
      <x:c r="A347" t="str">
        <x:v>WO00336</x:v>
      </x:c>
      <x:c r="B347" t="str">
        <x:v>LOT00336</x:v>
      </x:c>
      <x:c r="C347" t="str">
        <x:v>AUTO-MH-A</x:v>
      </x:c>
      <x:c r="D347" t="n">
        <x:v>2969</x:v>
      </x:c>
      <x:c r="E347" t="n">
        <x:v>4292182.58</x:v>
      </x:c>
      <x:c r="F347" t="n">
        <x:v>13.54</x:v>
      </x:c>
      <x:c r="G347" t="n">
        <x:v>0</x:v>
      </x:c>
      <x:c r="H347" t="n">
        <x:v>2.39</x:v>
      </x:c>
      <x:c r="I347" t="n">
        <x:v>1.27</x:v>
      </x:c>
      <x:c r="J347" t="n">
        <x:v>9948.2</x:v>
      </x:c>
      <x:c r="K347" t="n">
        <x:v>223536.75</x:v>
      </x:c>
      <x:c r="L347" t="n">
        <x:v>5908.6</x:v>
      </x:c>
      <x:c r="M347" t="n">
        <x:f>SUM(E347,J347:L347)</x:f>
        <x:v>4531576.13</x:v>
      </x:c>
      <x:c r="N347" t="n">
        <x:v>1970</x:v>
      </x:c>
      <x:c r="O347" t="n">
        <x:f>D347*N347</x:f>
        <x:v>5848930</x:v>
      </x:c>
      <x:c r="P347" s="22" t="n">
        <x:f>IF(O347=0,0,(M347-O347)/O347)</x:f>
        <x:v>-0.22522989162120252</x:v>
      </x:c>
      <x:c r="Q347" s="20" t="n">
        <x:v>45585</x:v>
      </x:c>
    </x:row>
    <x:row r="348" ht="20" customHeight="1">
      <x:c r="A348" t="str">
        <x:v>WO00347</x:v>
      </x:c>
      <x:c r="B348" t="str">
        <x:v>LOT00347</x:v>
      </x:c>
      <x:c r="C348" t="str">
        <x:v>MECH-CON-B</x:v>
      </x:c>
      <x:c r="D348" t="n">
        <x:v>17</x:v>
      </x:c>
      <x:c r="E348" t="n">
        <x:v>1306577.22</x:v>
      </x:c>
      <x:c r="F348" t="n">
        <x:v>1415.15</x:v>
      </x:c>
      <x:c r="G348" t="n">
        <x:v>4722.89</x:v>
      </x:c>
      <x:c r="H348" t="n">
        <x:v>2939.89</x:v>
      </x:c>
      <x:c r="I348" t="n">
        <x:v>3.29</x:v>
      </x:c>
      <x:c r="J348" t="n">
        <x:v>4786897.5</x:v>
      </x:c>
      <x:c r="K348" t="n">
        <x:v>121489.94</x:v>
      </x:c>
      <x:c r="L348" t="n">
        <x:v>1953704.4</x:v>
      </x:c>
      <x:c r="M348" t="n">
        <x:f>SUM(E348,J348:L348)</x:f>
        <x:v>8168669.06</x:v>
      </x:c>
      <x:c r="N348" t="n">
        <x:v>119000</x:v>
      </x:c>
      <x:c r="O348" t="n">
        <x:f>D348*N348</x:f>
        <x:v>2023000</x:v>
      </x:c>
      <x:c r="P348" s="22" t="n">
        <x:f>IF(O348=0,0,(M348-O348)/O348)</x:f>
        <x:v>3.0378986950074145</x:v>
      </x:c>
      <x:c r="Q348" s="20" t="n">
        <x:v>45610</x:v>
      </x:c>
    </x:row>
    <x:row r="349" ht="20" customHeight="1">
      <x:c r="A349" t="str">
        <x:v>WO00349</x:v>
      </x:c>
      <x:c r="B349" t="str">
        <x:v>LOT00349</x:v>
      </x:c>
      <x:c r="C349" t="str">
        <x:v>MECH-CON-B</x:v>
      </x:c>
      <x:c r="D349" t="n">
        <x:v>16</x:v>
      </x:c>
      <x:c r="E349" t="n">
        <x:v>1177979.64</x:v>
      </x:c>
      <x:c r="F349" t="n">
        <x:v>1410.47</x:v>
      </x:c>
      <x:c r="G349" t="n">
        <x:v>3740.37</x:v>
      </x:c>
      <x:c r="H349" t="n">
        <x:v>2951.99</x:v>
      </x:c>
      <x:c r="I349" t="n">
        <x:v>3.13</x:v>
      </x:c>
      <x:c r="J349" t="n">
        <x:v>4278753.1</x:v>
      </x:c>
      <x:c r="K349" t="n">
        <x:v>116566.25</x:v>
      </x:c>
      <x:c r="L349" t="n">
        <x:v>1757310</x:v>
      </x:c>
      <x:c r="M349" t="n">
        <x:f>SUM(E349,J349:L349)</x:f>
        <x:v>7330608.989999999</x:v>
      </x:c>
      <x:c r="N349" t="n">
        <x:v>119000</x:v>
      </x:c>
      <x:c r="O349" t="n">
        <x:f>D349*N349</x:f>
        <x:v>1904000</x:v>
      </x:c>
      <x:c r="P349" s="22" t="n">
        <x:f>IF(O349=0,0,(M349-O349)/O349)</x:f>
        <x:v>2.8501097636554618</x:v>
      </x:c>
      <x:c r="Q349" s="20" t="n">
        <x:v>45605</x:v>
      </x:c>
    </x:row>
    <x:row r="350" ht="20" customHeight="1">
      <x:c r="A350" t="str">
        <x:v>WO00348</x:v>
      </x:c>
      <x:c r="B350" t="str">
        <x:v>LOT00348</x:v>
      </x:c>
      <x:c r="C350" t="str">
        <x:v>MECH-CON-B</x:v>
      </x:c>
      <x:c r="D350" t="n">
        <x:v>17</x:v>
      </x:c>
      <x:c r="E350" t="n">
        <x:v>1378057.35</x:v>
      </x:c>
      <x:c r="F350" t="n">
        <x:v>1446.15</x:v>
      </x:c>
      <x:c r="G350" t="n">
        <x:v>3709.4</x:v>
      </x:c>
      <x:c r="H350" t="n">
        <x:v>2766.04</x:v>
      </x:c>
      <x:c r="I350" t="n">
        <x:v>2.53</x:v>
      </x:c>
      <x:c r="J350" t="n">
        <x:v>4196584.7</x:v>
      </x:c>
      <x:c r="K350" t="n">
        <x:v>109096.61</x:v>
      </x:c>
      <x:c r="L350" t="n">
        <x:v>1734742.4</x:v>
      </x:c>
      <x:c r="M350" t="n">
        <x:f>SUM(E350,J350:L350)</x:f>
        <x:v>7418481.0600000005</x:v>
      </x:c>
      <x:c r="N350" t="n">
        <x:v>119000</x:v>
      </x:c>
      <x:c r="O350" t="n">
        <x:f>D350*N350</x:f>
        <x:v>2023000</x:v>
      </x:c>
      <x:c r="P350" s="22" t="n">
        <x:f>IF(O350=0,0,(M350-O350)/O350)</x:f>
        <x:v>2.667069233811172</x:v>
      </x:c>
      <x:c r="Q350" s="20" t="n">
        <x:v>45602</x:v>
      </x:c>
    </x:row>
    <x:row r="351" ht="20" customHeight="1">
      <x:c r="A351" t="str">
        <x:v>WO00344</x:v>
      </x:c>
      <x:c r="B351" t="str">
        <x:v>LOT00344</x:v>
      </x:c>
      <x:c r="C351" t="str">
        <x:v>SEMI-WH-A</x:v>
      </x:c>
      <x:c r="D351" t="n">
        <x:v>80</x:v>
      </x:c>
      <x:c r="E351" t="n">
        <x:v>4332926.83</x:v>
      </x:c>
      <x:c r="F351" t="n">
        <x:v>1.97</x:v>
      </x:c>
      <x:c r="G351" t="n">
        <x:v>0</x:v>
      </x:c>
      <x:c r="H351" t="n">
        <x:v>0.68</x:v>
      </x:c>
      <x:c r="I351" t="n">
        <x:v>2.79</x:v>
      </x:c>
      <x:c r="J351" t="n">
        <x:v>1606.9</x:v>
      </x:c>
      <x:c r="K351" t="n">
        <x:v>539130.45</x:v>
      </x:c>
      <x:c r="L351" t="n">
        <x:v>1694.4</x:v>
      </x:c>
      <x:c r="M351" t="n">
        <x:f>SUM(E351,J351:L351)</x:f>
        <x:v>4875358.58</x:v>
      </x:c>
      <x:c r="N351" t="n">
        <x:v>88000</x:v>
      </x:c>
      <x:c r="O351" t="n">
        <x:f>D351*N351</x:f>
        <x:v>7040000</x:v>
      </x:c>
      <x:c r="P351" s="22" t="n">
        <x:f>IF(O351=0,0,(M351-O351)/O351)</x:f>
        <x:v>-0.30747747443181817</x:v>
      </x:c>
      <x:c r="Q351" s="20" t="n">
        <x:v>45613</x:v>
      </x:c>
    </x:row>
    <x:row r="352" ht="20" customHeight="1">
      <x:c r="A352" t="str">
        <x:v>WO00337</x:v>
      </x:c>
      <x:c r="B352" t="str">
        <x:v>LOT00337</x:v>
      </x:c>
      <x:c r="C352" t="str">
        <x:v>MECH-STG-B</x:v>
      </x:c>
      <x:c r="D352" t="n">
        <x:v>20</x:v>
      </x:c>
      <x:c r="E352" t="n">
        <x:v>1954295.31</x:v>
      </x:c>
      <x:c r="F352" t="n">
        <x:v>1700.75</x:v>
      </x:c>
      <x:c r="G352" t="n">
        <x:v>5162.94</x:v>
      </x:c>
      <x:c r="H352" t="n">
        <x:v>3165.32</x:v>
      </x:c>
      <x:c r="I352" t="n">
        <x:v>2.9</x:v>
      </x:c>
      <x:c r="J352" t="n">
        <x:v>5309569.9</x:v>
      </x:c>
      <x:c r="K352" t="n">
        <x:v>168867.44</x:v>
      </x:c>
      <x:c r="L352" t="n">
        <x:v>2186194.2</x:v>
      </x:c>
      <x:c r="M352" t="n">
        <x:f>SUM(E352,J352:L352)</x:f>
        <x:v>9618926.850000001</x:v>
      </x:c>
      <x:c r="N352" t="n">
        <x:v>151000</x:v>
      </x:c>
      <x:c r="O352" t="n">
        <x:f>D352*N352</x:f>
        <x:v>3020000</x:v>
      </x:c>
      <x:c r="P352" s="22" t="n">
        <x:f>IF(O352=0,0,(M352-O352)/O352)</x:f>
        <x:v>2.18507511589404</x:v>
      </x:c>
      <x:c r="Q352" s="20" t="n">
        <x:v>45626</x:v>
      </x:c>
    </x:row>
    <x:row r="353" ht="20" customHeight="1">
      <x:c r="A353" t="str">
        <x:v>WO00345</x:v>
      </x:c>
      <x:c r="B353" t="str">
        <x:v>LOT00345</x:v>
      </x:c>
      <x:c r="C353" t="str">
        <x:v>SEMI-WH-A</x:v>
      </x:c>
      <x:c r="D353" t="n">
        <x:v>78</x:v>
      </x:c>
      <x:c r="E353" t="n">
        <x:v>4450854.64</x:v>
      </x:c>
      <x:c r="F353" t="n">
        <x:v>1.99</x:v>
      </x:c>
      <x:c r="G353" t="n">
        <x:v>0</x:v>
      </x:c>
      <x:c r="H353" t="n">
        <x:v>0.77</x:v>
      </x:c>
      <x:c r="I353" t="n">
        <x:v>2.99</x:v>
      </x:c>
      <x:c r="J353" t="n">
        <x:v>1663.1</x:v>
      </x:c>
      <x:c r="K353" t="n">
        <x:v>582912.22</x:v>
      </x:c>
      <x:c r="L353" t="n">
        <x:v>1776.4</x:v>
      </x:c>
      <x:c r="M353" t="n">
        <x:f>SUM(E353,J353:L353)</x:f>
        <x:v>5037206.359999999</x:v>
      </x:c>
      <x:c r="N353" t="n">
        <x:v>88000</x:v>
      </x:c>
      <x:c r="O353" t="n">
        <x:f>D353*N353</x:f>
        <x:v>6864000</x:v>
      </x:c>
      <x:c r="P353" s="22" t="n">
        <x:f>IF(O353=0,0,(M353-O353)/O353)</x:f>
        <x:v>-0.26614126456876464</x:v>
      </x:c>
      <x:c r="Q353" s="20" t="n">
        <x:v>45613</x:v>
      </x:c>
    </x:row>
    <x:row r="354" ht="20" customHeight="1">
      <x:c r="A354" t="str">
        <x:v>WO00346</x:v>
      </x:c>
      <x:c r="B354" t="str">
        <x:v>LOT00346</x:v>
      </x:c>
      <x:c r="C354" t="str">
        <x:v>AUTO-LG-B</x:v>
      </x:c>
      <x:c r="D354" t="n">
        <x:v>4966</x:v>
      </x:c>
      <x:c r="E354" t="n">
        <x:v>2841355.89</x:v>
      </x:c>
      <x:c r="F354" t="n">
        <x:v>24.05</x:v>
      </x:c>
      <x:c r="G354" t="n">
        <x:v>0</x:v>
      </x:c>
      <x:c r="H354" t="n">
        <x:v>3.94</x:v>
      </x:c>
      <x:c r="I354" t="n">
        <x:v>1.14</x:v>
      </x:c>
      <x:c r="J354" t="n">
        <x:v>17523.7</x:v>
      </x:c>
      <x:c r="K354" t="n">
        <x:v>237844.19</x:v>
      </x:c>
      <x:c r="L354" t="n">
        <x:v>10111.4</x:v>
      </x:c>
      <x:c r="M354" t="n">
        <x:f>SUM(E354,J354:L354)</x:f>
        <x:v>3106835.18</x:v>
      </x:c>
      <x:c r="N354" t="n">
        <x:v>925</x:v>
      </x:c>
      <x:c r="O354" t="n">
        <x:f>D354*N354</x:f>
        <x:v>4593550</x:v>
      </x:c>
      <x:c r="P354" s="22" t="n">
        <x:f>IF(O354=0,0,(M354-O354)/O354)</x:f>
        <x:v>-0.32365269127363366</x:v>
      </x:c>
      <x:c r="Q354" s="20" t="n">
        <x:v>45589</x:v>
      </x:c>
    </x:row>
    <x:row r="355" ht="20" customHeight="1">
      <x:c r="A355" t="str">
        <x:v>WO00360</x:v>
      </x:c>
      <x:c r="B355" t="str">
        <x:v>LOT00360</x:v>
      </x:c>
      <x:c r="C355" t="str">
        <x:v>PM-ALB-B</x:v>
      </x:c>
      <x:c r="D355" t="n">
        <x:v>495</x:v>
      </x:c>
      <x:c r="E355" t="n">
        <x:v>3845438.24</x:v>
      </x:c>
      <x:c r="F355" t="n">
        <x:v>4.08</x:v>
      </x:c>
      <x:c r="G355" t="n">
        <x:v>0</x:v>
      </x:c>
      <x:c r="H355" t="n">
        <x:v>1.02</x:v>
      </x:c>
      <x:c r="I355" t="n">
        <x:v>1.44</x:v>
      </x:c>
      <x:c r="J355" t="n">
        <x:v>3141.6</x:v>
      </x:c>
      <x:c r="K355" t="n">
        <x:v>247051.75</x:v>
      </x:c>
      <x:c r="L355" t="n">
        <x:v>2145.6</x:v>
      </x:c>
      <x:c r="M355" t="n">
        <x:f>SUM(E355,J355:L355)</x:f>
        <x:v>4097777.1900000004</x:v>
      </x:c>
      <x:c r="N355" t="n">
        <x:v>11750</x:v>
      </x:c>
      <x:c r="O355" t="n">
        <x:f>D355*N355</x:f>
        <x:v>5816250</x:v>
      </x:c>
      <x:c r="P355" s="22" t="n">
        <x:f>IF(O355=0,0,(M355-O355)/O355)</x:f>
        <x:v>-0.2954606163765312</x:v>
      </x:c>
      <x:c r="Q355" s="20" t="n">
        <x:v>45592</x:v>
      </x:c>
    </x:row>
    <x:row r="356" ht="20" customHeight="1">
      <x:c r="A356" t="str">
        <x:v>WO00357</x:v>
      </x:c>
      <x:c r="B356" t="str">
        <x:v>LOT00357</x:v>
      </x:c>
      <x:c r="C356" t="str">
        <x:v>PM-ALB-B</x:v>
      </x:c>
      <x:c r="D356" t="n">
        <x:v>295</x:v>
      </x:c>
      <x:c r="E356" t="n">
        <x:v>2258932.26</x:v>
      </x:c>
      <x:c r="F356" t="n">
        <x:v>2.77</x:v>
      </x:c>
      <x:c r="G356" t="n">
        <x:v>0</x:v>
      </x:c>
      <x:c r="H356" t="n">
        <x:v>0.59</x:v>
      </x:c>
      <x:c r="I356" t="n">
        <x:v>1.64</x:v>
      </x:c>
      <x:c r="J356" t="n">
        <x:v>2083.7</x:v>
      </x:c>
      <x:c r="K356" t="n">
        <x:v>130907.88</x:v>
      </x:c>
      <x:c r="L356" t="n">
        <x:v>1639</x:v>
      </x:c>
      <x:c r="M356" t="n">
        <x:f>SUM(E356,J356:L356)</x:f>
        <x:v>2393562.84</x:v>
      </x:c>
      <x:c r="N356" t="n">
        <x:v>11750</x:v>
      </x:c>
      <x:c r="O356" t="n">
        <x:f>D356*N356</x:f>
        <x:v>3466250</x:v>
      </x:c>
      <x:c r="P356" s="22" t="n">
        <x:f>IF(O356=0,0,(M356-O356)/O356)</x:f>
        <x:v>-0.3094661839163361</x:v>
      </x:c>
      <x:c r="Q356" s="20" t="n">
        <x:v>45604</x:v>
      </x:c>
    </x:row>
    <x:row r="357" ht="20" customHeight="1">
      <x:c r="A357" t="str">
        <x:v>WO00358</x:v>
      </x:c>
      <x:c r="B357" t="str">
        <x:v>LOT00358</x:v>
      </x:c>
      <x:c r="C357" t="str">
        <x:v>SEMI-WH-B</x:v>
      </x:c>
      <x:c r="D357" t="n">
        <x:v>39</x:v>
      </x:c>
      <x:c r="E357" t="n">
        <x:v>3005151.91</x:v>
      </x:c>
      <x:c r="F357" t="n">
        <x:v>1.07</x:v>
      </x:c>
      <x:c r="G357" t="n">
        <x:v>0</x:v>
      </x:c>
      <x:c r="H357" t="n">
        <x:v>0.38</x:v>
      </x:c>
      <x:c r="I357" t="n">
        <x:v>3.12</x:v>
      </x:c>
      <x:c r="J357" t="n">
        <x:v>877.9</x:v>
      </x:c>
      <x:c r="K357" t="n">
        <x:v>420937.77</x:v>
      </x:c>
      <x:c r="L357" t="n">
        <x:v>1403.4</x:v>
      </x:c>
      <x:c r="M357" t="n">
        <x:f>SUM(E357,J357:L357)</x:f>
        <x:v>3428370.9800000004</x:v>
      </x:c>
      <x:c r="N357" t="n">
        <x:v>130000</x:v>
      </x:c>
      <x:c r="O357" t="n">
        <x:f>D357*N357</x:f>
        <x:v>5070000</x:v>
      </x:c>
      <x:c r="P357" s="22" t="n">
        <x:f>IF(O357=0,0,(M357-O357)/O357)</x:f>
        <x:v>-0.3237927061143983</x:v>
      </x:c>
      <x:c r="Q357" s="20" t="n">
        <x:v>45629</x:v>
      </x:c>
    </x:row>
    <x:row r="358" ht="20" customHeight="1">
      <x:c r="A358" t="str">
        <x:v>WO00338</x:v>
      </x:c>
      <x:c r="B358" t="str">
        <x:v>LOT00338</x:v>
      </x:c>
      <x:c r="C358" t="str">
        <x:v>PM-BRG-A</x:v>
      </x:c>
      <x:c r="D358" t="n">
        <x:v>782</x:v>
      </x:c>
      <x:c r="E358" t="n">
        <x:v>2125571.76</x:v>
      </x:c>
      <x:c r="F358" t="n">
        <x:v>6.76</x:v>
      </x:c>
      <x:c r="G358" t="n">
        <x:v>0</x:v>
      </x:c>
      <x:c r="H358" t="n">
        <x:v>1.6</x:v>
      </x:c>
      <x:c r="I358" t="n">
        <x:v>1.54</x:v>
      </x:c>
      <x:c r="J358" t="n">
        <x:v>5162</x:v>
      </x:c>
      <x:c r="K358" t="n">
        <x:v>162525.49</x:v>
      </x:c>
      <x:c r="L358" t="n">
        <x:v>3286.8</x:v>
      </x:c>
      <x:c r="M358" t="n">
        <x:f>SUM(E358,J358:L358)</x:f>
        <x:v>2296546.05</x:v>
      </x:c>
      <x:c r="N358" t="n">
        <x:v>4450</x:v>
      </x:c>
      <x:c r="O358" t="n">
        <x:f>D358*N358</x:f>
        <x:v>3479900</x:v>
      </x:c>
      <x:c r="P358" s="22" t="n">
        <x:f>IF(O358=0,0,(M358-O358)/O358)</x:f>
        <x:v>-0.34005401017270614</x:v>
      </x:c>
      <x:c r="Q358" s="20" t="n">
        <x:v>45592</x:v>
      </x:c>
    </x:row>
    <x:row r="359" ht="20" customHeight="1">
      <x:c r="A359" t="str">
        <x:v>WO00362</x:v>
      </x:c>
      <x:c r="B359" t="str">
        <x:v>LOT00362</x:v>
      </x:c>
      <x:c r="C359" t="str">
        <x:v>SEMI-CHB-A</x:v>
      </x:c>
      <x:c r="D359" t="n">
        <x:v>39</x:v>
      </x:c>
      <x:c r="E359" t="n">
        <x:v>1631468.46</x:v>
      </x:c>
      <x:c r="F359" t="n">
        <x:v>1</x:v>
      </x:c>
      <x:c r="G359" t="n">
        <x:v>0</x:v>
      </x:c>
      <x:c r="H359" t="n">
        <x:v>0.35</x:v>
      </x:c>
      <x:c r="I359" t="n">
        <x:v>3.1</x:v>
      </x:c>
      <x:c r="J359" t="n">
        <x:v>818</x:v>
      </x:c>
      <x:c r="K359" t="n">
        <x:v>205460.95</x:v>
      </x:c>
      <x:c r="L359" t="n">
        <x:v>1366</x:v>
      </x:c>
      <x:c r="M359" t="n">
        <x:f>SUM(E359,J359:L359)</x:f>
        <x:v>1839113.41</x:v>
      </x:c>
      <x:c r="N359" t="n">
        <x:v>70000</x:v>
      </x:c>
      <x:c r="O359" t="n">
        <x:f>D359*N359</x:f>
        <x:v>2730000</x:v>
      </x:c>
      <x:c r="P359" s="22" t="n">
        <x:f>IF(O359=0,0,(M359-O359)/O359)</x:f>
        <x:v>-0.3263320842490843</x:v>
      </x:c>
      <x:c r="Q359" s="20" t="n">
        <x:v>45615</x:v>
      </x:c>
    </x:row>
    <x:row r="360" ht="20" customHeight="1">
      <x:c r="A360" t="str">
        <x:v>WO00339</x:v>
      </x:c>
      <x:c r="B360" t="str">
        <x:v>LOT00339</x:v>
      </x:c>
      <x:c r="C360" t="str">
        <x:v>PM-BRG-A</x:v>
      </x:c>
      <x:c r="D360" t="n">
        <x:v>779</x:v>
      </x:c>
      <x:c r="E360" t="n">
        <x:v>2139602.03</x:v>
      </x:c>
      <x:c r="F360" t="n">
        <x:v>7.48</x:v>
      </x:c>
      <x:c r="G360" t="n">
        <x:v>0</x:v>
      </x:c>
      <x:c r="H360" t="n">
        <x:v>1.43</x:v>
      </x:c>
      <x:c r="I360" t="n">
        <x:v>1.58</x:v>
      </x:c>
      <x:c r="J360" t="n">
        <x:v>5548.4</x:v>
      </x:c>
      <x:c r="K360" t="n">
        <x:v>172416.11</x:v>
      </x:c>
      <x:c r="L360" t="n">
        <x:v>3545.2</x:v>
      </x:c>
      <x:c r="M360" t="n">
        <x:f>SUM(E360,J360:L360)</x:f>
        <x:v>2321111.7399999998</x:v>
      </x:c>
      <x:c r="N360" t="n">
        <x:v>4450</x:v>
      </x:c>
      <x:c r="O360" t="n">
        <x:f>D360*N360</x:f>
        <x:v>3466550</x:v>
      </x:c>
      <x:c r="P360" s="22" t="n">
        <x:f>IF(O360=0,0,(M360-O360)/O360)</x:f>
        <x:v>-0.33042600279817114</x:v>
      </x:c>
      <x:c r="Q360" s="20" t="n">
        <x:v>45588</x:v>
      </x:c>
    </x:row>
    <x:row r="361" ht="20" customHeight="1">
      <x:c r="A361" t="str">
        <x:v>WO00361</x:v>
      </x:c>
      <x:c r="B361" t="str">
        <x:v>LOT00361</x:v>
      </x:c>
      <x:c r="C361" t="str">
        <x:v>AUTO-BS-B</x:v>
      </x:c>
      <x:c r="D361" t="n">
        <x:v>6947</x:v>
      </x:c>
      <x:c r="E361" t="n">
        <x:v>2814740.77</x:v>
      </x:c>
      <x:c r="F361" t="n">
        <x:v>35.16</x:v>
      </x:c>
      <x:c r="G361" t="n">
        <x:v>0</x:v>
      </x:c>
      <x:c r="H361" t="n">
        <x:v>5.56</x:v>
      </x:c>
      <x:c r="I361" t="n">
        <x:v>1.28</x:v>
      </x:c>
      <x:c r="J361" t="n">
        <x:v>25522.8</x:v>
      </x:c>
      <x:c r="K361" t="n">
        <x:v>226213.46</x:v>
      </x:c>
      <x:c r="L361" t="n">
        <x:v>14634.4</x:v>
      </x:c>
      <x:c r="M361" t="n">
        <x:f>SUM(E361,J361:L361)</x:f>
        <x:v>3081111.43</x:v>
      </x:c>
      <x:c r="N361" t="n">
        <x:v>650</x:v>
      </x:c>
      <x:c r="O361" t="n">
        <x:f>D361*N361</x:f>
        <x:v>4515550</x:v>
      </x:c>
      <x:c r="P361" s="22" t="n">
        <x:f>IF(O361=0,0,(M361-O361)/O361)</x:f>
        <x:v>-0.3176664127293463</x:v>
      </x:c>
      <x:c r="Q361" s="20" t="n">
        <x:v>45596</x:v>
      </x:c>
    </x:row>
    <x:row r="362" ht="20" customHeight="1">
      <x:c r="A362" t="str">
        <x:v>WO00355</x:v>
      </x:c>
      <x:c r="B362" t="str">
        <x:v>LOT00355</x:v>
      </x:c>
      <x:c r="C362" t="str">
        <x:v>MECH-STG-B</x:v>
      </x:c>
      <x:c r="D362" t="n">
        <x:v>20</x:v>
      </x:c>
      <x:c r="E362" t="n">
        <x:v>2011843.49</x:v>
      </x:c>
      <x:c r="F362" t="n">
        <x:v>1580.17</x:v>
      </x:c>
      <x:c r="G362" t="n">
        <x:v>4876.65</x:v>
      </x:c>
      <x:c r="H362" t="n">
        <x:v>3649.47</x:v>
      </x:c>
      <x:c r="I362" t="n">
        <x:v>3.05</x:v>
      </x:c>
      <x:c r="J362" t="n">
        <x:v>5314714.1</x:v>
      </x:c>
      <x:c r="K362" t="n">
        <x:v>164100.35</x:v>
      </x:c>
      <x:c r="L362" t="n">
        <x:v>2160624.8</x:v>
      </x:c>
      <x:c r="M362" t="n">
        <x:f>SUM(E362,J362:L362)</x:f>
        <x:v>9651282.739999998</x:v>
      </x:c>
      <x:c r="N362" t="n">
        <x:v>151000</x:v>
      </x:c>
      <x:c r="O362" t="n">
        <x:f>D362*N362</x:f>
        <x:v>3020000</x:v>
      </x:c>
      <x:c r="P362" s="22" t="n">
        <x:f>IF(O362=0,0,(M362-O362)/O362)</x:f>
        <x:v>2.1957889867549665</x:v>
      </x:c>
      <x:c r="Q362" s="20" t="n">
        <x:v>45622</x:v>
      </x:c>
    </x:row>
    <x:row r="363" ht="20" customHeight="1">
      <x:c r="A363" t="str">
        <x:v>WO00356</x:v>
      </x:c>
      <x:c r="B363" t="str">
        <x:v>LOT00356</x:v>
      </x:c>
      <x:c r="C363" t="str">
        <x:v>MECH-STG-B</x:v>
      </x:c>
      <x:c r="D363" t="n">
        <x:v>20</x:v>
      </x:c>
      <x:c r="E363" t="n">
        <x:v>2049135.5</x:v>
      </x:c>
      <x:c r="F363" t="n">
        <x:v>1394.87</x:v>
      </x:c>
      <x:c r="G363" t="n">
        <x:v>4562.88</x:v>
      </x:c>
      <x:c r="H363" t="n">
        <x:v>3511.5</x:v>
      </x:c>
      <x:c r="I363" t="n">
        <x:v>3.2</x:v>
      </x:c>
      <x:c r="J363" t="n">
        <x:v>4964883.1</x:v>
      </x:c>
      <x:c r="K363" t="n">
        <x:v>187883.6</x:v>
      </x:c>
      <x:c r="L363" t="n">
        <x:v>2005426.6</x:v>
      </x:c>
      <x:c r="M363" t="n">
        <x:f>SUM(E363,J363:L363)</x:f>
        <x:v>9207328.799999999</x:v>
      </x:c>
      <x:c r="N363" t="n">
        <x:v>151000</x:v>
      </x:c>
      <x:c r="O363" t="n">
        <x:f>D363*N363</x:f>
        <x:v>3020000</x:v>
      </x:c>
      <x:c r="P363" s="22" t="n">
        <x:f>IF(O363=0,0,(M363-O363)/O363)</x:f>
        <x:v>2.048784370860927</x:v>
      </x:c>
      <x:c r="Q363" s="20" t="n">
        <x:v>45619</x:v>
      </x:c>
    </x:row>
    <x:row r="364" ht="20" customHeight="1">
      <x:c r="A364" t="str">
        <x:v>WO00380</x:v>
      </x:c>
      <x:c r="B364" t="str">
        <x:v>LOT00380</x:v>
      </x:c>
      <x:c r="C364" t="str">
        <x:v>PM-VAC-B</x:v>
      </x:c>
      <x:c r="D364" t="n">
        <x:v>791</x:v>
      </x:c>
      <x:c r="E364" t="n">
        <x:v>7381865.88</x:v>
      </x:c>
      <x:c r="F364" t="n">
        <x:v>7.02</x:v>
      </x:c>
      <x:c r="G364" t="n">
        <x:v>0</x:v>
      </x:c>
      <x:c r="H364" t="n">
        <x:v>1.6</x:v>
      </x:c>
      <x:c r="I364" t="n">
        <x:v>1.8</x:v>
      </x:c>
      <x:c r="J364" t="n">
        <x:v>5331</x:v>
      </x:c>
      <x:c r="K364" t="n">
        <x:v>868991.51</x:v>
      </x:c>
      <x:c r="L364" t="n">
        <x:v>3463.6</x:v>
      </x:c>
      <x:c r="M364" t="n">
        <x:f>SUM(E364,J364:L364)</x:f>
        <x:v>8259651.99</x:v>
      </x:c>
      <x:c r="N364" t="n">
        <x:v>15500</x:v>
      </x:c>
      <x:c r="O364" t="n">
        <x:f>D364*N364</x:f>
        <x:v>12260500</x:v>
      </x:c>
      <x:c r="P364" s="22" t="n">
        <x:f>IF(O364=0,0,(M364-O364)/O364)</x:f>
        <x:v>-0.3263201345785245</x:v>
      </x:c>
      <x:c r="Q364" s="20" t="n">
        <x:v>45612</x:v>
      </x:c>
    </x:row>
    <x:row r="365" ht="20" customHeight="1">
      <x:c r="A365" t="str">
        <x:v>WO00388</x:v>
      </x:c>
      <x:c r="B365" t="str">
        <x:v>LOT00388</x:v>
      </x:c>
      <x:c r="C365" t="str">
        <x:v>PM-VAC-B</x:v>
      </x:c>
      <x:c r="D365" t="n">
        <x:v>294</x:v>
      </x:c>
      <x:c r="E365" t="n">
        <x:v>2897781.34</x:v>
      </x:c>
      <x:c r="F365" t="n">
        <x:v>2.91</x:v>
      </x:c>
      <x:c r="G365" t="n">
        <x:v>0</x:v>
      </x:c>
      <x:c r="H365" t="n">
        <x:v>0.61</x:v>
      </x:c>
      <x:c r="I365" t="n">
        <x:v>1.84</x:v>
      </x:c>
      <x:c r="J365" t="n">
        <x:v>2184.3</x:v>
      </x:c>
      <x:c r="K365" t="n">
        <x:v>336776.37</x:v>
      </x:c>
      <x:c r="L365" t="n">
        <x:v>1755.4</x:v>
      </x:c>
      <x:c r="M365" t="n">
        <x:f>SUM(E365,J365:L365)</x:f>
        <x:v>3238497.4099999997</x:v>
      </x:c>
      <x:c r="N365" t="n">
        <x:v>15500</x:v>
      </x:c>
      <x:c r="O365" t="n">
        <x:f>D365*N365</x:f>
        <x:v>4557000</x:v>
      </x:c>
      <x:c r="P365" s="22" t="n">
        <x:f>IF(O365=0,0,(M365-O365)/O365)</x:f>
        <x:v>-0.28933565723063426</x:v>
      </x:c>
      <x:c r="Q365" s="20" t="n">
        <x:v>45607</x:v>
      </x:c>
    </x:row>
    <x:row r="366" ht="20" customHeight="1">
      <x:c r="A366" t="str">
        <x:v>WO00396</x:v>
      </x:c>
      <x:c r="B366" t="str">
        <x:v>LOT00396</x:v>
      </x:c>
      <x:c r="C366" t="str">
        <x:v>PM-SUS-B</x:v>
      </x:c>
      <x:c r="D366" t="n">
        <x:v>776</x:v>
      </x:c>
      <x:c r="E366" t="n">
        <x:v>5819182.19</x:v>
      </x:c>
      <x:c r="F366" t="n">
        <x:v>6.65</x:v>
      </x:c>
      <x:c r="G366" t="n">
        <x:v>0</x:v>
      </x:c>
      <x:c r="H366" t="n">
        <x:v>1.44</x:v>
      </x:c>
      <x:c r="I366" t="n">
        <x:v>1.5</x:v>
      </x:c>
      <x:c r="J366" t="n">
        <x:v>5013.7</x:v>
      </x:c>
      <x:c r="K366" t="n">
        <x:v>612715.83</x:v>
      </x:c>
      <x:c r="L366" t="n">
        <x:v>3207.4</x:v>
      </x:c>
      <x:c r="M366" t="n">
        <x:f>SUM(E366,J366:L366)</x:f>
        <x:v>6440119.12</x:v>
      </x:c>
      <x:c r="N366" t="n">
        <x:v>11100</x:v>
      </x:c>
      <x:c r="O366" t="n">
        <x:f>D366*N366</x:f>
        <x:v>8613600</x:v>
      </x:c>
      <x:c r="P366" s="22" t="n">
        <x:f>IF(O366=0,0,(M366-O366)/O366)</x:f>
        <x:v>-0.2523312993405777</x:v>
      </x:c>
      <x:c r="Q366" s="20" t="n">
        <x:v>45611</x:v>
      </x:c>
    </x:row>
    <x:row r="367" ht="20" customHeight="1">
      <x:c r="A367" t="str">
        <x:v>WO00395</x:v>
      </x:c>
      <x:c r="B367" t="str">
        <x:v>LOT00395</x:v>
      </x:c>
      <x:c r="C367" t="str">
        <x:v>PM-SUS-B</x:v>
      </x:c>
      <x:c r="D367" t="n">
        <x:v>782</x:v>
      </x:c>
      <x:c r="E367" t="n">
        <x:v>5814133.29</x:v>
      </x:c>
      <x:c r="F367" t="n">
        <x:v>6.89</x:v>
      </x:c>
      <x:c r="G367" t="n">
        <x:v>0</x:v>
      </x:c>
      <x:c r="H367" t="n">
        <x:v>1.52</x:v>
      </x:c>
      <x:c r="I367" t="n">
        <x:v>1.51</x:v>
      </x:c>
      <x:c r="J367" t="n">
        <x:v>5208.1</x:v>
      </x:c>
      <x:c r="K367" t="n">
        <x:v>504777.21</x:v>
      </x:c>
      <x:c r="L367" t="n">
        <x:v>3314.4</x:v>
      </x:c>
      <x:c r="M367" t="n">
        <x:f>SUM(E367,J367:L367)</x:f>
        <x:v>6327433</x:v>
      </x:c>
      <x:c r="N367" t="n">
        <x:v>11100</x:v>
      </x:c>
      <x:c r="O367" t="n">
        <x:f>D367*N367</x:f>
        <x:v>8680200</x:v>
      </x:c>
      <x:c r="P367" s="22" t="n">
        <x:f>IF(O367=0,0,(M367-O367)/O367)</x:f>
        <x:v>-0.27104986060229025</x:v>
      </x:c>
      <x:c r="Q367" s="20" t="n">
        <x:v>45606</x:v>
      </x:c>
    </x:row>
    <x:row r="368" ht="20" customHeight="1">
      <x:c r="A368" t="str">
        <x:v>WO00367</x:v>
      </x:c>
      <x:c r="B368" t="str">
        <x:v>LOT00367</x:v>
      </x:c>
      <x:c r="C368" t="str">
        <x:v>PM-BRG-B</x:v>
      </x:c>
      <x:c r="D368" t="n">
        <x:v>774</x:v>
      </x:c>
      <x:c r="E368" t="n">
        <x:v>2602284.75</x:v>
      </x:c>
      <x:c r="F368" t="n">
        <x:v>6.38</x:v>
      </x:c>
      <x:c r="G368" t="n">
        <x:v>0</x:v>
      </x:c>
      <x:c r="H368" t="n">
        <x:v>1.67</x:v>
      </x:c>
      <x:c r="I368" t="n">
        <x:v>1.56</x:v>
      </x:c>
      <x:c r="J368" t="n">
        <x:v>4948.6</x:v>
      </x:c>
      <x:c r="K368" t="n">
        <x:v>195487.17</x:v>
      </x:c>
      <x:c r="L368" t="n">
        <x:v>3159.6</x:v>
      </x:c>
      <x:c r="M368" t="n">
        <x:f>SUM(E368,J368:L368)</x:f>
        <x:v>2805880.12</x:v>
      </x:c>
      <x:c r="N368" t="n">
        <x:v>5400</x:v>
      </x:c>
      <x:c r="O368" t="n">
        <x:f>D368*N368</x:f>
        <x:v>4179600</x:v>
      </x:c>
      <x:c r="P368" s="22" t="n">
        <x:f>IF(O368=0,0,(M368-O368)/O368)</x:f>
        <x:v>-0.3286725715379462</x:v>
      </x:c>
      <x:c r="Q368" s="20" t="n">
        <x:v>45607</x:v>
      </x:c>
    </x:row>
    <x:row r="369" ht="20" customHeight="1">
      <x:c r="A369" t="str">
        <x:v>WO00376</x:v>
      </x:c>
      <x:c r="B369" t="str">
        <x:v>LOT00376</x:v>
      </x:c>
      <x:c r="C369" t="str">
        <x:v>PM-ALB-A</x:v>
      </x:c>
      <x:c r="D369" t="n">
        <x:v>294</x:v>
      </x:c>
      <x:c r="E369" t="n">
        <x:v>1633777.09</x:v>
      </x:c>
      <x:c r="F369" t="n">
        <x:v>2.8</x:v>
      </x:c>
      <x:c r="G369" t="n">
        <x:v>0</x:v>
      </x:c>
      <x:c r="H369" t="n">
        <x:v>0.55</x:v>
      </x:c>
      <x:c r="I369" t="n">
        <x:v>1.63</x:v>
      </x:c>
      <x:c r="J369" t="n">
        <x:v>2084</x:v>
      </x:c>
      <x:c r="K369" t="n">
        <x:v>81164.22</x:v>
      </x:c>
      <x:c r="L369" t="n">
        <x:v>1641</x:v>
      </x:c>
      <x:c r="M369" t="n">
        <x:f>SUM(E369,J369:L369)</x:f>
        <x:v>1718666.31</x:v>
      </x:c>
      <x:c r="N369" t="n">
        <x:v>8100</x:v>
      </x:c>
      <x:c r="O369" t="n">
        <x:f>D369*N369</x:f>
        <x:v>2381400</x:v>
      </x:c>
      <x:c r="P369" s="22" t="n">
        <x:f>IF(O369=0,0,(M369-O369)/O369)</x:f>
        <x:v>-0.2782958301839254</x:v>
      </x:c>
      <x:c r="Q369" s="20" t="n">
        <x:v>45606</x:v>
      </x:c>
    </x:row>
    <x:row r="370" ht="20" customHeight="1">
      <x:c r="A370" t="str">
        <x:v>WO00382</x:v>
      </x:c>
      <x:c r="B370" t="str">
        <x:v>LOT00382</x:v>
      </x:c>
      <x:c r="C370" t="str">
        <x:v>MECH-CON-A</x:v>
      </x:c>
      <x:c r="D370" t="n">
        <x:v>10</x:v>
      </x:c>
      <x:c r="E370" t="n">
        <x:v>520350.5</x:v>
      </x:c>
      <x:c r="F370" t="n">
        <x:v>791.32</x:v>
      </x:c>
      <x:c r="G370" t="n">
        <x:v>2752.57</x:v>
      </x:c>
      <x:c r="H370" t="n">
        <x:v>1670.98</x:v>
      </x:c>
      <x:c r="I370" t="n">
        <x:v>3.08</x:v>
      </x:c>
      <x:c r="J370" t="n">
        <x:v>2747764.8</x:v>
      </x:c>
      <x:c r="K370" t="n">
        <x:v>48111.48</x:v>
      </x:c>
      <x:c r="L370" t="n">
        <x:v>1119496.4</x:v>
      </x:c>
      <x:c r="M370" t="n">
        <x:f>SUM(E370,J370:L370)</x:f>
        <x:v>4435723.18</x:v>
      </x:c>
      <x:c r="N370" t="n">
        <x:v>83000</x:v>
      </x:c>
      <x:c r="O370" t="n">
        <x:f>D370*N370</x:f>
        <x:v>830000</x:v>
      </x:c>
      <x:c r="P370" s="22" t="n">
        <x:f>IF(O370=0,0,(M370-O370)/O370)</x:f>
        <x:v>4.344244795180723</x:v>
      </x:c>
      <x:c r="Q370" s="20" t="n">
        <x:v>45616</x:v>
      </x:c>
    </x:row>
    <x:row r="371" ht="20" customHeight="1">
      <x:c r="A371" t="str">
        <x:v>WO00366</x:v>
      </x:c>
      <x:c r="B371" t="str">
        <x:v>LOT00366</x:v>
      </x:c>
      <x:c r="C371" t="str">
        <x:v>PM-BRG-B</x:v>
      </x:c>
      <x:c r="D371" t="n">
        <x:v>777</x:v>
      </x:c>
      <x:c r="E371" t="n">
        <x:v>2438655.85</x:v>
      </x:c>
      <x:c r="F371" t="n">
        <x:v>6.42</x:v>
      </x:c>
      <x:c r="G371" t="n">
        <x:v>0</x:v>
      </x:c>
      <x:c r="H371" t="n">
        <x:v>1.52</x:v>
      </x:c>
      <x:c r="I371" t="n">
        <x:v>1.63</x:v>
      </x:c>
      <x:c r="J371" t="n">
        <x:v>4902.6</x:v>
      </x:c>
      <x:c r="K371" t="n">
        <x:v>219244.15</x:v>
      </x:c>
      <x:c r="L371" t="n">
        <x:v>3171.8</x:v>
      </x:c>
      <x:c r="M371" t="n">
        <x:f>SUM(E371,J371:L371)</x:f>
        <x:v>2665974.4</x:v>
      </x:c>
      <x:c r="N371" t="n">
        <x:v>5400</x:v>
      </x:c>
      <x:c r="O371" t="n">
        <x:f>D371*N371</x:f>
        <x:v>4195800</x:v>
      </x:c>
      <x:c r="P371" s="22" t="n">
        <x:f>IF(O371=0,0,(M371-O371)/O371)</x:f>
        <x:v>-0.36460879927546597</x:v>
      </x:c>
      <x:c r="Q371" s="20" t="n">
        <x:v>45604</x:v>
      </x:c>
    </x:row>
    <x:row r="372" ht="20" customHeight="1">
      <x:c r="A372" t="str">
        <x:v>WO00371</x:v>
      </x:c>
      <x:c r="B372" t="str">
        <x:v>LOT00371</x:v>
      </x:c>
      <x:c r="C372" t="str">
        <x:v>PM-SUS-A</x:v>
      </x:c>
      <x:c r="D372" t="n">
        <x:v>493</x:v>
      </x:c>
      <x:c r="E372" t="n">
        <x:v>2156193.67</x:v>
      </x:c>
      <x:c r="F372" t="n">
        <x:v>4.08</x:v>
      </x:c>
      <x:c r="G372" t="n">
        <x:v>0</x:v>
      </x:c>
      <x:c r="H372" t="n">
        <x:v>0.89</x:v>
      </x:c>
      <x:c r="I372" t="n">
        <x:v>1.69</x:v>
      </x:c>
      <x:c r="J372" t="n">
        <x:v>3079.2</x:v>
      </x:c>
      <x:c r="K372" t="n">
        <x:v>261952.96</x:v>
      </x:c>
      <x:c r="L372" t="n">
        <x:v>2199.8</x:v>
      </x:c>
      <x:c r="M372" t="n">
        <x:f>SUM(E372,J372:L372)</x:f>
        <x:v>2423425.63</x:v>
      </x:c>
      <x:c r="N372" t="n">
        <x:v>7500</x:v>
      </x:c>
      <x:c r="O372" t="n">
        <x:f>D372*N372</x:f>
        <x:v>3697500</x:v>
      </x:c>
      <x:c r="P372" s="22" t="n">
        <x:f>IF(O372=0,0,(M372-O372)/O372)</x:f>
        <x:v>-0.34457724678837054</x:v>
      </x:c>
      <x:c r="Q372" s="20" t="n">
        <x:v>45609</x:v>
      </x:c>
    </x:row>
    <x:row r="373" ht="20" customHeight="1">
      <x:c r="A373" t="str">
        <x:v>WO00369</x:v>
      </x:c>
      <x:c r="B373" t="str">
        <x:v>LOT00369</x:v>
      </x:c>
      <x:c r="C373" t="str">
        <x:v>AUTO-BRK-A</x:v>
      </x:c>
      <x:c r="D373" t="n">
        <x:v>6406</x:v>
      </x:c>
      <x:c r="E373" t="n">
        <x:v>6030296.67</x:v>
      </x:c>
      <x:c r="F373" t="n">
        <x:v>34.05</x:v>
      </x:c>
      <x:c r="G373" t="n">
        <x:v>0</x:v>
      </x:c>
      <x:c r="H373" t="n">
        <x:v>5.89</x:v>
      </x:c>
      <x:c r="I373" t="n">
        <x:v>1.23</x:v>
      </x:c>
      <x:c r="J373" t="n">
        <x:v>24959.7</x:v>
      </x:c>
      <x:c r="K373" t="n">
        <x:v>565807.68</x:v>
      </x:c>
      <x:c r="L373" t="n">
        <x:v>14250.4</x:v>
      </x:c>
      <x:c r="M373" t="n">
        <x:f>SUM(E373,J373:L373)</x:f>
        <x:v>6635314.45</x:v>
      </x:c>
      <x:c r="N373" t="n">
        <x:v>1380</x:v>
      </x:c>
      <x:c r="O373" t="n">
        <x:f>D373*N373</x:f>
        <x:v>8840280</x:v>
      </x:c>
      <x:c r="P373" s="22" t="n">
        <x:f>IF(O373=0,0,(M373-O373)/O373)</x:f>
        <x:v>-0.24942259181835869</x:v>
      </x:c>
      <x:c r="Q373" s="20" t="n">
        <x:v>45604</x:v>
      </x:c>
    </x:row>
    <x:row r="374" ht="20" customHeight="1">
      <x:c r="A374" t="str">
        <x:v>WO00368</x:v>
      </x:c>
      <x:c r="B374" t="str">
        <x:v>LOT00368</x:v>
      </x:c>
      <x:c r="C374" t="str">
        <x:v>AUTO-BRK-A</x:v>
      </x:c>
      <x:c r="D374" t="n">
        <x:v>6394</x:v>
      </x:c>
      <x:c r="E374" t="n">
        <x:v>5738013.68</x:v>
      </x:c>
      <x:c r="F374" t="n">
        <x:v>35.07</x:v>
      </x:c>
      <x:c r="G374" t="n">
        <x:v>0</x:v>
      </x:c>
      <x:c r="H374" t="n">
        <x:v>5.68</x:v>
      </x:c>
      <x:c r="I374" t="n">
        <x:v>1.11</x:v>
      </x:c>
      <x:c r="J374" t="n">
        <x:v>25521.9</x:v>
      </x:c>
      <x:c r="K374" t="n">
        <x:v>577913.66</x:v>
      </x:c>
      <x:c r="L374" t="n">
        <x:v>14568.4</x:v>
      </x:c>
      <x:c r="M374" t="n">
        <x:f>SUM(E374,J374:L374)</x:f>
        <x:v>6356017.64</x:v>
      </x:c>
      <x:c r="N374" t="n">
        <x:v>1380</x:v>
      </x:c>
      <x:c r="O374" t="n">
        <x:f>D374*N374</x:f>
        <x:v>8823720</x:v>
      </x:c>
      <x:c r="P374" s="22" t="n">
        <x:f>IF(O374=0,0,(M374-O374)/O374)</x:f>
        <x:v>-0.27966689332843747</x:v>
      </x:c>
      <x:c r="Q374" s="20" t="n">
        <x:v>45603</x:v>
      </x:c>
    </x:row>
    <x:row r="375" ht="20" customHeight="1">
      <x:c r="A375" t="str">
        <x:v>WO00370</x:v>
      </x:c>
      <x:c r="B375" t="str">
        <x:v>LOT00370</x:v>
      </x:c>
      <x:c r="C375" t="str">
        <x:v>AUTO-BS-A</x:v>
      </x:c>
      <x:c r="D375" t="n">
        <x:v>6984</x:v>
      </x:c>
      <x:c r="E375" t="n">
        <x:v>2216604.14</x:v>
      </x:c>
      <x:c r="F375" t="n">
        <x:v>37.79</x:v>
      </x:c>
      <x:c r="G375" t="n">
        <x:v>0</x:v>
      </x:c>
      <x:c r="H375" t="n">
        <x:v>6.34</x:v>
      </x:c>
      <x:c r="I375" t="n">
        <x:v>1.08</x:v>
      </x:c>
      <x:c r="J375" t="n">
        <x:v>27606.7</x:v>
      </x:c>
      <x:c r="K375" t="n">
        <x:v>192236.98</x:v>
      </x:c>
      <x:c r="L375" t="n">
        <x:v>15698.6</x:v>
      </x:c>
      <x:c r="M375" t="n">
        <x:f>SUM(E375,J375:L375)</x:f>
        <x:v>2452146.42</x:v>
      </x:c>
      <x:c r="N375" t="n">
        <x:v>550</x:v>
      </x:c>
      <x:c r="O375" t="n">
        <x:f>D375*N375</x:f>
        <x:v>3841200</x:v>
      </x:c>
      <x:c r="P375" s="22" t="n">
        <x:f>IF(O375=0,0,(M375-O375)/O375)</x:f>
        <x:v>-0.361619696969697</x:v>
      </x:c>
      <x:c r="Q375" s="20" t="n">
        <x:v>45596</x:v>
      </x:c>
    </x:row>
    <x:row r="376" ht="20" customHeight="1">
      <x:c r="A376" t="str">
        <x:v>WO00385</x:v>
      </x:c>
      <x:c r="B376" t="str">
        <x:v>LOT00385</x:v>
      </x:c>
      <x:c r="C376" t="str">
        <x:v>PM-VAC-A</x:v>
      </x:c>
      <x:c r="D376" t="n">
        <x:v>782</x:v>
      </x:c>
      <x:c r="E376" t="n">
        <x:v>5304583.87</x:v>
      </x:c>
      <x:c r="F376" t="n">
        <x:v>7.27</x:v>
      </x:c>
      <x:c r="G376" t="n">
        <x:v>0</x:v>
      </x:c>
      <x:c r="H376" t="n">
        <x:v>1.6</x:v>
      </x:c>
      <x:c r="I376" t="n">
        <x:v>1.55</x:v>
      </x:c>
      <x:c r="J376" t="n">
        <x:v>5493.5</x:v>
      </x:c>
      <x:c r="K376" t="n">
        <x:v>706157.12</x:v>
      </x:c>
      <x:c r="L376" t="n">
        <x:v>3483.6</x:v>
      </x:c>
      <x:c r="M376" t="n">
        <x:f>SUM(E376,J376:L376)</x:f>
        <x:v>6019718.09</x:v>
      </x:c>
      <x:c r="N376" t="n">
        <x:v>10800</x:v>
      </x:c>
      <x:c r="O376" t="n">
        <x:f>D376*N376</x:f>
        <x:v>8445600</x:v>
      </x:c>
      <x:c r="P376" s="22" t="n">
        <x:f>IF(O376=0,0,(M376-O376)/O376)</x:f>
        <x:v>-0.28723618333806955</x:v>
      </x:c>
      <x:c r="Q376" s="20" t="n">
        <x:v>45617</x:v>
      </x:c>
    </x:row>
    <x:row r="377" ht="20" customHeight="1">
      <x:c r="A377" t="str">
        <x:v>WO00392</x:v>
      </x:c>
      <x:c r="B377" t="str">
        <x:v>LOT00392</x:v>
      </x:c>
      <x:c r="C377" t="str">
        <x:v>MECH-STG-A</x:v>
      </x:c>
      <x:c r="D377" t="n">
        <x:v>17</x:v>
      </x:c>
      <x:c r="E377" t="n">
        <x:v>1132607.95</x:v>
      </x:c>
      <x:c r="F377" t="n">
        <x:v>1283.43</x:v>
      </x:c>
      <x:c r="G377" t="n">
        <x:v>4444.82</x:v>
      </x:c>
      <x:c r="H377" t="n">
        <x:v>2720.05</x:v>
      </x:c>
      <x:c r="I377" t="n">
        <x:v>2.86</x:v>
      </x:c>
      <x:c r="J377" t="n">
        <x:v>4451159.9</x:v>
      </x:c>
      <x:c r="K377" t="n">
        <x:v>102112.43</x:v>
      </x:c>
      <x:c r="L377" t="n">
        <x:v>1812733.4</x:v>
      </x:c>
      <x:c r="M377" t="n">
        <x:f>SUM(E377,J377:L377)</x:f>
        <x:v>7498613.680000001</x:v>
      </x:c>
      <x:c r="N377" t="n">
        <x:v>104000</x:v>
      </x:c>
      <x:c r="O377" t="n">
        <x:f>D377*N377</x:f>
        <x:v>1768000</x:v>
      </x:c>
      <x:c r="P377" s="22" t="n">
        <x:f>IF(O377=0,0,(M377-O377)/O377)</x:f>
        <x:v>3.2412973303167423</x:v>
      </x:c>
      <x:c r="Q377" s="20" t="n">
        <x:v>45625</x:v>
      </x:c>
    </x:row>
    <x:row r="378" ht="20" customHeight="1">
      <x:c r="A378" t="str">
        <x:v>WO00393</x:v>
      </x:c>
      <x:c r="B378" t="str">
        <x:v>LOT00393</x:v>
      </x:c>
      <x:c r="C378" t="str">
        <x:v>MECH-STG-A</x:v>
      </x:c>
      <x:c r="D378" t="n">
        <x:v>17</x:v>
      </x:c>
      <x:c r="E378" t="n">
        <x:v>1215330.92</x:v>
      </x:c>
      <x:c r="F378" t="n">
        <x:v>1381.93</x:v>
      </x:c>
      <x:c r="G378" t="n">
        <x:v>4478.87</x:v>
      </x:c>
      <x:c r="H378" t="n">
        <x:v>3155.25</x:v>
      </x:c>
      <x:c r="I378" t="n">
        <x:v>2.95</x:v>
      </x:c>
      <x:c r="J378" t="n">
        <x:v>4741786.9</x:v>
      </x:c>
      <x:c r="K378" t="n">
        <x:v>113409.87</x:v>
      </x:c>
      <x:c r="L378" t="n">
        <x:v>1926632.4</x:v>
      </x:c>
      <x:c r="M378" t="n">
        <x:f>SUM(E378,J378:L378)</x:f>
        <x:v>7997160.09</x:v>
      </x:c>
      <x:c r="N378" t="n">
        <x:v>104000</x:v>
      </x:c>
      <x:c r="O378" t="n">
        <x:f>D378*N378</x:f>
        <x:v>1768000</x:v>
      </x:c>
      <x:c r="P378" s="22" t="n">
        <x:f>IF(O378=0,0,(M378-O378)/O378)</x:f>
        <x:v>3.5232805938914025</x:v>
      </x:c>
      <x:c r="Q378" s="20" t="n">
        <x:v>45629</x:v>
      </x:c>
    </x:row>
    <x:row r="379" ht="20" customHeight="1">
      <x:c r="A379" t="str">
        <x:v>WO00394</x:v>
      </x:c>
      <x:c r="B379" t="str">
        <x:v>LOT00394</x:v>
      </x:c>
      <x:c r="C379" t="str">
        <x:v>MECH-STG-A</x:v>
      </x:c>
      <x:c r="D379" t="n">
        <x:v>16</x:v>
      </x:c>
      <x:c r="E379" t="n">
        <x:v>1109872.05</x:v>
      </x:c>
      <x:c r="F379" t="n">
        <x:v>1131.56</x:v>
      </x:c>
      <x:c r="G379" t="n">
        <x:v>3613.32</x:v>
      </x:c>
      <x:c r="H379" t="n">
        <x:v>2497.69</x:v>
      </x:c>
      <x:c r="I379" t="n">
        <x:v>2.68</x:v>
      </x:c>
      <x:c r="J379" t="n">
        <x:v>3813331.6</x:v>
      </x:c>
      <x:c r="K379" t="n">
        <x:v>95383.24</x:v>
      </x:c>
      <x:c r="L379" t="n">
        <x:v>1553091.2</x:v>
      </x:c>
      <x:c r="M379" t="n">
        <x:f>SUM(E379,J379:L379)</x:f>
        <x:v>6571678.09</x:v>
      </x:c>
      <x:c r="N379" t="n">
        <x:v>104000</x:v>
      </x:c>
      <x:c r="O379" t="n">
        <x:f>D379*N379</x:f>
        <x:v>1664000</x:v>
      </x:c>
      <x:c r="P379" s="22" t="n">
        <x:f>IF(O379=0,0,(M379-O379)/O379)</x:f>
        <x:v>2.9493257752403843</x:v>
      </x:c>
      <x:c r="Q379" s="20" t="n">
        <x:v>45620</x:v>
      </x:c>
    </x:row>
    <x:row r="380" ht="20" customHeight="1">
      <x:c r="A380" t="str">
        <x:v>WO00384</x:v>
      </x:c>
      <x:c r="B380" t="str">
        <x:v>LOT00384</x:v>
      </x:c>
      <x:c r="C380" t="str">
        <x:v>PM-VAC-A</x:v>
      </x:c>
      <x:c r="D380" t="n">
        <x:v>783</x:v>
      </x:c>
      <x:c r="E380" t="n">
        <x:v>5092002.32</x:v>
      </x:c>
      <x:c r="F380" t="n">
        <x:v>7.24</x:v>
      </x:c>
      <x:c r="G380" t="n">
        <x:v>0</x:v>
      </x:c>
      <x:c r="H380" t="n">
        <x:v>1.61</x:v>
      </x:c>
      <x:c r="I380" t="n">
        <x:v>1.52</x:v>
      </x:c>
      <x:c r="J380" t="n">
        <x:v>5478.8</x:v>
      </x:c>
      <x:c r="K380" t="n">
        <x:v>617749.55</x:v>
      </x:c>
      <x:c r="L380" t="n">
        <x:v>3464.8</x:v>
      </x:c>
      <x:c r="M380" t="n">
        <x:f>SUM(E380,J380:L380)</x:f>
        <x:v>5718695.470000001</x:v>
      </x:c>
      <x:c r="N380" t="n">
        <x:v>10800</x:v>
      </x:c>
      <x:c r="O380" t="n">
        <x:f>D380*N380</x:f>
        <x:v>8456400</x:v>
      </x:c>
      <x:c r="P380" s="22" t="n">
        <x:f>IF(O380=0,0,(M380-O380)/O380)</x:f>
        <x:v>-0.3237434995979376</x:v>
      </x:c>
      <x:c r="Q380" s="20" t="n">
        <x:v>45618</x:v>
      </x:c>
    </x:row>
    <x:row r="381" ht="20" customHeight="1">
      <x:c r="A381" t="str">
        <x:v>WO00386</x:v>
      </x:c>
      <x:c r="B381" t="str">
        <x:v>LOT00386</x:v>
      </x:c>
      <x:c r="C381" t="str">
        <x:v>AUTO-MH-A</x:v>
      </x:c>
      <x:c r="D381" t="n">
        <x:v>4975</x:v>
      </x:c>
      <x:c r="E381" t="n">
        <x:v>6680923.78</x:v>
      </x:c>
      <x:c r="F381" t="n">
        <x:v>24.74</x:v>
      </x:c>
      <x:c r="G381" t="n">
        <x:v>0</x:v>
      </x:c>
      <x:c r="H381" t="n">
        <x:v>4.54</x:v>
      </x:c>
      <x:c r="I381" t="n">
        <x:v>1.33</x:v>
      </x:c>
      <x:c r="J381" t="n">
        <x:v>18260.2</x:v>
      </x:c>
      <x:c r="K381" t="n">
        <x:v>365567.76</x:v>
      </x:c>
      <x:c r="L381" t="n">
        <x:v>10526.6</x:v>
      </x:c>
      <x:c r="M381" t="n">
        <x:f>SUM(E381,J381:L381)</x:f>
        <x:v>7075278.34</x:v>
      </x:c>
      <x:c r="N381" t="n">
        <x:v>1970</x:v>
      </x:c>
      <x:c r="O381" t="n">
        <x:f>D381*N381</x:f>
        <x:v>9800750</x:v>
      </x:c>
      <x:c r="P381" s="22" t="n">
        <x:f>IF(O381=0,0,(M381-O381)/O381)</x:f>
        <x:v>-0.27808807081090736</x:v>
      </x:c>
      <x:c r="Q381" s="20" t="n">
        <x:v>45608</x:v>
      </x:c>
    </x:row>
    <x:row r="382" ht="20" customHeight="1">
      <x:c r="A382" t="str">
        <x:v>WO00387</x:v>
      </x:c>
      <x:c r="B382" t="str">
        <x:v>LOT00387</x:v>
      </x:c>
      <x:c r="C382" t="str">
        <x:v>AUTO-MH-A</x:v>
      </x:c>
      <x:c r="D382" t="n">
        <x:v>5000</x:v>
      </x:c>
      <x:c r="E382" t="n">
        <x:v>6901156.53</x:v>
      </x:c>
      <x:c r="F382" t="n">
        <x:v>25.66</x:v>
      </x:c>
      <x:c r="G382" t="n">
        <x:v>0</x:v>
      </x:c>
      <x:c r="H382" t="n">
        <x:v>3.83</x:v>
      </x:c>
      <x:c r="I382" t="n">
        <x:v>1.14</x:v>
      </x:c>
      <x:c r="J382" t="n">
        <x:v>18517.4</x:v>
      </x:c>
      <x:c r="K382" t="n">
        <x:v>391596.32</x:v>
      </x:c>
      <x:c r="L382" t="n">
        <x:v>10705.6</x:v>
      </x:c>
      <x:c r="M382" t="n">
        <x:f>SUM(E382,J382:L382)</x:f>
        <x:v>7321975.850000001</x:v>
      </x:c>
      <x:c r="N382" t="n">
        <x:v>1970</x:v>
      </x:c>
      <x:c r="O382" t="n">
        <x:f>D382*N382</x:f>
        <x:v>9850000</x:v>
      </x:c>
      <x:c r="P382" s="22" t="n">
        <x:f>IF(O382=0,0,(M382-O382)/O382)</x:f>
        <x:v>-0.2566521979695431</x:v>
      </x:c>
      <x:c r="Q382" s="20" t="n">
        <x:v>45613</x:v>
      </x:c>
    </x:row>
    <x:row r="383" ht="20" customHeight="1">
      <x:c r="A383" t="str">
        <x:v>WO00379</x:v>
      </x:c>
      <x:c r="B383" t="str">
        <x:v>LOT00379</x:v>
      </x:c>
      <x:c r="C383" t="str">
        <x:v>PM-VAC-A</x:v>
      </x:c>
      <x:c r="D383" t="n">
        <x:v>790</x:v>
      </x:c>
      <x:c r="E383" t="n">
        <x:v>4904055.7</x:v>
      </x:c>
      <x:c r="F383" t="n">
        <x:v>7.37</x:v>
      </x:c>
      <x:c r="G383" t="n">
        <x:v>0</x:v>
      </x:c>
      <x:c r="H383" t="n">
        <x:v>1.33</x:v>
      </x:c>
      <x:c r="I383" t="n">
        <x:v>1.71</x:v>
      </x:c>
      <x:c r="J383" t="n">
        <x:v>5428.9</x:v>
      </x:c>
      <x:c r="K383" t="n">
        <x:v>674751.45</x:v>
      </x:c>
      <x:c r="L383" t="n">
        <x:v>3526.4</x:v>
      </x:c>
      <x:c r="M383" t="n">
        <x:f>SUM(E383,J383:L383)</x:f>
        <x:v>5587762.45</x:v>
      </x:c>
      <x:c r="N383" t="n">
        <x:v>10800</x:v>
      </x:c>
      <x:c r="O383" t="n">
        <x:f>D383*N383</x:f>
        <x:v>8532000</x:v>
      </x:c>
      <x:c r="P383" s="22" t="n">
        <x:f>IF(O383=0,0,(M383-O383)/O383)</x:f>
        <x:v>-0.345081756915143</x:v>
      </x:c>
      <x:c r="Q383" s="20" t="n">
        <x:v>45617</x:v>
      </x:c>
    </x:row>
    <x:row r="384" ht="20" customHeight="1">
      <x:c r="A384" t="str">
        <x:v>WO00363</x:v>
      </x:c>
      <x:c r="B384" t="str">
        <x:v>LOT00363</x:v>
      </x:c>
      <x:c r="C384" t="str">
        <x:v>SEMI-WH-A</x:v>
      </x:c>
      <x:c r="D384" t="n">
        <x:v>39</x:v>
      </x:c>
      <x:c r="E384" t="n">
        <x:v>2054970.73</x:v>
      </x:c>
      <x:c r="F384" t="n">
        <x:v>1.07</x:v>
      </x:c>
      <x:c r="G384" t="n">
        <x:v>0</x:v>
      </x:c>
      <x:c r="H384" t="n">
        <x:v>0.36</x:v>
      </x:c>
      <x:c r="I384" t="n">
        <x:v>2.75</x:v>
      </x:c>
      <x:c r="J384" t="n">
        <x:v>868.3</x:v>
      </x:c>
      <x:c r="K384" t="n">
        <x:v>309829.47</x:v>
      </x:c>
      <x:c r="L384" t="n">
        <x:v>1289.2</x:v>
      </x:c>
      <x:c r="M384" t="n">
        <x:f>SUM(E384,J384:L384)</x:f>
        <x:v>2366957.7</x:v>
      </x:c>
      <x:c r="N384" t="n">
        <x:v>88000</x:v>
      </x:c>
      <x:c r="O384" t="n">
        <x:f>D384*N384</x:f>
        <x:v>3432000</x:v>
      </x:c>
      <x:c r="P384" s="22" t="n">
        <x:f>IF(O384=0,0,(M384-O384)/O384)</x:f>
        <x:v>-0.31032701048951045</x:v>
      </x:c>
      <x:c r="Q384" s="20" t="n">
        <x:v>45644</x:v>
      </x:c>
    </x:row>
    <x:row r="385" ht="20" customHeight="1">
      <x:c r="A385" t="str">
        <x:v>WO00391</x:v>
      </x:c>
      <x:c r="B385" t="str">
        <x:v>LOT00391</x:v>
      </x:c>
      <x:c r="C385" t="str">
        <x:v>AUTO-BS-B</x:v>
      </x:c>
      <x:c r="D385" t="n">
        <x:v>2974</x:v>
      </x:c>
      <x:c r="E385" t="n">
        <x:v>1188385.92</x:v>
      </x:c>
      <x:c r="F385" t="n">
        <x:v>16.37</x:v>
      </x:c>
      <x:c r="G385" t="n">
        <x:v>0</x:v>
      </x:c>
      <x:c r="H385" t="n">
        <x:v>2.12</x:v>
      </x:c>
      <x:c r="I385" t="n">
        <x:v>1.18</x:v>
      </x:c>
      <x:c r="J385" t="n">
        <x:v>11658.1</x:v>
      </x:c>
      <x:c r="K385" t="n">
        <x:v>96231.35</x:v>
      </x:c>
      <x:c r="L385" t="n">
        <x:v>6913.8</x:v>
      </x:c>
      <x:c r="M385" t="n">
        <x:f>SUM(E385,J385:L385)</x:f>
        <x:v>1303189.17</x:v>
      </x:c>
      <x:c r="N385" t="n">
        <x:v>650</x:v>
      </x:c>
      <x:c r="O385" t="n">
        <x:f>D385*N385</x:f>
        <x:v>1933100</x:v>
      </x:c>
      <x:c r="P385" s="22" t="n">
        <x:f>IF(O385=0,0,(M385-O385)/O385)</x:f>
        <x:v>-0.3258552739123688</x:v>
      </x:c>
      <x:c r="Q385" s="20" t="n">
        <x:v>45613</x:v>
      </x:c>
    </x:row>
    <x:row r="386" ht="20" customHeight="1">
      <x:c r="A386" t="str">
        <x:v>WO00378</x:v>
      </x:c>
      <x:c r="B386" t="str">
        <x:v>LOT00378</x:v>
      </x:c>
      <x:c r="C386" t="str">
        <x:v>PM-SUS-A</x:v>
      </x:c>
      <x:c r="D386" t="n">
        <x:v>784</x:v>
      </x:c>
      <x:c r="E386" t="n">
        <x:v>3607208.51</x:v>
      </x:c>
      <x:c r="F386" t="n">
        <x:v>7.68</x:v>
      </x:c>
      <x:c r="G386" t="n">
        <x:v>0</x:v>
      </x:c>
      <x:c r="H386" t="n">
        <x:v>1.64</x:v>
      </x:c>
      <x:c r="I386" t="n">
        <x:v>1.76</x:v>
      </x:c>
      <x:c r="J386" t="n">
        <x:v>5779.2</x:v>
      </x:c>
      <x:c r="K386" t="n">
        <x:v>368941.44</x:v>
      </x:c>
      <x:c r="L386" t="n">
        <x:v>3708.8</x:v>
      </x:c>
      <x:c r="M386" t="n">
        <x:f>SUM(E386,J386:L386)</x:f>
        <x:v>3985637.9499999997</x:v>
      </x:c>
      <x:c r="N386" t="n">
        <x:v>7500</x:v>
      </x:c>
      <x:c r="O386" t="n">
        <x:f>D386*N386</x:f>
        <x:v>5880000</x:v>
      </x:c>
      <x:c r="P386" s="22" t="n">
        <x:f>IF(O386=0,0,(M386-O386)/O386)</x:f>
        <x:v>-0.32217041666666674</x:v>
      </x:c>
      <x:c r="Q386" s="20" t="n">
        <x:v>45615</x:v>
      </x:c>
    </x:row>
    <x:row r="387" ht="20" customHeight="1">
      <x:c r="A387" t="str">
        <x:v>WO00383</x:v>
      </x:c>
      <x:c r="B387" t="str">
        <x:v>LOT00383</x:v>
      </x:c>
      <x:c r="C387" t="str">
        <x:v>AUTO-FL-A</x:v>
      </x:c>
      <x:c r="D387" t="n">
        <x:v>6829</x:v>
      </x:c>
      <x:c r="E387" t="n">
        <x:v>4375860.84</x:v>
      </x:c>
      <x:c r="F387" t="n">
        <x:v>38</x:v>
      </x:c>
      <x:c r="G387" t="n">
        <x:v>0</x:v>
      </x:c>
      <x:c r="H387" t="n">
        <x:v>5.01</x:v>
      </x:c>
      <x:c r="I387" t="n">
        <x:v>1.26</x:v>
      </x:c>
      <x:c r="J387" t="n">
        <x:v>27104.8</x:v>
      </x:c>
      <x:c r="K387" t="n">
        <x:v>349377.05</x:v>
      </x:c>
      <x:c r="L387" t="n">
        <x:v>15619.6</x:v>
      </x:c>
      <x:c r="M387" t="n">
        <x:f>SUM(E387,J387:L387)</x:f>
        <x:v>4767962.29</x:v>
      </x:c>
      <x:c r="N387" t="n">
        <x:v>970</x:v>
      </x:c>
      <x:c r="O387" t="n">
        <x:f>D387*N387</x:f>
        <x:v>6624130</x:v>
      </x:c>
      <x:c r="P387" s="22" t="n">
        <x:f>IF(O387=0,0,(M387-O387)/O387)</x:f>
        <x:v>-0.2802130559031903</x:v>
      </x:c>
      <x:c r="Q387" s="20" t="n">
        <x:v>45613</x:v>
      </x:c>
    </x:row>
    <x:row r="388" ht="20" customHeight="1">
      <x:c r="A388" t="str">
        <x:v>WO00364</x:v>
      </x:c>
      <x:c r="B388" t="str">
        <x:v>LOT00364</x:v>
      </x:c>
      <x:c r="C388" t="str">
        <x:v>MECH-STG-A</x:v>
      </x:c>
      <x:c r="D388" t="n">
        <x:v>20</x:v>
      </x:c>
      <x:c r="E388" t="n">
        <x:v>1429520.12</x:v>
      </x:c>
      <x:c r="F388" t="n">
        <x:v>1328.03</x:v>
      </x:c>
      <x:c r="G388" t="n">
        <x:v>4499.52</x:v>
      </x:c>
      <x:c r="H388" t="n">
        <x:v>3459.95</x:v>
      </x:c>
      <x:c r="I388" t="n">
        <x:v>2.87</x:v>
      </x:c>
      <x:c r="J388" t="n">
        <x:v>4863745.9</x:v>
      </x:c>
      <x:c r="K388" t="n">
        <x:v>110110.7</x:v>
      </x:c>
      <x:c r="L388" t="n">
        <x:v>1959008.4</x:v>
      </x:c>
      <x:c r="M388" t="n">
        <x:f>SUM(E388,J388:L388)</x:f>
        <x:v>8362385.12</x:v>
      </x:c>
      <x:c r="N388" t="n">
        <x:v>104000</x:v>
      </x:c>
      <x:c r="O388" t="n">
        <x:f>D388*N388</x:f>
        <x:v>2080000</x:v>
      </x:c>
      <x:c r="P388" s="22" t="n">
        <x:f>IF(O388=0,0,(M388-O388)/O388)</x:f>
        <x:v>3.0203774615384615</x:v>
      </x:c>
      <x:c r="Q388" s="20" t="n">
        <x:v>45633</x:v>
      </x:c>
    </x:row>
    <x:row r="389" ht="20" customHeight="1">
      <x:c r="A389" t="str">
        <x:v>WO00377</x:v>
      </x:c>
      <x:c r="B389" t="str">
        <x:v>LOT00377</x:v>
      </x:c>
      <x:c r="C389" t="str">
        <x:v>AUTO-MH-A</x:v>
      </x:c>
      <x:c r="D389" t="n">
        <x:v>2966</x:v>
      </x:c>
      <x:c r="E389" t="n">
        <x:v>4260171.35</x:v>
      </x:c>
      <x:c r="F389" t="n">
        <x:v>15.84</x:v>
      </x:c>
      <x:c r="G389" t="n">
        <x:v>0</x:v>
      </x:c>
      <x:c r="H389" t="n">
        <x:v>2.11</x:v>
      </x:c>
      <x:c r="I389" t="n">
        <x:v>1.22</x:v>
      </x:c>
      <x:c r="J389" t="n">
        <x:v>11308.8</x:v>
      </x:c>
      <x:c r="K389" t="n">
        <x:v>260786.16</x:v>
      </x:c>
      <x:c r="L389" t="n">
        <x:v>6722.8</x:v>
      </x:c>
      <x:c r="M389" t="n">
        <x:f>SUM(E389,J389:L389)</x:f>
        <x:v>4538989.109999999</x:v>
      </x:c>
      <x:c r="N389" t="n">
        <x:v>1970</x:v>
      </x:c>
      <x:c r="O389" t="n">
        <x:f>D389*N389</x:f>
        <x:v>5843020</x:v>
      </x:c>
      <x:c r="P389" s="22" t="n">
        <x:f>IF(O389=0,0,(M389-O389)/O389)</x:f>
        <x:v>-0.22317755030788883</x:v>
      </x:c>
      <x:c r="Q389" s="20" t="n">
        <x:v>45617</x:v>
      </x:c>
    </x:row>
    <x:row r="390" ht="20" customHeight="1">
      <x:c r="A390" t="str">
        <x:v>WO00365</x:v>
      </x:c>
      <x:c r="B390" t="str">
        <x:v>LOT00365</x:v>
      </x:c>
      <x:c r="C390" t="str">
        <x:v>MECH-STG-A</x:v>
      </x:c>
      <x:c r="D390" t="n">
        <x:v>20</x:v>
      </x:c>
      <x:c r="E390" t="n">
        <x:v>1328588.39</x:v>
      </x:c>
      <x:c r="F390" t="n">
        <x:v>1768.94</x:v>
      </x:c>
      <x:c r="G390" t="n">
        <x:v>5026.16</x:v>
      </x:c>
      <x:c r="H390" t="n">
        <x:v>3425.67</x:v>
      </x:c>
      <x:c r="I390" t="n">
        <x:v>2.83</x:v>
      </x:c>
      <x:c r="J390" t="n">
        <x:v>5407735.8</x:v>
      </x:c>
      <x:c r="K390" t="n">
        <x:v>118578.13</x:v>
      </x:c>
      <x:c r="L390" t="n">
        <x:v>2226385.4</x:v>
      </x:c>
      <x:c r="M390" t="n">
        <x:f>SUM(E390,J390:L390)</x:f>
        <x:v>9081287.72</x:v>
      </x:c>
      <x:c r="N390" t="n">
        <x:v>104000</x:v>
      </x:c>
      <x:c r="O390" t="n">
        <x:f>D390*N390</x:f>
        <x:v>2080000</x:v>
      </x:c>
      <x:c r="P390" s="22" t="n">
        <x:f>IF(O390=0,0,(M390-O390)/O390)</x:f>
        <x:v>3.366003711538462</x:v>
      </x:c>
      <x:c r="Q390" s="20" t="n">
        <x:v>45636</x:v>
      </x:c>
    </x:row>
    <x:row r="391" ht="20" customHeight="1">
      <x:c r="A391" t="str">
        <x:v>WO00390</x:v>
      </x:c>
      <x:c r="B391" t="str">
        <x:v>LOT00390</x:v>
      </x:c>
      <x:c r="C391" t="str">
        <x:v>PM-BRG-A</x:v>
      </x:c>
      <x:c r="D391" t="n">
        <x:v>778</x:v>
      </x:c>
      <x:c r="E391" t="n">
        <x:v>2069303.53</x:v>
      </x:c>
      <x:c r="F391" t="n">
        <x:v>6.85</x:v>
      </x:c>
      <x:c r="G391" t="n">
        <x:v>0</x:v>
      </x:c>
      <x:c r="H391" t="n">
        <x:v>1.42</x:v>
      </x:c>
      <x:c r="I391" t="n">
        <x:v>1.57</x:v>
      </x:c>
      <x:c r="J391" t="n">
        <x:v>5134.1</x:v>
      </x:c>
      <x:c r="K391" t="n">
        <x:v>159706.8</x:v>
      </x:c>
      <x:c r="L391" t="n">
        <x:v>3301.2</x:v>
      </x:c>
      <x:c r="M391" t="n">
        <x:f>SUM(E391,J391:L391)</x:f>
        <x:v>2237445.63</x:v>
      </x:c>
      <x:c r="N391" t="n">
        <x:v>4450</x:v>
      </x:c>
      <x:c r="O391" t="n">
        <x:f>D391*N391</x:f>
        <x:v>3462100</x:v>
      </x:c>
      <x:c r="P391" s="22" t="n">
        <x:f>IF(O391=0,0,(M391-O391)/O391)</x:f>
        <x:v>-0.3537316570867393</x:v>
      </x:c>
      <x:c r="Q391" s="20" t="n">
        <x:v>45626</x:v>
      </x:c>
    </x:row>
    <x:row r="392" ht="20" customHeight="1">
      <x:c r="A392" t="str">
        <x:v>WO00400</x:v>
      </x:c>
      <x:c r="B392" t="str">
        <x:v>LOT00400</x:v>
      </x:c>
      <x:c r="C392" t="str">
        <x:v>AUTO-BRK-B</x:v>
      </x:c>
      <x:c r="D392" t="n">
        <x:v>6910</x:v>
      </x:c>
      <x:c r="E392" t="n">
        <x:v>7759731.01</x:v>
      </x:c>
      <x:c r="F392" t="n">
        <x:v>35.94</x:v>
      </x:c>
      <x:c r="G392" t="n">
        <x:v>0</x:v>
      </x:c>
      <x:c r="H392" t="n">
        <x:v>5.81</x:v>
      </x:c>
      <x:c r="I392" t="n">
        <x:v>1.11</x:v>
      </x:c>
      <x:c r="J392" t="n">
        <x:v>26149.8</x:v>
      </x:c>
      <x:c r="K392" t="n">
        <x:v>637292.71</x:v>
      </x:c>
      <x:c r="L392" t="n">
        <x:v>14919.8</x:v>
      </x:c>
      <x:c r="M392" t="n">
        <x:f>SUM(E392,J392:L392)</x:f>
        <x:v>8438093.32</x:v>
      </x:c>
      <x:c r="N392" t="n">
        <x:v>1660</x:v>
      </x:c>
      <x:c r="O392" t="n">
        <x:f>D392*N392</x:f>
        <x:v>11470600</x:v>
      </x:c>
      <x:c r="P392" s="22" t="n">
        <x:f>IF(O392=0,0,(M392-O392)/O392)</x:f>
        <x:v>-0.2643721060798912</x:v>
      </x:c>
      <x:c r="Q392" s="20" t="n">
        <x:v>45618</x:v>
      </x:c>
    </x:row>
    <x:row r="393" ht="20" customHeight="1">
      <x:c r="A393" t="str">
        <x:v>WO00373</x:v>
      </x:c>
      <x:c r="B393" t="str">
        <x:v>LOT00373</x:v>
      </x:c>
      <x:c r="C393" t="str">
        <x:v>AUTO-BRK-A</x:v>
      </x:c>
      <x:c r="D393" t="n">
        <x:v>4976</x:v>
      </x:c>
      <x:c r="E393" t="n">
        <x:v>4391951.67</x:v>
      </x:c>
      <x:c r="F393" t="n">
        <x:v>25.99</x:v>
      </x:c>
      <x:c r="G393" t="n">
        <x:v>0</x:v>
      </x:c>
      <x:c r="H393" t="n">
        <x:v>4.05</x:v>
      </x:c>
      <x:c r="I393" t="n">
        <x:v>1.19</x:v>
      </x:c>
      <x:c r="J393" t="n">
        <x:v>18837.5</x:v>
      </x:c>
      <x:c r="K393" t="n">
        <x:v>433731.41</x:v>
      </x:c>
      <x:c r="L393" t="n">
        <x:v>10881.2</x:v>
      </x:c>
      <x:c r="M393" t="n">
        <x:f>SUM(E393,J393:L393)</x:f>
        <x:v>4855401.78</x:v>
      </x:c>
      <x:c r="N393" t="n">
        <x:v>1380</x:v>
      </x:c>
      <x:c r="O393" t="n">
        <x:f>D393*N393</x:f>
        <x:v>6866880</x:v>
      </x:c>
      <x:c r="P393" s="22" t="n">
        <x:f>IF(O393=0,0,(M393-O393)/O393)</x:f>
        <x:v>-0.2929246207884803</x:v>
      </x:c>
      <x:c r="Q393" s="20" t="n">
        <x:v>45617</x:v>
      </x:c>
    </x:row>
    <x:row r="394" ht="20" customHeight="1">
      <x:c r="A394" t="str">
        <x:v>WO00389</x:v>
      </x:c>
      <x:c r="B394" t="str">
        <x:v>LOT00389</x:v>
      </x:c>
      <x:c r="C394" t="str">
        <x:v>PM-BRG-A</x:v>
      </x:c>
      <x:c r="D394" t="n">
        <x:v>784</x:v>
      </x:c>
      <x:c r="E394" t="n">
        <x:v>2101607.28</x:v>
      </x:c>
      <x:c r="F394" t="n">
        <x:v>7.36</x:v>
      </x:c>
      <x:c r="G394" t="n">
        <x:v>0</x:v>
      </x:c>
      <x:c r="H394" t="n">
        <x:v>1.45</x:v>
      </x:c>
      <x:c r="I394" t="n">
        <x:v>1.58</x:v>
      </x:c>
      <x:c r="J394" t="n">
        <x:v>5480</x:v>
      </x:c>
      <x:c r="K394" t="n">
        <x:v>169864.03</x:v>
      </x:c>
      <x:c r="L394" t="n">
        <x:v>3502.8</x:v>
      </x:c>
      <x:c r="M394" t="n">
        <x:f>SUM(E394,J394:L394)</x:f>
        <x:v>2280454.11</x:v>
      </x:c>
      <x:c r="N394" t="n">
        <x:v>4450</x:v>
      </x:c>
      <x:c r="O394" t="n">
        <x:f>D394*N394</x:f>
        <x:v>3488800</x:v>
      </x:c>
      <x:c r="P394" s="22" t="n">
        <x:f>IF(O394=0,0,(M394-O394)/O394)</x:f>
        <x:v>-0.3463500028663151</x:v>
      </x:c>
      <x:c r="Q394" s="20" t="n">
        <x:v>45621</x:v>
      </x:c>
    </x:row>
    <x:row r="395" ht="20" customHeight="1">
      <x:c r="A395" t="str">
        <x:v>WO00416</x:v>
      </x:c>
      <x:c r="B395" t="str">
        <x:v>LOT00416</x:v>
      </x:c>
      <x:c r="C395" t="str">
        <x:v>AUTO-LG-A</x:v>
      </x:c>
      <x:c r="D395" t="n">
        <x:v>4962</x:v>
      </x:c>
      <x:c r="E395" t="n">
        <x:v>2721148.18</x:v>
      </x:c>
      <x:c r="F395" t="n">
        <x:v>27.02</x:v>
      </x:c>
      <x:c r="G395" t="n">
        <x:v>0</x:v>
      </x:c>
      <x:c r="H395" t="n">
        <x:v>4.31</x:v>
      </x:c>
      <x:c r="I395" t="n">
        <x:v>1.09</x:v>
      </x:c>
      <x:c r="J395" t="n">
        <x:v>19631.8</x:v>
      </x:c>
      <x:c r="K395" t="n">
        <x:v>223143.16</x:v>
      </x:c>
      <x:c r="L395" t="n">
        <x:v>11284.2</x:v>
      </x:c>
      <x:c r="M395" t="n">
        <x:f>SUM(E395,J395:L395)</x:f>
        <x:v>2975207.3400000003</x:v>
      </x:c>
      <x:c r="N395" t="n">
        <x:v>840</x:v>
      </x:c>
      <x:c r="O395" t="n">
        <x:f>D395*N395</x:f>
        <x:v>4168080</x:v>
      </x:c>
      <x:c r="P395" s="22" t="n">
        <x:f>IF(O395=0,0,(M395-O395)/O395)</x:f>
        <x:v>-0.2861923619508262</x:v>
      </x:c>
      <x:c r="Q395" s="20" t="n">
        <x:v>45627</x:v>
      </x:c>
    </x:row>
    <x:row r="396" ht="20" customHeight="1">
      <x:c r="A396" t="str">
        <x:v>WO00372</x:v>
      </x:c>
      <x:c r="B396" t="str">
        <x:v>LOT00372</x:v>
      </x:c>
      <x:c r="C396" t="str">
        <x:v>AUTO-BRK-A</x:v>
      </x:c>
      <x:c r="D396" t="n">
        <x:v>4933</x:v>
      </x:c>
      <x:c r="E396" t="n">
        <x:v>4806514.18</x:v>
      </x:c>
      <x:c r="F396" t="n">
        <x:v>26.84</x:v>
      </x:c>
      <x:c r="G396" t="n">
        <x:v>0</x:v>
      </x:c>
      <x:c r="H396" t="n">
        <x:v>4.55</x:v>
      </x:c>
      <x:c r="I396" t="n">
        <x:v>1.13</x:v>
      </x:c>
      <x:c r="J396" t="n">
        <x:v>19630</x:v>
      </x:c>
      <x:c r="K396" t="n">
        <x:v>401002</x:v>
      </x:c>
      <x:c r="L396" t="n">
        <x:v>11266.2</x:v>
      </x:c>
      <x:c r="M396" t="n">
        <x:f>SUM(E396,J396:L396)</x:f>
        <x:v>5238412.38</x:v>
      </x:c>
      <x:c r="N396" t="n">
        <x:v>1380</x:v>
      </x:c>
      <x:c r="O396" t="n">
        <x:f>D396*N396</x:f>
        <x:v>6807540</x:v>
      </x:c>
      <x:c r="P396" s="22" t="n">
        <x:f>IF(O396=0,0,(M396-O396)/O396)</x:f>
        <x:v>-0.23049847962700185</x:v>
      </x:c>
      <x:c r="Q396" s="20" t="n">
        <x:v>45617</x:v>
      </x:c>
    </x:row>
    <x:row r="397" ht="20" customHeight="1">
      <x:c r="A397" t="str">
        <x:v>WO00414</x:v>
      </x:c>
      <x:c r="B397" t="str">
        <x:v>LOT00414</x:v>
      </x:c>
      <x:c r="C397" t="str">
        <x:v>AUTO-BRK-A</x:v>
      </x:c>
      <x:c r="D397" t="n">
        <x:v>4943</x:v>
      </x:c>
      <x:c r="E397" t="n">
        <x:v>4754408.33</x:v>
      </x:c>
      <x:c r="F397" t="n">
        <x:v>28.5</x:v>
      </x:c>
      <x:c r="G397" t="n">
        <x:v>0</x:v>
      </x:c>
      <x:c r="H397" t="n">
        <x:v>3.78</x:v>
      </x:c>
      <x:c r="I397" t="n">
        <x:v>1.13</x:v>
      </x:c>
      <x:c r="J397" t="n">
        <x:v>20339.4</x:v>
      </x:c>
      <x:c r="K397" t="n">
        <x:v>380904.35</x:v>
      </x:c>
      <x:c r="L397" t="n">
        <x:v>11773.8</x:v>
      </x:c>
      <x:c r="M397" t="n">
        <x:f>SUM(E397,J397:L397)</x:f>
        <x:v>5167425.88</x:v>
      </x:c>
      <x:c r="N397" t="n">
        <x:v>1380</x:v>
      </x:c>
      <x:c r="O397" t="n">
        <x:f>D397*N397</x:f>
        <x:v>6821340</x:v>
      </x:c>
      <x:c r="P397" s="22" t="n">
        <x:f>IF(O397=0,0,(M397-O397)/O397)</x:f>
        <x:v>-0.24246176264487623</x:v>
      </x:c>
      <x:c r="Q397" s="20" t="n">
        <x:v>45626</x:v>
      </x:c>
    </x:row>
    <x:row r="398" ht="20" customHeight="1">
      <x:c r="A398" t="str">
        <x:v>WO00417</x:v>
      </x:c>
      <x:c r="B398" t="str">
        <x:v>LOT00417</x:v>
      </x:c>
      <x:c r="C398" t="str">
        <x:v>AUTO-LG-A</x:v>
      </x:c>
      <x:c r="D398" t="n">
        <x:v>4931</x:v>
      </x:c>
      <x:c r="E398" t="n">
        <x:v>2568336.74</x:v>
      </x:c>
      <x:c r="F398" t="n">
        <x:v>23.86</x:v>
      </x:c>
      <x:c r="G398" t="n">
        <x:v>0</x:v>
      </x:c>
      <x:c r="H398" t="n">
        <x:v>4.61</x:v>
      </x:c>
      <x:c r="I398" t="n">
        <x:v>1.03</x:v>
      </x:c>
      <x:c r="J398" t="n">
        <x:v>17721.8</x:v>
      </x:c>
      <x:c r="K398" t="n">
        <x:v>216637.85</x:v>
      </x:c>
      <x:c r="L398" t="n">
        <x:v>10113.4</x:v>
      </x:c>
      <x:c r="M398" t="n">
        <x:f>SUM(E398,J398:L398)</x:f>
        <x:v>2812809.79</x:v>
      </x:c>
      <x:c r="N398" t="n">
        <x:v>840</x:v>
      </x:c>
      <x:c r="O398" t="n">
        <x:f>D398*N398</x:f>
        <x:v>4142040</x:v>
      </x:c>
      <x:c r="P398" s="22" t="n">
        <x:f>IF(O398=0,0,(M398-O398)/O398)</x:f>
        <x:v>-0.3209119684986142</x:v>
      </x:c>
      <x:c r="Q398" s="20" t="n">
        <x:v>45622</x:v>
      </x:c>
    </x:row>
    <x:row r="399" ht="20" customHeight="1">
      <x:c r="A399" t="str">
        <x:v>WO00399</x:v>
      </x:c>
      <x:c r="B399" t="str">
        <x:v>LOT00399</x:v>
      </x:c>
      <x:c r="C399" t="str">
        <x:v>AUTO-FL-B</x:v>
      </x:c>
      <x:c r="D399" t="n">
        <x:v>6871</x:v>
      </x:c>
      <x:c r="E399" t="n">
        <x:v>5322940.72</x:v>
      </x:c>
      <x:c r="F399" t="n">
        <x:v>39.28</x:v>
      </x:c>
      <x:c r="G399" t="n">
        <x:v>0</x:v>
      </x:c>
      <x:c r="H399" t="n">
        <x:v>6.04</x:v>
      </x:c>
      <x:c r="I399" t="n">
        <x:v>1.08</x:v>
      </x:c>
      <x:c r="J399" t="n">
        <x:v>28431.2</x:v>
      </x:c>
      <x:c r="K399" t="n">
        <x:v>455395.97</x:v>
      </x:c>
      <x:c r="L399" t="n">
        <x:v>16216.8</x:v>
      </x:c>
      <x:c r="M399" t="n">
        <x:f>SUM(E399,J399:L399)</x:f>
        <x:v>5822984.6899999995</x:v>
      </x:c>
      <x:c r="N399" t="n">
        <x:v>1170</x:v>
      </x:c>
      <x:c r="O399" t="n">
        <x:f>D399*N399</x:f>
        <x:v>8039070</x:v>
      </x:c>
      <x:c r="P399" s="22" t="n">
        <x:f>IF(O399=0,0,(M399-O399)/O399)</x:f>
        <x:v>-0.27566438779610086</x:v>
      </x:c>
      <x:c r="Q399" s="20" t="n">
        <x:v>45620</x:v>
      </x:c>
    </x:row>
    <x:row r="400" ht="20" customHeight="1">
      <x:c r="A400" t="str">
        <x:v>WO00381</x:v>
      </x:c>
      <x:c r="B400" t="str">
        <x:v>LOT00381</x:v>
      </x:c>
      <x:c r="C400" t="str">
        <x:v>PM-VAC-B</x:v>
      </x:c>
      <x:c r="D400" t="n">
        <x:v>296</x:v>
      </x:c>
      <x:c r="E400" t="n">
        <x:v>2942494.14</x:v>
      </x:c>
      <x:c r="F400" t="n">
        <x:v>2.63</x:v>
      </x:c>
      <x:c r="G400" t="n">
        <x:v>0</x:v>
      </x:c>
      <x:c r="H400" t="n">
        <x:v>0.57</x:v>
      </x:c>
      <x:c r="I400" t="n">
        <x:v>1.77</x:v>
      </x:c>
      <x:c r="J400" t="n">
        <x:v>1983.1</x:v>
      </x:c>
      <x:c r="K400" t="n">
        <x:v>324857.07</x:v>
      </x:c>
      <x:c r="L400" t="n">
        <x:v>1621.6</x:v>
      </x:c>
      <x:c r="M400" t="n">
        <x:f>SUM(E400,J400:L400)</x:f>
        <x:v>3270955.91</x:v>
      </x:c>
      <x:c r="N400" t="n">
        <x:v>15500</x:v>
      </x:c>
      <x:c r="O400" t="n">
        <x:f>D400*N400</x:f>
        <x:v>4588000</x:v>
      </x:c>
      <x:c r="P400" s="22" t="n">
        <x:f>IF(O400=0,0,(M400-O400)/O400)</x:f>
        <x:v>-0.2870627920662598</x:v>
      </x:c>
      <x:c r="Q400" s="20" t="n">
        <x:v>45638</x:v>
      </x:c>
    </x:row>
    <x:row r="401" ht="20" customHeight="1">
      <x:c r="A401" t="str">
        <x:v>WO00413</x:v>
      </x:c>
      <x:c r="B401" t="str">
        <x:v>LOT00413</x:v>
      </x:c>
      <x:c r="C401" t="str">
        <x:v>AUTO-BRK-A</x:v>
      </x:c>
      <x:c r="D401" t="n">
        <x:v>4965</x:v>
      </x:c>
      <x:c r="E401" t="n">
        <x:v>4483292.34</x:v>
      </x:c>
      <x:c r="F401" t="n">
        <x:v>23.67</x:v>
      </x:c>
      <x:c r="G401" t="n">
        <x:v>0</x:v>
      </x:c>
      <x:c r="H401" t="n">
        <x:v>3.89</x:v>
      </x:c>
      <x:c r="I401" t="n">
        <x:v>1.29</x:v>
      </x:c>
      <x:c r="J401" t="n">
        <x:v>17252.7</x:v>
      </x:c>
      <x:c r="K401" t="n">
        <x:v>401688.75</x:v>
      </x:c>
      <x:c r="L401" t="n">
        <x:v>10004</x:v>
      </x:c>
      <x:c r="M401" t="n">
        <x:f>SUM(E401,J401:L401)</x:f>
        <x:v>4912237.79</x:v>
      </x:c>
      <x:c r="N401" t="n">
        <x:v>1380</x:v>
      </x:c>
      <x:c r="O401" t="n">
        <x:f>D401*N401</x:f>
        <x:v>6851700</x:v>
      </x:c>
      <x:c r="P401" s="22" t="n">
        <x:f>IF(O401=0,0,(M401-O401)/O401)</x:f>
        <x:v>-0.2830629201512033</x:v>
      </x:c>
      <x:c r="Q401" s="20" t="n">
        <x:v>45625</x:v>
      </x:c>
    </x:row>
    <x:row r="402" ht="20" customHeight="1">
      <x:c r="A402" t="str">
        <x:v>WO00374</x:v>
      </x:c>
      <x:c r="B402" t="str">
        <x:v>LOT00374</x:v>
      </x:c>
      <x:c r="C402" t="str">
        <x:v>PM-ALB-B</x:v>
      </x:c>
      <x:c r="D402" t="n">
        <x:v>795</x:v>
      </x:c>
      <x:c r="E402" t="n">
        <x:v>6139851.55</x:v>
      </x:c>
      <x:c r="F402" t="n">
        <x:v>6.94</x:v>
      </x:c>
      <x:c r="G402" t="n">
        <x:v>0</x:v>
      </x:c>
      <x:c r="H402" t="n">
        <x:v>1.36</x:v>
      </x:c>
      <x:c r="I402" t="n">
        <x:v>1.54</x:v>
      </x:c>
      <x:c r="J402" t="n">
        <x:v>5163.8</x:v>
      </x:c>
      <x:c r="K402" t="n">
        <x:v>338425.26</x:v>
      </x:c>
      <x:c r="L402" t="n">
        <x:v>3316.8</x:v>
      </x:c>
      <x:c r="M402" t="n">
        <x:f>SUM(E402,J402:L402)</x:f>
        <x:v>6486757.41</x:v>
      </x:c>
      <x:c r="N402" t="n">
        <x:v>11750</x:v>
      </x:c>
      <x:c r="O402" t="n">
        <x:f>D402*N402</x:f>
        <x:v>9341250</x:v>
      </x:c>
      <x:c r="P402" s="22" t="n">
        <x:f>IF(O402=0,0,(M402-O402)/O402)</x:f>
        <x:v>-0.305579295062224</x:v>
      </x:c>
      <x:c r="Q402" s="20" t="n">
        <x:v>45635</x:v>
      </x:c>
    </x:row>
    <x:row r="403" ht="20" customHeight="1">
      <x:c r="A403" t="str">
        <x:v>WO00375</x:v>
      </x:c>
      <x:c r="B403" t="str">
        <x:v>LOT00375</x:v>
      </x:c>
      <x:c r="C403" t="str">
        <x:v>PM-ALB-B</x:v>
      </x:c>
      <x:c r="D403" t="n">
        <x:v>783</x:v>
      </x:c>
      <x:c r="E403" t="n">
        <x:v>6593516.43</x:v>
      </x:c>
      <x:c r="F403" t="n">
        <x:v>6.81</x:v>
      </x:c>
      <x:c r="G403" t="n">
        <x:v>0</x:v>
      </x:c>
      <x:c r="H403" t="n">
        <x:v>1.49</x:v>
      </x:c>
      <x:c r="I403" t="n">
        <x:v>1.59</x:v>
      </x:c>
      <x:c r="J403" t="n">
        <x:v>5141.7</x:v>
      </x:c>
      <x:c r="K403" t="n">
        <x:v>384861.96</x:v>
      </x:c>
      <x:c r="L403" t="n">
        <x:v>3303.2</x:v>
      </x:c>
      <x:c r="M403" t="n">
        <x:f>SUM(E403,J403:L403)</x:f>
        <x:v>6986823.29</x:v>
      </x:c>
      <x:c r="N403" t="n">
        <x:v>11750</x:v>
      </x:c>
      <x:c r="O403" t="n">
        <x:f>D403*N403</x:f>
        <x:v>9200250</x:v>
      </x:c>
      <x:c r="P403" s="22" t="n">
        <x:f>IF(O403=0,0,(M403-O403)/O403)</x:f>
        <x:v>-0.24058332219233172</x:v>
      </x:c>
      <x:c r="Q403" s="20" t="n">
        <x:v>45633</x:v>
      </x:c>
    </x:row>
    <x:row r="404" ht="20" customHeight="1">
      <x:c r="A404" t="str">
        <x:v>WO00404</x:v>
      </x:c>
      <x:c r="B404" t="str">
        <x:v>LOT00404</x:v>
      </x:c>
      <x:c r="C404" t="str">
        <x:v>AUTO-LG-B</x:v>
      </x:c>
      <x:c r="D404" t="n">
        <x:v>2953</x:v>
      </x:c>
      <x:c r="E404" t="n">
        <x:v>1716094.86</x:v>
      </x:c>
      <x:c r="F404" t="n">
        <x:v>13.87</x:v>
      </x:c>
      <x:c r="G404" t="n">
        <x:v>0</x:v>
      </x:c>
      <x:c r="H404" t="n">
        <x:v>2.33</x:v>
      </x:c>
      <x:c r="I404" t="n">
        <x:v>1.18</x:v>
      </x:c>
      <x:c r="J404" t="n">
        <x:v>10133.9</x:v>
      </x:c>
      <x:c r="K404" t="n">
        <x:v>145030.87</x:v>
      </x:c>
      <x:c r="L404" t="n">
        <x:v>5997.4</x:v>
      </x:c>
      <x:c r="M404" t="n">
        <x:f>SUM(E404,J404:L404)</x:f>
        <x:v>1877257.03</x:v>
      </x:c>
      <x:c r="N404" t="n">
        <x:v>925</x:v>
      </x:c>
      <x:c r="O404" t="n">
        <x:f>D404*N404</x:f>
        <x:v>2731525</x:v>
      </x:c>
      <x:c r="P404" s="22" t="n">
        <x:f>IF(O404=0,0,(M404-O404)/O404)</x:f>
        <x:v>-0.31274396902829005</x:v>
      </x:c>
      <x:c r="Q404" s="20" t="n">
        <x:v>45620</x:v>
      </x:c>
    </x:row>
    <x:row r="405" ht="20" customHeight="1">
      <x:c r="A405" t="str">
        <x:v>WO00412</x:v>
      </x:c>
      <x:c r="B405" t="str">
        <x:v>LOT00412</x:v>
      </x:c>
      <x:c r="C405" t="str">
        <x:v>AUTO-KN-B</x:v>
      </x:c>
      <x:c r="D405" t="n">
        <x:v>2979</x:v>
      </x:c>
      <x:c r="E405" t="n">
        <x:v>5346982.49</x:v>
      </x:c>
      <x:c r="F405" t="n">
        <x:v>15.45</x:v>
      </x:c>
      <x:c r="G405" t="n">
        <x:v>0</x:v>
      </x:c>
      <x:c r="H405" t="n">
        <x:v>2.59</x:v>
      </x:c>
      <x:c r="I405" t="n">
        <x:v>1.16</x:v>
      </x:c>
      <x:c r="J405" t="n">
        <x:v>11285.7</x:v>
      </x:c>
      <x:c r="K405" t="n">
        <x:v>426223.44</x:v>
      </x:c>
      <x:c r="L405" t="n">
        <x:v>6633.4</x:v>
      </x:c>
      <x:c r="M405" t="n">
        <x:f>SUM(E405,J405:L405)</x:f>
        <x:v>5791125.03</x:v>
      </x:c>
      <x:c r="N405" t="n">
        <x:v>2590</x:v>
      </x:c>
      <x:c r="O405" t="n">
        <x:f>D405*N405</x:f>
        <x:v>7715610</x:v>
      </x:c>
      <x:c r="P405" s="22" t="n">
        <x:f>IF(O405=0,0,(M405-O405)/O405)</x:f>
        <x:v>-0.24942745550902648</x:v>
      </x:c>
      <x:c r="Q405" s="20" t="n">
        <x:v>45630</x:v>
      </x:c>
    </x:row>
    <x:row r="406" ht="20" customHeight="1">
      <x:c r="A406" t="str">
        <x:v>WO00411</x:v>
      </x:c>
      <x:c r="B406" t="str">
        <x:v>LOT00411</x:v>
      </x:c>
      <x:c r="C406" t="str">
        <x:v>AUTO-LG-A</x:v>
      </x:c>
      <x:c r="D406" t="n">
        <x:v>6861</x:v>
      </x:c>
      <x:c r="E406" t="n">
        <x:v>3652489.04</x:v>
      </x:c>
      <x:c r="F406" t="n">
        <x:v>38.51</x:v>
      </x:c>
      <x:c r="G406" t="n">
        <x:v>0</x:v>
      </x:c>
      <x:c r="H406" t="n">
        <x:v>5.17</x:v>
      </x:c>
      <x:c r="I406" t="n">
        <x:v>1.1</x:v>
      </x:c>
      <x:c r="J406" t="n">
        <x:v>27513.1</x:v>
      </x:c>
      <x:c r="K406" t="n">
        <x:v>261643.91</x:v>
      </x:c>
      <x:c r="L406" t="n">
        <x:v>15791</x:v>
      </x:c>
      <x:c r="M406" t="n">
        <x:f>SUM(E406,J406:L406)</x:f>
        <x:v>3957437.05</x:v>
      </x:c>
      <x:c r="N406" t="n">
        <x:v>840</x:v>
      </x:c>
      <x:c r="O406" t="n">
        <x:f>D406*N406</x:f>
        <x:v>5763240</x:v>
      </x:c>
      <x:c r="P406" s="22" t="n">
        <x:f>IF(O406=0,0,(M406-O406)/O406)</x:f>
        <x:v>-0.3133312077928388</x:v>
      </x:c>
      <x:c r="Q406" s="20" t="n">
        <x:v>45634</x:v>
      </x:c>
    </x:row>
    <x:row r="407" ht="20" customHeight="1">
      <x:c r="A407" t="str">
        <x:v>WO00397</x:v>
      </x:c>
      <x:c r="B407" t="str">
        <x:v>LOT00397</x:v>
      </x:c>
      <x:c r="C407" t="str">
        <x:v>SEMI-CHB-B</x:v>
      </x:c>
      <x:c r="D407" t="n">
        <x:v>79</x:v>
      </x:c>
      <x:c r="E407" t="n">
        <x:v>5507154.69</x:v>
      </x:c>
      <x:c r="F407" t="n">
        <x:v>2.09</x:v>
      </x:c>
      <x:c r="G407" t="n">
        <x:v>0</x:v>
      </x:c>
      <x:c r="H407" t="n">
        <x:v>0.68</x:v>
      </x:c>
      <x:c r="I407" t="n">
        <x:v>2.8</x:v>
      </x:c>
      <x:c r="J407" t="n">
        <x:v>1684.9</x:v>
      </x:c>
      <x:c r="K407" t="n">
        <x:v>630958.86</x:v>
      </x:c>
      <x:c r="L407" t="n">
        <x:v>1743</x:v>
      </x:c>
      <x:c r="M407" t="n">
        <x:f>SUM(E407,J407:L407)</x:f>
        <x:v>6141541.45</x:v>
      </x:c>
      <x:c r="N407" t="n">
        <x:v>111000</x:v>
      </x:c>
      <x:c r="O407" t="n">
        <x:f>D407*N407</x:f>
        <x:v>8769000</x:v>
      </x:c>
      <x:c r="P407" s="22" t="n">
        <x:f>IF(O407=0,0,(M407-O407)/O407)</x:f>
        <x:v>-0.29963035123731324</x:v>
      </x:c>
      <x:c r="Q407" s="20" t="n">
        <x:v>45683</x:v>
      </x:c>
    </x:row>
    <x:row r="408" ht="20" customHeight="1">
      <x:c r="A408" t="str">
        <x:v>WO00398</x:v>
      </x:c>
      <x:c r="B408" t="str">
        <x:v>LOT00398</x:v>
      </x:c>
      <x:c r="C408" t="str">
        <x:v>SEMI-CHB-B</x:v>
      </x:c>
      <x:c r="D408" t="n">
        <x:v>79</x:v>
      </x:c>
      <x:c r="E408" t="n">
        <x:v>5389413.97</x:v>
      </x:c>
      <x:c r="F408" t="n">
        <x:v>2.32</x:v>
      </x:c>
      <x:c r="G408" t="n">
        <x:v>0</x:v>
      </x:c>
      <x:c r="H408" t="n">
        <x:v>0.71</x:v>
      </x:c>
      <x:c r="I408" t="n">
        <x:v>2.85</x:v>
      </x:c>
      <x:c r="J408" t="n">
        <x:v>1848.8</x:v>
      </x:c>
      <x:c r="K408" t="n">
        <x:v>678904.04</x:v>
      </x:c>
      <x:c r="L408" t="n">
        <x:v>1850.2</x:v>
      </x:c>
      <x:c r="M408" t="n">
        <x:f>SUM(E408,J408:L408)</x:f>
        <x:v>6072017.01</x:v>
      </x:c>
      <x:c r="N408" t="n">
        <x:v>111000</x:v>
      </x:c>
      <x:c r="O408" t="n">
        <x:f>D408*N408</x:f>
        <x:v>8769000</x:v>
      </x:c>
      <x:c r="P408" s="22" t="n">
        <x:f>IF(O408=0,0,(M408-O408)/O408)</x:f>
        <x:v>-0.3075587854943551</x:v>
      </x:c>
      <x:c r="Q408" s="20" t="n">
        <x:v>45674</x:v>
      </x:c>
    </x:row>
    <x:row r="409" ht="20" customHeight="1">
      <x:c r="A409" t="str">
        <x:v>WO00405</x:v>
      </x:c>
      <x:c r="B409" t="str">
        <x:v>LOT00405</x:v>
      </x:c>
      <x:c r="C409" t="str">
        <x:v>PM-BRG-A</x:v>
      </x:c>
      <x:c r="D409" t="n">
        <x:v>494</x:v>
      </x:c>
      <x:c r="E409" t="n">
        <x:v>1251028.94</x:v>
      </x:c>
      <x:c r="F409" t="n">
        <x:v>4.61</x:v>
      </x:c>
      <x:c r="G409" t="n">
        <x:v>0</x:v>
      </x:c>
      <x:c r="H409" t="n">
        <x:v>0.91</x:v>
      </x:c>
      <x:c r="I409" t="n">
        <x:v>1.54</x:v>
      </x:c>
      <x:c r="J409" t="n">
        <x:v>3433.3</x:v>
      </x:c>
      <x:c r="K409" t="n">
        <x:v>107337.37</x:v>
      </x:c>
      <x:c r="L409" t="n">
        <x:v>2359.4</x:v>
      </x:c>
      <x:c r="M409" t="n">
        <x:f>SUM(E409,J409:L409)</x:f>
        <x:v>1364159.01</x:v>
      </x:c>
      <x:c r="N409" t="n">
        <x:v>4450</x:v>
      </x:c>
      <x:c r="O409" t="n">
        <x:f>D409*N409</x:f>
        <x:v>2198300</x:v>
      </x:c>
      <x:c r="P409" s="22" t="n">
        <x:f>IF(O409=0,0,(M409-O409)/O409)</x:f>
        <x:v>-0.3794482054314698</x:v>
      </x:c>
      <x:c r="Q409" s="20" t="n">
        <x:v>45638</x:v>
      </x:c>
    </x:row>
    <x:row r="410" ht="20" customHeight="1">
      <x:c r="A410" t="str">
        <x:v>WO00401</x:v>
      </x:c>
      <x:c r="B410" t="str">
        <x:v>LOT00401</x:v>
      </x:c>
      <x:c r="C410" t="str">
        <x:v>AUTO-LG-A</x:v>
      </x:c>
      <x:c r="D410" t="n">
        <x:v>2984</x:v>
      </x:c>
      <x:c r="E410" t="n">
        <x:v>1612429.23</x:v>
      </x:c>
      <x:c r="F410" t="n">
        <x:v>14.36</x:v>
      </x:c>
      <x:c r="G410" t="n">
        <x:v>0</x:v>
      </x:c>
      <x:c r="H410" t="n">
        <x:v>2.19</x:v>
      </x:c>
      <x:c r="I410" t="n">
        <x:v>1.31</x:v>
      </x:c>
      <x:c r="J410" t="n">
        <x:v>10385.2</x:v>
      </x:c>
      <x:c r="K410" t="n">
        <x:v>110461.88</x:v>
      </x:c>
      <x:c r="L410" t="n">
        <x:v>6200.2</x:v>
      </x:c>
      <x:c r="M410" t="n">
        <x:f>SUM(E410,J410:L410)</x:f>
        <x:v>1739476.51</x:v>
      </x:c>
      <x:c r="N410" t="n">
        <x:v>840</x:v>
      </x:c>
      <x:c r="O410" t="n">
        <x:f>D410*N410</x:f>
        <x:v>2506560</x:v>
      </x:c>
      <x:c r="P410" s="22" t="n">
        <x:f>IF(O410=0,0,(M410-O410)/O410)</x:f>
        <x:v>-0.3060303723030767</x:v>
      </x:c>
      <x:c r="Q410" s="20" t="n">
        <x:v>45638</x:v>
      </x:c>
    </x:row>
    <x:row r="411" ht="20" customHeight="1">
      <x:c r="A411" t="str">
        <x:v>WO00403</x:v>
      </x:c>
      <x:c r="B411" t="str">
        <x:v>LOT00403</x:v>
      </x:c>
      <x:c r="C411" t="str">
        <x:v>AUTO-LG-B</x:v>
      </x:c>
      <x:c r="D411" t="n">
        <x:v>6925</x:v>
      </x:c>
      <x:c r="E411" t="n">
        <x:v>4095682.08</x:v>
      </x:c>
      <x:c r="F411" t="n">
        <x:v>35.47</x:v>
      </x:c>
      <x:c r="G411" t="n">
        <x:v>0</x:v>
      </x:c>
      <x:c r="H411" t="n">
        <x:v>5.89</x:v>
      </x:c>
      <x:c r="I411" t="n">
        <x:v>1.16</x:v>
      </x:c>
      <x:c r="J411" t="n">
        <x:v>25882.7</x:v>
      </x:c>
      <x:c r="K411" t="n">
        <x:v>335084.51</x:v>
      </x:c>
      <x:c r="L411" t="n">
        <x:v>14769</x:v>
      </x:c>
      <x:c r="M411" t="n">
        <x:f>SUM(E411,J411:L411)</x:f>
        <x:v>4471418.29</x:v>
      </x:c>
      <x:c r="N411" t="n">
        <x:v>925</x:v>
      </x:c>
      <x:c r="O411" t="n">
        <x:f>D411*N411</x:f>
        <x:v>6405625</x:v>
      </x:c>
      <x:c r="P411" s="22" t="n">
        <x:f>IF(O411=0,0,(M411-O411)/O411)</x:f>
        <x:v>-0.3019544088203727</x:v>
      </x:c>
      <x:c r="Q411" s="20" t="n">
        <x:v>45637</x:v>
      </x:c>
    </x:row>
    <x:row r="412" ht="20" customHeight="1">
      <x:c r="A412" t="str">
        <x:v>WO00409</x:v>
      </x:c>
      <x:c r="B412" t="str">
        <x:v>LOT00409</x:v>
      </x:c>
      <x:c r="C412" t="str">
        <x:v>AUTO-KN-A</x:v>
      </x:c>
      <x:c r="D412" t="n">
        <x:v>4901</x:v>
      </x:c>
      <x:c r="E412" t="n">
        <x:v>7662294.48</x:v>
      </x:c>
      <x:c r="F412" t="n">
        <x:v>27.11</x:v>
      </x:c>
      <x:c r="G412" t="n">
        <x:v>0</x:v>
      </x:c>
      <x:c r="H412" t="n">
        <x:v>3.93</x:v>
      </x:c>
      <x:c r="I412" t="n">
        <x:v>1.18</x:v>
      </x:c>
      <x:c r="J412" t="n">
        <x:v>19507.9</x:v>
      </x:c>
      <x:c r="K412" t="n">
        <x:v>604226.11</x:v>
      </x:c>
      <x:c r="L412" t="n">
        <x:v>11284.6</x:v>
      </x:c>
      <x:c r="M412" t="n">
        <x:f>SUM(E412,J412:L412)</x:f>
        <x:v>8297313.090000001</x:v>
      </x:c>
      <x:c r="N412" t="n">
        <x:v>2210</x:v>
      </x:c>
      <x:c r="O412" t="n">
        <x:f>D412*N412</x:f>
        <x:v>10831210</x:v>
      </x:c>
      <x:c r="P412" s="22" t="n">
        <x:f>IF(O412=0,0,(M412-O412)/O412)</x:f>
        <x:v>-0.23394402933744238</x:v>
      </x:c>
      <x:c r="Q412" s="20" t="n">
        <x:v>45648</x:v>
      </x:c>
    </x:row>
    <x:row r="413" ht="20" customHeight="1">
      <x:c r="A413" t="str">
        <x:v>WO00410</x:v>
      </x:c>
      <x:c r="B413" t="str">
        <x:v>LOT00410</x:v>
      </x:c>
      <x:c r="C413" t="str">
        <x:v>AUTO-KN-A</x:v>
      </x:c>
      <x:c r="D413" t="n">
        <x:v>4948</x:v>
      </x:c>
      <x:c r="E413" t="n">
        <x:v>7190900.59</x:v>
      </x:c>
      <x:c r="F413" t="n">
        <x:v>26.03</x:v>
      </x:c>
      <x:c r="G413" t="n">
        <x:v>0</x:v>
      </x:c>
      <x:c r="H413" t="n">
        <x:v>4.42</x:v>
      </x:c>
      <x:c r="I413" t="n">
        <x:v>1.17</x:v>
      </x:c>
      <x:c r="J413" t="n">
        <x:v>19041.1</x:v>
      </x:c>
      <x:c r="K413" t="n">
        <x:v>636382.92</x:v>
      </x:c>
      <x:c r="L413" t="n">
        <x:v>10949.6</x:v>
      </x:c>
      <x:c r="M413" t="n">
        <x:f>SUM(E413,J413:L413)</x:f>
        <x:v>7857274.21</x:v>
      </x:c>
      <x:c r="N413" t="n">
        <x:v>2210</x:v>
      </x:c>
      <x:c r="O413" t="n">
        <x:f>D413*N413</x:f>
        <x:v>10935080</x:v>
      </x:c>
      <x:c r="P413" s="22" t="n">
        <x:f>IF(O413=0,0,(M413-O413)/O413)</x:f>
        <x:v>-0.2814616619174254</x:v>
      </x:c>
      <x:c r="Q413" s="20" t="n">
        <x:v>45650</x:v>
      </x:c>
    </x:row>
    <x:row r="414" ht="20" customHeight="1">
      <x:c r="A414" t="str">
        <x:v>WO00406</x:v>
      </x:c>
      <x:c r="B414" t="str">
        <x:v>LOT00406</x:v>
      </x:c>
      <x:c r="C414" t="str">
        <x:v>SEMI-WH-A</x:v>
      </x:c>
      <x:c r="D414" t="n">
        <x:v>78</x:v>
      </x:c>
      <x:c r="E414" t="n">
        <x:v>4416590.02</x:v>
      </x:c>
      <x:c r="F414" t="n">
        <x:v>2.04</x:v>
      </x:c>
      <x:c r="G414" t="n">
        <x:v>0</x:v>
      </x:c>
      <x:c r="H414" t="n">
        <x:v>0.8</x:v>
      </x:c>
      <x:c r="I414" t="n">
        <x:v>3.02</x:v>
      </x:c>
      <x:c r="J414" t="n">
        <x:v>1710</x:v>
      </x:c>
      <x:c r="K414" t="n">
        <x:v>535056.33</x:v>
      </x:c>
      <x:c r="L414" t="n">
        <x:v>1809.2</x:v>
      </x:c>
      <x:c r="M414" t="n">
        <x:f>SUM(E414,J414:L414)</x:f>
        <x:v>4955165.55</x:v>
      </x:c>
      <x:c r="N414" t="n">
        <x:v>88000</x:v>
      </x:c>
      <x:c r="O414" t="n">
        <x:f>D414*N414</x:f>
        <x:v>6864000</x:v>
      </x:c>
      <x:c r="P414" s="22" t="n">
        <x:f>IF(O414=0,0,(M414-O414)/O414)</x:f>
        <x:v>-0.27809359702797204</x:v>
      </x:c>
      <x:c r="Q414" s="20" t="n">
        <x:v>45680</x:v>
      </x:c>
    </x:row>
    <x:row r="415" ht="20" customHeight="1">
      <x:c r="A415" t="str">
        <x:v>WO00402</x:v>
      </x:c>
      <x:c r="B415" t="str">
        <x:v>LOT00402</x:v>
      </x:c>
      <x:c r="C415" t="str">
        <x:v>AUTO-FL-A</x:v>
      </x:c>
      <x:c r="D415" t="n">
        <x:v>2941</x:v>
      </x:c>
      <x:c r="E415" t="n">
        <x:v>1920219.12</x:v>
      </x:c>
      <x:c r="F415" t="n">
        <x:v>15.82</x:v>
      </x:c>
      <x:c r="G415" t="n">
        <x:v>0</x:v>
      </x:c>
      <x:c r="H415" t="n">
        <x:v>2.75</x:v>
      </x:c>
      <x:c r="I415" t="n">
        <x:v>1.17</x:v>
      </x:c>
      <x:c r="J415" t="n">
        <x:v>11603</x:v>
      </x:c>
      <x:c r="K415" t="n">
        <x:v>159075.51</x:v>
      </x:c>
      <x:c r="L415" t="n">
        <x:v>6802.6</x:v>
      </x:c>
      <x:c r="M415" t="n">
        <x:f>SUM(E415,J415:L415)</x:f>
        <x:v>2097700.23</x:v>
      </x:c>
      <x:c r="N415" t="n">
        <x:v>970</x:v>
      </x:c>
      <x:c r="O415" t="n">
        <x:f>D415*N415</x:f>
        <x:v>2852770</x:v>
      </x:c>
      <x:c r="P415" s="22" t="n">
        <x:f>IF(O415=0,0,(M415-O415)/O415)</x:f>
        <x:v>-0.26467951149233904</x:v>
      </x:c>
      <x:c r="Q415" s="20" t="n">
        <x:v>45641</x:v>
      </x:c>
    </x:row>
    <x:row r="416" ht="20" customHeight="1">
      <x:c r="A416" t="str">
        <x:v>WO00415</x:v>
      </x:c>
      <x:c r="B416" t="str">
        <x:v>LOT00415</x:v>
      </x:c>
      <x:c r="C416" t="str">
        <x:v>PM-BRG-A</x:v>
      </x:c>
      <x:c r="D416" t="n">
        <x:v>790</x:v>
      </x:c>
      <x:c r="E416" t="n">
        <x:v>2113566.14</x:v>
      </x:c>
      <x:c r="F416" t="n">
        <x:v>6.2</x:v>
      </x:c>
      <x:c r="G416" t="n">
        <x:v>0</x:v>
      </x:c>
      <x:c r="H416" t="n">
        <x:v>1.69</x:v>
      </x:c>
      <x:c r="I416" t="n">
        <x:v>1.67</x:v>
      </x:c>
      <x:c r="J416" t="n">
        <x:v>4841.2</x:v>
      </x:c>
      <x:c r="K416" t="n">
        <x:v>169653.1</x:v>
      </x:c>
      <x:c r="L416" t="n">
        <x:v>3127.4</x:v>
      </x:c>
      <x:c r="M416" t="n">
        <x:f>SUM(E416,J416:L416)</x:f>
        <x:v>2291187.8400000003</x:v>
      </x:c>
      <x:c r="N416" t="n">
        <x:v>4450</x:v>
      </x:c>
      <x:c r="O416" t="n">
        <x:f>D416*N416</x:f>
        <x:v>3515500</x:v>
      </x:c>
      <x:c r="P416" s="22" t="n">
        <x:f>IF(O416=0,0,(M416-O416)/O416)</x:f>
        <x:v>-0.34826117479732605</x:v>
      </x:c>
      <x:c r="Q416" s="20" t="n">
        <x:v>45649</x:v>
      </x:c>
    </x:row>
    <x:row r="417" ht="20" customHeight="1">
      <x:c r="A417" t="str">
        <x:v>WO00408</x:v>
      </x:c>
      <x:c r="B417" t="str">
        <x:v>LOT00408</x:v>
      </x:c>
      <x:c r="C417" t="str">
        <x:v>SEMI-CHB-B</x:v>
      </x:c>
      <x:c r="D417" t="n">
        <x:v>59</x:v>
      </x:c>
      <x:c r="E417" t="n">
        <x:v>3989569.24</x:v>
      </x:c>
      <x:c r="F417" t="n">
        <x:v>1.65</x:v>
      </x:c>
      <x:c r="G417" t="n">
        <x:v>0</x:v>
      </x:c>
      <x:c r="H417" t="n">
        <x:v>0.53</x:v>
      </x:c>
      <x:c r="I417" t="n">
        <x:v>2.84</x:v>
      </x:c>
      <x:c r="J417" t="n">
        <x:v>1326.9</x:v>
      </x:c>
      <x:c r="K417" t="n">
        <x:v>451076.38</x:v>
      </x:c>
      <x:c r="L417" t="n">
        <x:v>1563.8</x:v>
      </x:c>
      <x:c r="M417" t="n">
        <x:f>SUM(E417,J417:L417)</x:f>
        <x:v>4443536.32</x:v>
      </x:c>
      <x:c r="N417" t="n">
        <x:v>111000</x:v>
      </x:c>
      <x:c r="O417" t="n">
        <x:f>D417*N417</x:f>
        <x:v>6549000</x:v>
      </x:c>
      <x:c r="P417" s="22" t="n">
        <x:f>IF(O417=0,0,(M417-O417)/O417)</x:f>
        <x:v>-0.3214939196823942</x:v>
      </x:c>
      <x:c r="Q417" s="20" t="n">
        <x:v>45694</x:v>
      </x:c>
    </x:row>
    <x:row r="418" ht="20" customHeight="1">
      <x:c r="A418" t="str">
        <x:v>WO00431</x:v>
      </x:c>
      <x:c r="B418" t="str">
        <x:v>LOT00431</x:v>
      </x:c>
      <x:c r="C418" t="str">
        <x:v>MECH-STG-B</x:v>
      </x:c>
      <x:c r="D418" t="n">
        <x:v>20</x:v>
      </x:c>
      <x:c r="E418" t="n">
        <x:v>2075575.41</x:v>
      </x:c>
      <x:c r="F418" t="n">
        <x:v>1752.67</x:v>
      </x:c>
      <x:c r="G418" t="n">
        <x:v>4424.67</x:v>
      </x:c>
      <x:c r="H418" t="n">
        <x:v>3243.09</x:v>
      </x:c>
      <x:c r="I418" t="n">
        <x:v>3.01</x:v>
      </x:c>
      <x:c r="J418" t="n">
        <x:v>4996747.1</x:v>
      </x:c>
      <x:c r="K418" t="n">
        <x:v>165912.69</x:v>
      </x:c>
      <x:c r="L418" t="n">
        <x:v>2070746</x:v>
      </x:c>
      <x:c r="M418" t="n">
        <x:f>SUM(E418,J418:L418)</x:f>
        <x:v>9308981.2</x:v>
      </x:c>
      <x:c r="N418" t="n">
        <x:v>151000</x:v>
      </x:c>
      <x:c r="O418" t="n">
        <x:f>D418*N418</x:f>
        <x:v>3020000</x:v>
      </x:c>
      <x:c r="P418" s="22" t="n">
        <x:f>IF(O418=0,0,(M418-O418)/O418)</x:f>
        <x:v>2.0824441059602647</x:v>
      </x:c>
      <x:c r="Q418" s="20" t="n">
        <x:v>45687</x:v>
      </x:c>
    </x:row>
    <x:row r="419" ht="20" customHeight="1">
      <x:c r="A419" t="str">
        <x:v>WO00407</x:v>
      </x:c>
      <x:c r="B419" t="str">
        <x:v>LOT00407</x:v>
      </x:c>
      <x:c r="C419" t="str">
        <x:v>PM-ALB-A</x:v>
      </x:c>
      <x:c r="D419" t="n">
        <x:v>295</x:v>
      </x:c>
      <x:c r="E419" t="n">
        <x:v>1542393.02</x:v>
      </x:c>
      <x:c r="F419" t="n">
        <x:v>2.43</x:v>
      </x:c>
      <x:c r="G419" t="n">
        <x:v>0</x:v>
      </x:c>
      <x:c r="H419" t="n">
        <x:v>0.55</x:v>
      </x:c>
      <x:c r="I419" t="n">
        <x:v>1.6</x:v>
      </x:c>
      <x:c r="J419" t="n">
        <x:v>1843.5</x:v>
      </x:c>
      <x:c r="K419" t="n">
        <x:v>92724.25</x:v>
      </x:c>
      <x:c r="L419" t="n">
        <x:v>1491.4</x:v>
      </x:c>
      <x:c r="M419" t="n">
        <x:f>SUM(E419,J419:L419)</x:f>
        <x:v>1638452.17</x:v>
      </x:c>
      <x:c r="N419" t="n">
        <x:v>8100</x:v>
      </x:c>
      <x:c r="O419" t="n">
        <x:f>D419*N419</x:f>
        <x:v>2389500</x:v>
      </x:c>
      <x:c r="P419" s="22" t="n">
        <x:f>IF(O419=0,0,(M419-O419)/O419)</x:f>
        <x:v>-0.31431170956267007</x:v>
      </x:c>
      <x:c r="Q419" s="20" t="n">
        <x:v>45662</x:v>
      </x:c>
    </x:row>
    <x:row r="420" ht="20" customHeight="1">
      <x:c r="A420" t="str">
        <x:v>WO00444</x:v>
      </x:c>
      <x:c r="B420" t="str">
        <x:v>LOT00444</x:v>
      </x:c>
      <x:c r="C420" t="str">
        <x:v>MECH-STG-B</x:v>
      </x:c>
      <x:c r="D420" t="n">
        <x:v>16</x:v>
      </x:c>
      <x:c r="E420" t="n">
        <x:v>1632211.95</x:v>
      </x:c>
      <x:c r="F420" t="n">
        <x:v>1252.5</x:v>
      </x:c>
      <x:c r="G420" t="n">
        <x:v>3884.66</x:v>
      </x:c>
      <x:c r="H420" t="n">
        <x:v>3152.41</x:v>
      </x:c>
      <x:c r="I420" t="n">
        <x:v>3.39</x:v>
      </x:c>
      <x:c r="J420" t="n">
        <x:v>4347305</x:v>
      </x:c>
      <x:c r="K420" t="n">
        <x:v>136645.05</x:v>
      </x:c>
      <x:c r="L420" t="n">
        <x:v>1758284.6</x:v>
      </x:c>
      <x:c r="M420" t="n">
        <x:f>SUM(E420,J420:L420)</x:f>
        <x:v>7874446.600000001</x:v>
      </x:c>
      <x:c r="N420" t="n">
        <x:v>151000</x:v>
      </x:c>
      <x:c r="O420" t="n">
        <x:f>D420*N420</x:f>
        <x:v>2416000</x:v>
      </x:c>
      <x:c r="P420" s="22" t="n">
        <x:f>IF(O420=0,0,(M420-O420)/O420)</x:f>
        <x:v>2.2592908112582784</x:v>
      </x:c>
      <x:c r="Q420" s="20" t="n">
        <x:v>45687</x:v>
      </x:c>
    </x:row>
    <x:row r="421" ht="20" customHeight="1">
      <x:c r="A421" t="str">
        <x:v>WO00442</x:v>
      </x:c>
      <x:c r="B421" t="str">
        <x:v>LOT00442</x:v>
      </x:c>
      <x:c r="C421" t="str">
        <x:v>MECH-STG-B</x:v>
      </x:c>
      <x:c r="D421" t="n">
        <x:v>17</x:v>
      </x:c>
      <x:c r="E421" t="n">
        <x:v>1761833.74</x:v>
      </x:c>
      <x:c r="F421" t="n">
        <x:v>1178.82</x:v>
      </x:c>
      <x:c r="G421" t="n">
        <x:v>4664.55</x:v>
      </x:c>
      <x:c r="H421" t="n">
        <x:v>2709.96</x:v>
      </x:c>
      <x:c r="I421" t="n">
        <x:v>3.11</x:v>
      </x:c>
      <x:c r="J421" t="n">
        <x:v>4492579.8</x:v>
      </x:c>
      <x:c r="K421" t="n">
        <x:v>145612.74</x:v>
      </x:c>
      <x:c r="L421" t="n">
        <x:v>1815388.2</x:v>
      </x:c>
      <x:c r="M421" t="n">
        <x:f>SUM(E421,J421:L421)</x:f>
        <x:v>8215414.48</x:v>
      </x:c>
      <x:c r="N421" t="n">
        <x:v>151000</x:v>
      </x:c>
      <x:c r="O421" t="n">
        <x:f>D421*N421</x:f>
        <x:v>2567000</x:v>
      </x:c>
      <x:c r="P421" s="22" t="n">
        <x:f>IF(O421=0,0,(M421-O421)/O421)</x:f>
        <x:v>2.2003952006232956</x:v>
      </x:c>
      <x:c r="Q421" s="20" t="n">
        <x:v>45690</x:v>
      </x:c>
    </x:row>
    <x:row r="422" ht="20" customHeight="1">
      <x:c r="A422" t="str">
        <x:v>WO00443</x:v>
      </x:c>
      <x:c r="B422" t="str">
        <x:v>LOT00443</x:v>
      </x:c>
      <x:c r="C422" t="str">
        <x:v>MECH-STG-B</x:v>
      </x:c>
      <x:c r="D422" t="n">
        <x:v>17</x:v>
      </x:c>
      <x:c r="E422" t="n">
        <x:v>1682586.88</x:v>
      </x:c>
      <x:c r="F422" t="n">
        <x:v>1275.44</x:v>
      </x:c>
      <x:c r="G422" t="n">
        <x:v>4063.26</x:v>
      </x:c>
      <x:c r="H422" t="n">
        <x:v>3030.78</x:v>
      </x:c>
      <x:c r="I422" t="n">
        <x:v>3.03</x:v>
      </x:c>
      <x:c r="J422" t="n">
        <x:v>4396705.6</x:v>
      </x:c>
      <x:c r="K422" t="n">
        <x:v>149239.51</x:v>
      </x:c>
      <x:c r="L422" t="n">
        <x:v>1783153</x:v>
      </x:c>
      <x:c r="M422" t="n">
        <x:f>SUM(E422,J422:L422)</x:f>
        <x:v>8011684.989999999</x:v>
      </x:c>
      <x:c r="N422" t="n">
        <x:v>151000</x:v>
      </x:c>
      <x:c r="O422" t="n">
        <x:f>D422*N422</x:f>
        <x:v>2567000</x:v>
      </x:c>
      <x:c r="P422" s="22" t="n">
        <x:f>IF(O422=0,0,(M422-O422)/O422)</x:f>
        <x:v>2.1210303817686014</x:v>
      </x:c>
      <x:c r="Q422" s="20" t="n">
        <x:v>45687</x:v>
      </x:c>
    </x:row>
    <x:row r="423" ht="20" customHeight="1">
      <x:c r="A423" t="str">
        <x:v>WO00445</x:v>
      </x:c>
      <x:c r="B423" t="str">
        <x:v>LOT00445</x:v>
      </x:c>
      <x:c r="C423" t="str">
        <x:v>AUTO-BRK-B</x:v>
      </x:c>
      <x:c r="D423" t="n">
        <x:v>4900</x:v>
      </x:c>
      <x:c r="E423" t="n">
        <x:v>5788592</x:v>
      </x:c>
      <x:c r="F423" t="n">
        <x:v>26.41</x:v>
      </x:c>
      <x:c r="G423" t="n">
        <x:v>0</x:v>
      </x:c>
      <x:c r="H423" t="n">
        <x:v>3.79</x:v>
      </x:c>
      <x:c r="I423" t="n">
        <x:v>1.23</x:v>
      </x:c>
      <x:c r="J423" t="n">
        <x:v>18985.7</x:v>
      </x:c>
      <x:c r="K423" t="n">
        <x:v>499186.97</x:v>
      </x:c>
      <x:c r="L423" t="n">
        <x:v>11011.2</x:v>
      </x:c>
      <x:c r="M423" t="n">
        <x:f>SUM(E423,J423:L423)</x:f>
        <x:v>6317775.87</x:v>
      </x:c>
      <x:c r="N423" t="n">
        <x:v>1660</x:v>
      </x:c>
      <x:c r="O423" t="n">
        <x:f>D423*N423</x:f>
        <x:v>8134000</x:v>
      </x:c>
      <x:c r="P423" s="22" t="n">
        <x:f>IF(O423=0,0,(M423-O423)/O423)</x:f>
        <x:v>-0.22328794320137693</x:v>
      </x:c>
      <x:c r="Q423" s="20" t="n">
        <x:v>45661</x:v>
      </x:c>
    </x:row>
    <x:row r="424" ht="20" customHeight="1">
      <x:c r="A424" t="str">
        <x:v>WO00434</x:v>
      </x:c>
      <x:c r="B424" t="str">
        <x:v>LOT00434</x:v>
      </x:c>
      <x:c r="C424" t="str">
        <x:v>PM-VAC-B</x:v>
      </x:c>
      <x:c r="D424" t="n">
        <x:v>778</x:v>
      </x:c>
      <x:c r="E424" t="n">
        <x:v>8020801.23</x:v>
      </x:c>
      <x:c r="F424" t="n">
        <x:v>6.81</x:v>
      </x:c>
      <x:c r="G424" t="n">
        <x:v>0</x:v>
      </x:c>
      <x:c r="H424" t="n">
        <x:v>1.37</x:v>
      </x:c>
      <x:c r="I424" t="n">
        <x:v>1.84</x:v>
      </x:c>
      <x:c r="J424" t="n">
        <x:v>5084.1</x:v>
      </x:c>
      <x:c r="K424" t="n">
        <x:v>963895.28</x:v>
      </x:c>
      <x:c r="L424" t="n">
        <x:v>3359</x:v>
      </x:c>
      <x:c r="M424" t="n">
        <x:f>SUM(E424,J424:L424)</x:f>
        <x:v>8993139.610000001</x:v>
      </x:c>
      <x:c r="N424" t="n">
        <x:v>15500</x:v>
      </x:c>
      <x:c r="O424" t="n">
        <x:f>D424*N424</x:f>
        <x:v>12059000</x:v>
      </x:c>
      <x:c r="P424" s="22" t="n">
        <x:f>IF(O424=0,0,(M424-O424)/O424)</x:f>
        <x:v>-0.2542383605605771</x:v>
      </x:c>
      <x:c r="Q424" s="20" t="n">
        <x:v>45679</x:v>
      </x:c>
    </x:row>
    <x:row r="425" ht="20" customHeight="1">
      <x:c r="A425" t="str">
        <x:v>WO00435</x:v>
      </x:c>
      <x:c r="B425" t="str">
        <x:v>LOT00435</x:v>
      </x:c>
      <x:c r="C425" t="str">
        <x:v>PM-VAC-B</x:v>
      </x:c>
      <x:c r="D425" t="n">
        <x:v>792</x:v>
      </x:c>
      <x:c r="E425" t="n">
        <x:v>7975620.24</x:v>
      </x:c>
      <x:c r="F425" t="n">
        <x:v>6.68</x:v>
      </x:c>
      <x:c r="G425" t="n">
        <x:v>0</x:v>
      </x:c>
      <x:c r="H425" t="n">
        <x:v>1.5</x:v>
      </x:c>
      <x:c r="I425" t="n">
        <x:v>1.53</x:v>
      </x:c>
      <x:c r="J425" t="n">
        <x:v>5062</x:v>
      </x:c>
      <x:c r="K425" t="n">
        <x:v>838577.92</x:v>
      </x:c>
      <x:c r="L425" t="n">
        <x:v>3237.4</x:v>
      </x:c>
      <x:c r="M425" t="n">
        <x:f>SUM(E425,J425:L425)</x:f>
        <x:v>8822497.56</x:v>
      </x:c>
      <x:c r="N425" t="n">
        <x:v>15500</x:v>
      </x:c>
      <x:c r="O425" t="n">
        <x:f>D425*N425</x:f>
        <x:v>12276000</x:v>
      </x:c>
      <x:c r="P425" s="22" t="n">
        <x:f>IF(O425=0,0,(M425-O425)/O425)</x:f>
        <x:v>-0.28132147605083085</x:v>
      </x:c>
      <x:c r="Q425" s="20" t="n">
        <x:v>45676</x:v>
      </x:c>
    </x:row>
    <x:row r="426" ht="20" customHeight="1">
      <x:c r="A426" t="str">
        <x:v>WO00429</x:v>
      </x:c>
      <x:c r="B426" t="str">
        <x:v>LOT00429</x:v>
      </x:c>
      <x:c r="C426" t="str">
        <x:v>AUTO-MH-B</x:v>
      </x:c>
      <x:c r="D426" t="n">
        <x:v>6399</x:v>
      </x:c>
      <x:c r="E426" t="n">
        <x:v>10493908.86</x:v>
      </x:c>
      <x:c r="F426" t="n">
        <x:v>32.38</x:v>
      </x:c>
      <x:c r="G426" t="n">
        <x:v>0</x:v>
      </x:c>
      <x:c r="H426" t="n">
        <x:v>5.04</x:v>
      </x:c>
      <x:c r="I426" t="n">
        <x:v>1.26</x:v>
      </x:c>
      <x:c r="J426" t="n">
        <x:v>23466.2</x:v>
      </x:c>
      <x:c r="K426" t="n">
        <x:v>533716.77</x:v>
      </x:c>
      <x:c r="L426" t="n">
        <x:v>13488.8</x:v>
      </x:c>
      <x:c r="M426" t="n">
        <x:f>SUM(E426,J426:L426)</x:f>
        <x:v>11064580.629999999</x:v>
      </x:c>
      <x:c r="N426" t="n">
        <x:v>2320</x:v>
      </x:c>
      <x:c r="O426" t="n">
        <x:f>D426*N426</x:f>
        <x:v>14845680</x:v>
      </x:c>
      <x:c r="P426" s="22" t="n">
        <x:f>IF(O426=0,0,(M426-O426)/O426)</x:f>
        <x:v>-0.25469357887277655</x:v>
      </x:c>
      <x:c r="Q426" s="20" t="n">
        <x:v>45668</x:v>
      </x:c>
    </x:row>
    <x:row r="427" ht="20" customHeight="1">
      <x:c r="A427" t="str">
        <x:v>WO00428</x:v>
      </x:c>
      <x:c r="B427" t="str">
        <x:v>LOT00428</x:v>
      </x:c>
      <x:c r="C427" t="str">
        <x:v>AUTO-MH-B</x:v>
      </x:c>
      <x:c r="D427" t="n">
        <x:v>6391</x:v>
      </x:c>
      <x:c r="E427" t="n">
        <x:v>10851446.35</x:v>
      </x:c>
      <x:c r="F427" t="n">
        <x:v>29.21</x:v>
      </x:c>
      <x:c r="G427" t="n">
        <x:v>0</x:v>
      </x:c>
      <x:c r="H427" t="n">
        <x:v>5.45</x:v>
      </x:c>
      <x:c r="I427" t="n">
        <x:v>1.22</x:v>
      </x:c>
      <x:c r="J427" t="n">
        <x:v>21602.5</x:v>
      </x:c>
      <x:c r="K427" t="n">
        <x:v>621641.39</x:v>
      </x:c>
      <x:c r="L427" t="n">
        <x:v>12337.8</x:v>
      </x:c>
      <x:c r="M427" t="n">
        <x:f>SUM(E427,J427:L427)</x:f>
        <x:v>11507028.04</x:v>
      </x:c>
      <x:c r="N427" t="n">
        <x:v>2320</x:v>
      </x:c>
      <x:c r="O427" t="n">
        <x:f>D427*N427</x:f>
        <x:v>14827120</x:v>
      </x:c>
      <x:c r="P427" s="22" t="n">
        <x:f>IF(O427=0,0,(M427-O427)/O427)</x:f>
        <x:v>-0.2239202191659608</x:v>
      </x:c>
      <x:c r="Q427" s="20" t="n">
        <x:v>45669</x:v>
      </x:c>
    </x:row>
    <x:row r="428" ht="20" customHeight="1">
      <x:c r="A428" t="str">
        <x:v>WO00441</x:v>
      </x:c>
      <x:c r="B428" t="str">
        <x:v>LOT00441</x:v>
      </x:c>
      <x:c r="C428" t="str">
        <x:v>AUTO-KN-A</x:v>
      </x:c>
      <x:c r="D428" t="n">
        <x:v>2973</x:v>
      </x:c>
      <x:c r="E428" t="n">
        <x:v>4464573.33</x:v>
      </x:c>
      <x:c r="F428" t="n">
        <x:v>16.18</x:v>
      </x:c>
      <x:c r="G428" t="n">
        <x:v>0</x:v>
      </x:c>
      <x:c r="H428" t="n">
        <x:v>2.31</x:v>
      </x:c>
      <x:c r="I428" t="n">
        <x:v>1.09</x:v>
      </x:c>
      <x:c r="J428" t="n">
        <x:v>11625.8</x:v>
      </x:c>
      <x:c r="K428" t="n">
        <x:v>371953.13</x:v>
      </x:c>
      <x:c r="L428" t="n">
        <x:v>6845</x:v>
      </x:c>
      <x:c r="M428" t="n">
        <x:f>SUM(E428,J428:L428)</x:f>
        <x:v>4854997.26</x:v>
      </x:c>
      <x:c r="N428" t="n">
        <x:v>2210</x:v>
      </x:c>
      <x:c r="O428" t="n">
        <x:f>D428*N428</x:f>
        <x:v>6570330</x:v>
      </x:c>
      <x:c r="P428" s="22" t="n">
        <x:f>IF(O428=0,0,(M428-O428)/O428)</x:f>
        <x:v>-0.2610725397354471</x:v>
      </x:c>
      <x:c r="Q428" s="20" t="n">
        <x:v>45673</x:v>
      </x:c>
    </x:row>
    <x:row r="429" ht="20" customHeight="1">
      <x:c r="A429" t="str">
        <x:v>WO00437</x:v>
      </x:c>
      <x:c r="B429" t="str">
        <x:v>LOT00437</x:v>
      </x:c>
      <x:c r="C429" t="str">
        <x:v>AUTO-MH-A</x:v>
      </x:c>
      <x:c r="D429" t="n">
        <x:v>6469</x:v>
      </x:c>
      <x:c r="E429" t="n">
        <x:v>8875940.29</x:v>
      </x:c>
      <x:c r="F429" t="n">
        <x:v>34.04</x:v>
      </x:c>
      <x:c r="G429" t="n">
        <x:v>0</x:v>
      </x:c>
      <x:c r="H429" t="n">
        <x:v>5.33</x:v>
      </x:c>
      <x:c r="I429" t="n">
        <x:v>1.27</x:v>
      </x:c>
      <x:c r="J429" t="n">
        <x:v>24684.4</x:v>
      </x:c>
      <x:c r="K429" t="n">
        <x:v>492093.62</x:v>
      </x:c>
      <x:c r="L429" t="n">
        <x:v>14169</x:v>
      </x:c>
      <x:c r="M429" t="n">
        <x:f>SUM(E429,J429:L429)</x:f>
        <x:v>9406887.309999999</x:v>
      </x:c>
      <x:c r="N429" t="n">
        <x:v>1970</x:v>
      </x:c>
      <x:c r="O429" t="n">
        <x:f>D429*N429</x:f>
        <x:v>12743930</x:v>
      </x:c>
      <x:c r="P429" s="22" t="n">
        <x:f>IF(O429=0,0,(M429-O429)/O429)</x:f>
        <x:v>-0.2618535012354903</x:v>
      </x:c>
      <x:c r="Q429" s="20" t="n">
        <x:v>45670</x:v>
      </x:c>
    </x:row>
    <x:row r="430" ht="20" customHeight="1">
      <x:c r="A430" t="str">
        <x:v>WO00424</x:v>
      </x:c>
      <x:c r="B430" t="str">
        <x:v>LOT00424</x:v>
      </x:c>
      <x:c r="C430" t="str">
        <x:v>AUTO-MH-A</x:v>
      </x:c>
      <x:c r="D430" t="n">
        <x:v>4945</x:v>
      </x:c>
      <x:c r="E430" t="n">
        <x:v>6529960.62</x:v>
      </x:c>
      <x:c r="F430" t="n">
        <x:v>23.77</x:v>
      </x:c>
      <x:c r="G430" t="n">
        <x:v>0</x:v>
      </x:c>
      <x:c r="H430" t="n">
        <x:v>4.58</x:v>
      </x:c>
      <x:c r="I430" t="n">
        <x:v>1.35</x:v>
      </x:c>
      <x:c r="J430" t="n">
        <x:v>17648.9</x:v>
      </x:c>
      <x:c r="K430" t="n">
        <x:v>368046.53</x:v>
      </x:c>
      <x:c r="L430" t="n">
        <x:v>10170.4</x:v>
      </x:c>
      <x:c r="M430" t="n">
        <x:f>SUM(E430,J430:L430)</x:f>
        <x:v>6925826.45</x:v>
      </x:c>
      <x:c r="N430" t="n">
        <x:v>1970</x:v>
      </x:c>
      <x:c r="O430" t="n">
        <x:f>D430*N430</x:f>
        <x:v>9741650</x:v>
      </x:c>
      <x:c r="P430" s="22" t="n">
        <x:f>IF(O430=0,0,(M430-O430)/O430)</x:f>
        <x:v>-0.2890499607356043</x:v>
      </x:c>
      <x:c r="Q430" s="20" t="n">
        <x:v>45671</x:v>
      </x:c>
    </x:row>
    <x:row r="431" ht="20" customHeight="1">
      <x:c r="A431" t="str">
        <x:v>WO00425</x:v>
      </x:c>
      <x:c r="B431" t="str">
        <x:v>LOT00425</x:v>
      </x:c>
      <x:c r="C431" t="str">
        <x:v>AUTO-MH-A</x:v>
      </x:c>
      <x:c r="D431" t="n">
        <x:v>4950</x:v>
      </x:c>
      <x:c r="E431" t="n">
        <x:v>7209747.93</x:v>
      </x:c>
      <x:c r="F431" t="n">
        <x:v>23.11</x:v>
      </x:c>
      <x:c r="G431" t="n">
        <x:v>0</x:v>
      </x:c>
      <x:c r="H431" t="n">
        <x:v>4.7</x:v>
      </x:c>
      <x:c r="I431" t="n">
        <x:v>1.26</x:v>
      </x:c>
      <x:c r="J431" t="n">
        <x:v>17277.5</x:v>
      </x:c>
      <x:c r="K431" t="n">
        <x:v>394237.06</x:v>
      </x:c>
      <x:c r="L431" t="n">
        <x:v>9911.8</x:v>
      </x:c>
      <x:c r="M431" t="n">
        <x:f>SUM(E431,J431:L431)</x:f>
        <x:v>7631174.29</x:v>
      </x:c>
      <x:c r="N431" t="n">
        <x:v>1970</x:v>
      </x:c>
      <x:c r="O431" t="n">
        <x:f>D431*N431</x:f>
        <x:v>9751500</x:v>
      </x:c>
      <x:c r="P431" s="22" t="n">
        <x:f>IF(O431=0,0,(M431-O431)/O431)</x:f>
        <x:v>-0.2174358519202174</x:v>
      </x:c>
      <x:c r="Q431" s="20" t="n">
        <x:v>45671</x:v>
      </x:c>
    </x:row>
    <x:row r="432" ht="20" customHeight="1">
      <x:c r="A432" t="str">
        <x:v>WO00436</x:v>
      </x:c>
      <x:c r="B432" t="str">
        <x:v>LOT00436</x:v>
      </x:c>
      <x:c r="C432" t="str">
        <x:v>AUTO-MH-A</x:v>
      </x:c>
      <x:c r="D432" t="n">
        <x:v>6416</x:v>
      </x:c>
      <x:c r="E432" t="n">
        <x:v>8502522.12</x:v>
      </x:c>
      <x:c r="F432" t="n">
        <x:v>31.69</x:v>
      </x:c>
      <x:c r="G432" t="n">
        <x:v>0</x:v>
      </x:c>
      <x:c r="H432" t="n">
        <x:v>5.28</x:v>
      </x:c>
      <x:c r="I432" t="n">
        <x:v>1.17</x:v>
      </x:c>
      <x:c r="J432" t="n">
        <x:v>23132.9</x:v>
      </x:c>
      <x:c r="K432" t="n">
        <x:v>576001.46</x:v>
      </x:c>
      <x:c r="L432" t="n">
        <x:v>13238</x:v>
      </x:c>
      <x:c r="M432" t="n">
        <x:f>SUM(E432,J432:L432)</x:f>
        <x:v>9114894.479999999</x:v>
      </x:c>
      <x:c r="N432" t="n">
        <x:v>1970</x:v>
      </x:c>
      <x:c r="O432" t="n">
        <x:f>D432*N432</x:f>
        <x:v>12639520</x:v>
      </x:c>
      <x:c r="P432" s="22" t="n">
        <x:f>IF(O432=0,0,(M432-O432)/O432)</x:f>
        <x:v>-0.2788575452232364</x:v>
      </x:c>
      <x:c r="Q432" s="20" t="n">
        <x:v>45668</x:v>
      </x:c>
    </x:row>
    <x:row r="433" ht="20" customHeight="1">
      <x:c r="A433" t="str">
        <x:v>WO00418</x:v>
      </x:c>
      <x:c r="B433" t="str">
        <x:v>LOT00418</x:v>
      </x:c>
      <x:c r="C433" t="str">
        <x:v>MECH-STG-B</x:v>
      </x:c>
      <x:c r="D433" t="n">
        <x:v>10</x:v>
      </x:c>
      <x:c r="E433" t="n">
        <x:v>966302.34</x:v>
      </x:c>
      <x:c r="F433" t="n">
        <x:v>684.1</x:v>
      </x:c>
      <x:c r="G433" t="n">
        <x:v>2601.49</x:v>
      </x:c>
      <x:c r="H433" t="n">
        <x:v>1756.9</x:v>
      </x:c>
      <x:c r="I433" t="n">
        <x:v>2.94</x:v>
      </x:c>
      <x:c r="J433" t="n">
        <x:v>2640751.8</x:v>
      </x:c>
      <x:c r="K433" t="n">
        <x:v>100378.14</x:v>
      </x:c>
      <x:c r="L433" t="n">
        <x:v>1062242</x:v>
      </x:c>
      <x:c r="M433" t="n">
        <x:f>SUM(E433,J433:L433)</x:f>
        <x:v>4769674.28</x:v>
      </x:c>
      <x:c r="N433" t="n">
        <x:v>151000</x:v>
      </x:c>
      <x:c r="O433" t="n">
        <x:f>D433*N433</x:f>
        <x:v>1510000</x:v>
      </x:c>
      <x:c r="P433" s="22" t="n">
        <x:f>IF(O433=0,0,(M433-O433)/O433)</x:f>
        <x:v>2.158724688741722</x:v>
      </x:c>
      <x:c r="Q433" s="20" t="n">
        <x:v>45703</x:v>
      </x:c>
    </x:row>
    <x:row r="434" ht="20" customHeight="1">
      <x:c r="A434" t="str">
        <x:v>WO00419</x:v>
      </x:c>
      <x:c r="B434" t="str">
        <x:v>LOT00419</x:v>
      </x:c>
      <x:c r="C434" t="str">
        <x:v>PM-SUS-A</x:v>
      </x:c>
      <x:c r="D434" t="n">
        <x:v>788</x:v>
      </x:c>
      <x:c r="E434" t="n">
        <x:v>3371529.01</x:v>
      </x:c>
      <x:c r="F434" t="n">
        <x:v>7.55</x:v>
      </x:c>
      <x:c r="G434" t="n">
        <x:v>0</x:v>
      </x:c>
      <x:c r="H434" t="n">
        <x:v>1.37</x:v>
      </x:c>
      <x:c r="I434" t="n">
        <x:v>1.49</x:v>
      </x:c>
      <x:c r="J434" t="n">
        <x:v>5565.1</x:v>
      </x:c>
      <x:c r="K434" t="n">
        <x:v>381835.43</x:v>
      </x:c>
      <x:c r="L434" t="n">
        <x:v>3535.2</x:v>
      </x:c>
      <x:c r="M434" t="n">
        <x:f>SUM(E434,J434:L434)</x:f>
        <x:v>3762464.7399999998</x:v>
      </x:c>
      <x:c r="N434" t="n">
        <x:v>7500</x:v>
      </x:c>
      <x:c r="O434" t="n">
        <x:f>D434*N434</x:f>
        <x:v>5910000</x:v>
      </x:c>
      <x:c r="P434" s="22" t="n">
        <x:f>IF(O434=0,0,(M434-O434)/O434)</x:f>
        <x:v>-0.36337314043993235</x:v>
      </x:c>
      <x:c r="Q434" s="20" t="n">
        <x:v>45675</x:v>
      </x:c>
    </x:row>
    <x:row r="435" ht="20" customHeight="1">
      <x:c r="A435" t="str">
        <x:v>WO00420</x:v>
      </x:c>
      <x:c r="B435" t="str">
        <x:v>LOT00420</x:v>
      </x:c>
      <x:c r="C435" t="str">
        <x:v>PM-SUS-A</x:v>
      </x:c>
      <x:c r="D435" t="n">
        <x:v>777</x:v>
      </x:c>
      <x:c r="E435" t="n">
        <x:v>3540212.92</x:v>
      </x:c>
      <x:c r="F435" t="n">
        <x:v>7.69</x:v>
      </x:c>
      <x:c r="G435" t="n">
        <x:v>0</x:v>
      </x:c>
      <x:c r="H435" t="n">
        <x:v>1.53</x:v>
      </x:c>
      <x:c r="I435" t="n">
        <x:v>1.71</x:v>
      </x:c>
      <x:c r="J435" t="n">
        <x:v>5732.9</x:v>
      </x:c>
      <x:c r="K435" t="n">
        <x:v>364223.21</x:v>
      </x:c>
      <x:c r="L435" t="n">
        <x:v>3680</x:v>
      </x:c>
      <x:c r="M435" t="n">
        <x:f>SUM(E435,J435:L435)</x:f>
        <x:v>3913849.03</x:v>
      </x:c>
      <x:c r="N435" t="n">
        <x:v>7500</x:v>
      </x:c>
      <x:c r="O435" t="n">
        <x:f>D435*N435</x:f>
        <x:v>5827500</x:v>
      </x:c>
      <x:c r="P435" s="22" t="n">
        <x:f>IF(O435=0,0,(M435-O435)/O435)</x:f>
        <x:v>-0.3283828348348349</x:v>
      </x:c>
      <x:c r="Q435" s="20" t="n">
        <x:v>45676</x:v>
      </x:c>
    </x:row>
    <x:row r="436" ht="20" customHeight="1">
      <x:c r="A436" t="str">
        <x:v>WO00423</x:v>
      </x:c>
      <x:c r="B436" t="str">
        <x:v>LOT00423</x:v>
      </x:c>
      <x:c r="C436" t="str">
        <x:v>AUTO-FL-A</x:v>
      </x:c>
      <x:c r="D436" t="n">
        <x:v>4961</x:v>
      </x:c>
      <x:c r="E436" t="n">
        <x:v>3219893.03</x:v>
      </x:c>
      <x:c r="F436" t="n">
        <x:v>23.69</x:v>
      </x:c>
      <x:c r="G436" t="n">
        <x:v>0</x:v>
      </x:c>
      <x:c r="H436" t="n">
        <x:v>4.58</x:v>
      </x:c>
      <x:c r="I436" t="n">
        <x:v>1.25</x:v>
      </x:c>
      <x:c r="J436" t="n">
        <x:v>17596.9</x:v>
      </x:c>
      <x:c r="K436" t="n">
        <x:v>253150.05</x:v>
      </x:c>
      <x:c r="L436" t="n">
        <x:v>10110</x:v>
      </x:c>
      <x:c r="M436" t="n">
        <x:f>SUM(E436,J436:L436)</x:f>
        <x:v>3500749.98</x:v>
      </x:c>
      <x:c r="N436" t="n">
        <x:v>970</x:v>
      </x:c>
      <x:c r="O436" t="n">
        <x:f>D436*N436</x:f>
        <x:v>4812170</x:v>
      </x:c>
      <x:c r="P436" s="22" t="n">
        <x:f>IF(O436=0,0,(M436-O436)/O436)</x:f>
        <x:v>-0.2725215484905978</x:v>
      </x:c>
      <x:c r="Q436" s="20" t="n">
        <x:v>45666</x:v>
      </x:c>
    </x:row>
    <x:row r="437" ht="20" customHeight="1">
      <x:c r="A437" t="str">
        <x:v>WO00432</x:v>
      </x:c>
      <x:c r="B437" t="str">
        <x:v>LOT00432</x:v>
      </x:c>
      <x:c r="C437" t="str">
        <x:v>MECH-STG-A</x:v>
      </x:c>
      <x:c r="D437" t="n">
        <x:v>15</x:v>
      </x:c>
      <x:c r="E437" t="n">
        <x:v>1033281.5</x:v>
      </x:c>
      <x:c r="F437" t="n">
        <x:v>1161.78</x:v>
      </x:c>
      <x:c r="G437" t="n">
        <x:v>3749.16</x:v>
      </x:c>
      <x:c r="H437" t="n">
        <x:v>2477.07</x:v>
      </x:c>
      <x:c r="I437" t="n">
        <x:v>3.04</x:v>
      </x:c>
      <x:c r="J437" t="n">
        <x:v>3893713.8</x:v>
      </x:c>
      <x:c r="K437" t="n">
        <x:v>98564.51</x:v>
      </x:c>
      <x:c r="L437" t="n">
        <x:v>1588551.6</x:v>
      </x:c>
      <x:c r="M437" t="n">
        <x:f>SUM(E437,J437:L437)</x:f>
        <x:v>6614111.41</x:v>
      </x:c>
      <x:c r="N437" t="n">
        <x:v>104000</x:v>
      </x:c>
      <x:c r="O437" t="n">
        <x:f>D437*N437</x:f>
        <x:v>1560000</x:v>
      </x:c>
      <x:c r="P437" s="22" t="n">
        <x:f>IF(O437=0,0,(M437-O437)/O437)</x:f>
        <x:v>3.2398150064102564</x:v>
      </x:c>
      <x:c r="Q437" s="20" t="n">
        <x:v>45691</x:v>
      </x:c>
    </x:row>
    <x:row r="438" ht="20" customHeight="1">
      <x:c r="A438" t="str">
        <x:v>WO00433</x:v>
      </x:c>
      <x:c r="B438" t="str">
        <x:v>LOT00433</x:v>
      </x:c>
      <x:c r="C438" t="str">
        <x:v>MECH-STG-A</x:v>
      </x:c>
      <x:c r="D438" t="n">
        <x:v>15</x:v>
      </x:c>
      <x:c r="E438" t="n">
        <x:v>1044316.23</x:v>
      </x:c>
      <x:c r="F438" t="n">
        <x:v>1093.71</x:v>
      </x:c>
      <x:c r="G438" t="n">
        <x:v>3966.62</x:v>
      </x:c>
      <x:c r="H438" t="n">
        <x:v>2870.17</x:v>
      </x:c>
      <x:c r="I438" t="n">
        <x:v>3.21</x:v>
      </x:c>
      <x:c r="J438" t="n">
        <x:v>4151235.5</x:v>
      </x:c>
      <x:c r="K438" t="n">
        <x:v>85929.72</x:v>
      </x:c>
      <x:c r="L438" t="n">
        <x:v>1669124</x:v>
      </x:c>
      <x:c r="M438" t="n">
        <x:f>SUM(E438,J438:L438)</x:f>
        <x:v>6950605.449999999</x:v>
      </x:c>
      <x:c r="N438" t="n">
        <x:v>104000</x:v>
      </x:c>
      <x:c r="O438" t="n">
        <x:f>D438*N438</x:f>
        <x:v>1560000</x:v>
      </x:c>
      <x:c r="P438" s="22" t="n">
        <x:f>IF(O438=0,0,(M438-O438)/O438)</x:f>
        <x:v>3.4555163141025638</x:v>
      </x:c>
      <x:c r="Q438" s="20" t="n">
        <x:v>45701</x:v>
      </x:c>
    </x:row>
    <x:row r="439" ht="20" customHeight="1">
      <x:c r="A439" t="str">
        <x:v>WO00426</x:v>
      </x:c>
      <x:c r="B439" t="str">
        <x:v>LOT00426</x:v>
      </x:c>
      <x:c r="C439" t="str">
        <x:v>SEMI-WH-A</x:v>
      </x:c>
      <x:c r="D439" t="n">
        <x:v>79</x:v>
      </x:c>
      <x:c r="E439" t="n">
        <x:v>4059474.3</x:v>
      </x:c>
      <x:c r="F439" t="n">
        <x:v>2.24</x:v>
      </x:c>
      <x:c r="G439" t="n">
        <x:v>0</x:v>
      </x:c>
      <x:c r="H439" t="n">
        <x:v>0.75</x:v>
      </x:c>
      <x:c r="I439" t="n">
        <x:v>2.7</x:v>
      </x:c>
      <x:c r="J439" t="n">
        <x:v>1816</x:v>
      </x:c>
      <x:c r="K439" t="n">
        <x:v>620109.01</x:v>
      </x:c>
      <x:c r="L439" t="n">
        <x:v>1781.2</x:v>
      </x:c>
      <x:c r="M439" t="n">
        <x:f>SUM(E439,J439:L439)</x:f>
        <x:v>4683180.51</x:v>
      </x:c>
      <x:c r="N439" t="n">
        <x:v>88000</x:v>
      </x:c>
      <x:c r="O439" t="n">
        <x:f>D439*N439</x:f>
        <x:v>6952000</x:v>
      </x:c>
      <x:c r="P439" s="22" t="n">
        <x:f>IF(O439=0,0,(M439-O439)/O439)</x:f>
        <x:v>-0.32635493239355584</x:v>
      </x:c>
      <x:c r="Q439" s="20" t="n">
        <x:v>45703</x:v>
      </x:c>
    </x:row>
    <x:row r="440" ht="20" customHeight="1">
      <x:c r="A440" t="str">
        <x:v>WO00438</x:v>
      </x:c>
      <x:c r="B440" t="str">
        <x:v>LOT00438</x:v>
      </x:c>
      <x:c r="C440" t="str">
        <x:v>AUTO-LG-B</x:v>
      </x:c>
      <x:c r="D440" t="n">
        <x:v>2943</x:v>
      </x:c>
      <x:c r="E440" t="n">
        <x:v>1805971.31</x:v>
      </x:c>
      <x:c r="F440" t="n">
        <x:v>16.8</x:v>
      </x:c>
      <x:c r="G440" t="n">
        <x:v>0</x:v>
      </x:c>
      <x:c r="H440" t="n">
        <x:v>2.64</x:v>
      </x:c>
      <x:c r="I440" t="n">
        <x:v>0.98</x:v>
      </x:c>
      <x:c r="J440" t="n">
        <x:v>12187.2</x:v>
      </x:c>
      <x:c r="K440" t="n">
        <x:v>129415.99</x:v>
      </x:c>
      <x:c r="L440" t="n">
        <x:v>7100.4</x:v>
      </x:c>
      <x:c r="M440" t="n">
        <x:f>SUM(E440,J440:L440)</x:f>
        <x:v>1954674.9000000001</x:v>
      </x:c>
      <x:c r="N440" t="n">
        <x:v>925</x:v>
      </x:c>
      <x:c r="O440" t="n">
        <x:f>D440*N440</x:f>
        <x:v>2722275</x:v>
      </x:c>
      <x:c r="P440" s="22" t="n">
        <x:f>IF(O440=0,0,(M440-O440)/O440)</x:f>
        <x:v>-0.281970080171915</x:v>
      </x:c>
      <x:c r="Q440" s="20" t="n">
        <x:v>45671</x:v>
      </x:c>
    </x:row>
    <x:row r="441" ht="20" customHeight="1">
      <x:c r="A441" t="str">
        <x:v>WO00427</x:v>
      </x:c>
      <x:c r="B441" t="str">
        <x:v>LOT00427</x:v>
      </x:c>
      <x:c r="C441" t="str">
        <x:v>SEMI-WH-A</x:v>
      </x:c>
      <x:c r="D441" t="n">
        <x:v>78</x:v>
      </x:c>
      <x:c r="E441" t="n">
        <x:v>4245387.32</x:v>
      </x:c>
      <x:c r="F441" t="n">
        <x:v>2.2</x:v>
      </x:c>
      <x:c r="G441" t="n">
        <x:v>0</x:v>
      </x:c>
      <x:c r="H441" t="n">
        <x:v>0.67</x:v>
      </x:c>
      <x:c r="I441" t="n">
        <x:v>2.94</x:v>
      </x:c>
      <x:c r="J441" t="n">
        <x:v>1751.6</x:v>
      </x:c>
      <x:c r="K441" t="n">
        <x:v>508410.31</x:v>
      </x:c>
      <x:c r="L441" t="n">
        <x:v>1825.2</x:v>
      </x:c>
      <x:c r="M441" t="n">
        <x:f>SUM(E441,J441:L441)</x:f>
        <x:v>4757374.430000001</x:v>
      </x:c>
      <x:c r="N441" t="n">
        <x:v>88000</x:v>
      </x:c>
      <x:c r="O441" t="n">
        <x:f>D441*N441</x:f>
        <x:v>6864000</x:v>
      </x:c>
      <x:c r="P441" s="22" t="n">
        <x:f>IF(O441=0,0,(M441-O441)/O441)</x:f>
        <x:v>-0.30690931963869456</x:v>
      </x:c>
      <x:c r="Q441" s="20" t="n">
        <x:v>45700</x:v>
      </x:c>
    </x:row>
    <x:row r="442" ht="20" customHeight="1">
      <x:c r="A442" t="str">
        <x:v>WO00421</x:v>
      </x:c>
      <x:c r="B442" t="str">
        <x:v>LOT00421</x:v>
      </x:c>
      <x:c r="C442" t="str">
        <x:v>PM-VAC-B</x:v>
      </x:c>
      <x:c r="D442" t="n">
        <x:v>780</x:v>
      </x:c>
      <x:c r="E442" t="n">
        <x:v>7507635.13</x:v>
      </x:c>
      <x:c r="F442" t="n">
        <x:v>6.88</x:v>
      </x:c>
      <x:c r="G442" t="n">
        <x:v>0</x:v>
      </x:c>
      <x:c r="H442" t="n">
        <x:v>1.49</x:v>
      </x:c>
      <x:c r="I442" t="n">
        <x:v>1.6</x:v>
      </x:c>
      <x:c r="J442" t="n">
        <x:v>5187.2</x:v>
      </x:c>
      <x:c r="K442" t="n">
        <x:v>821324.44</x:v>
      </x:c>
      <x:c r="L442" t="n">
        <x:v>3332.8</x:v>
      </x:c>
      <x:c r="M442" t="n">
        <x:f>SUM(E442,J442:L442)</x:f>
        <x:v>8337479.57</x:v>
      </x:c>
      <x:c r="N442" t="n">
        <x:v>15500</x:v>
      </x:c>
      <x:c r="O442" t="n">
        <x:f>D442*N442</x:f>
        <x:v>12090000</x:v>
      </x:c>
      <x:c r="P442" s="22" t="n">
        <x:f>IF(O442=0,0,(M442-O442)/O442)</x:f>
        <x:v>-0.3103821695616211</x:v>
      </x:c>
      <x:c r="Q442" s="20" t="n">
        <x:v>45693</x:v>
      </x:c>
    </x:row>
    <x:row r="443" ht="20" customHeight="1">
      <x:c r="A443" t="str">
        <x:v>WO00422</x:v>
      </x:c>
      <x:c r="B443" t="str">
        <x:v>LOT00422</x:v>
      </x:c>
      <x:c r="C443" t="str">
        <x:v>PM-VAC-B</x:v>
      </x:c>
      <x:c r="D443" t="n">
        <x:v>790</x:v>
      </x:c>
      <x:c r="E443" t="n">
        <x:v>7684741.07</x:v>
      </x:c>
      <x:c r="F443" t="n">
        <x:v>7.54</x:v>
      </x:c>
      <x:c r="G443" t="n">
        <x:v>0</x:v>
      </x:c>
      <x:c r="H443" t="n">
        <x:v>1.52</x:v>
      </x:c>
      <x:c r="I443" t="n">
        <x:v>1.77</x:v>
      </x:c>
      <x:c r="J443" t="n">
        <x:v>5630.6</x:v>
      </x:c>
      <x:c r="K443" t="n">
        <x:v>978139.47</x:v>
      </x:c>
      <x:c r="L443" t="n">
        <x:v>3639.4</x:v>
      </x:c>
      <x:c r="M443" t="n">
        <x:f>SUM(E443,J443:L443)</x:f>
        <x:v>8672150.540000001</x:v>
      </x:c>
      <x:c r="N443" t="n">
        <x:v>15500</x:v>
      </x:c>
      <x:c r="O443" t="n">
        <x:f>D443*N443</x:f>
        <x:v>12245000</x:v>
      </x:c>
      <x:c r="P443" s="22" t="n">
        <x:f>IF(O443=0,0,(M443-O443)/O443)</x:f>
        <x:v>-0.29178027439771326</x:v>
      </x:c>
      <x:c r="Q443" s="20" t="n">
        <x:v>45694</x:v>
      </x:c>
    </x:row>
    <x:row r="444" ht="20" customHeight="1">
      <x:c r="A444" t="str">
        <x:v>WO00439</x:v>
      </x:c>
      <x:c r="B444" t="str">
        <x:v>LOT00439</x:v>
      </x:c>
      <x:c r="C444" t="str">
        <x:v>AUTO-KN-B</x:v>
      </x:c>
      <x:c r="D444" t="n">
        <x:v>6465</x:v>
      </x:c>
      <x:c r="E444" t="n">
        <x:v>11870212.36</x:v>
      </x:c>
      <x:c r="F444" t="n">
        <x:v>36.76</x:v>
      </x:c>
      <x:c r="G444" t="n">
        <x:v>0</x:v>
      </x:c>
      <x:c r="H444" t="n">
        <x:v>4.75</x:v>
      </x:c>
      <x:c r="I444" t="n">
        <x:v>1.05</x:v>
      </x:c>
      <x:c r="J444" t="n">
        <x:v>26174</x:v>
      </x:c>
      <x:c r="K444" t="n">
        <x:v>872305.22</x:v>
      </x:c>
      <x:c r="L444" t="n">
        <x:v>15043.8</x:v>
      </x:c>
      <x:c r="M444" t="n">
        <x:f>SUM(E444,J444:L444)</x:f>
        <x:v>12783735.379999999</x:v>
      </x:c>
      <x:c r="N444" t="n">
        <x:v>2590</x:v>
      </x:c>
      <x:c r="O444" t="n">
        <x:f>D444*N444</x:f>
        <x:v>16744350</x:v>
      </x:c>
      <x:c r="P444" s="22" t="n">
        <x:f>IF(O444=0,0,(M444-O444)/O444)</x:f>
        <x:v>-0.23653439040631621</x:v>
      </x:c>
      <x:c r="Q444" s="20" t="n">
        <x:v>45692</x:v>
      </x:c>
    </x:row>
    <x:row r="445" ht="20" customHeight="1">
      <x:c r="A445" t="str">
        <x:v>WO00440</x:v>
      </x:c>
      <x:c r="B445" t="str">
        <x:v>LOT00440</x:v>
      </x:c>
      <x:c r="C445" t="str">
        <x:v>AUTO-KN-B</x:v>
      </x:c>
      <x:c r="D445" t="n">
        <x:v>6378</x:v>
      </x:c>
      <x:c r="E445" t="n">
        <x:v>11889934.65</x:v>
      </x:c>
      <x:c r="F445" t="n">
        <x:v>36.12</x:v>
      </x:c>
      <x:c r="G445" t="n">
        <x:v>0</x:v>
      </x:c>
      <x:c r="H445" t="n">
        <x:v>5.25</x:v>
      </x:c>
      <x:c r="I445" t="n">
        <x:v>1.29</x:v>
      </x:c>
      <x:c r="J445" t="n">
        <x:v>25998</x:v>
      </x:c>
      <x:c r="K445" t="n">
        <x:v>894505.91</x:v>
      </x:c>
      <x:c r="L445" t="n">
        <x:v>14952.6</x:v>
      </x:c>
      <x:c r="M445" t="n">
        <x:f>SUM(E445,J445:L445)</x:f>
        <x:v>12825391.16</x:v>
      </x:c>
      <x:c r="N445" t="n">
        <x:v>2590</x:v>
      </x:c>
      <x:c r="O445" t="n">
        <x:f>D445*N445</x:f>
        <x:v>16519020</x:v>
      </x:c>
      <x:c r="P445" s="22" t="n">
        <x:f>IF(O445=0,0,(M445-O445)/O445)</x:f>
        <x:v>-0.2235985451921482</x:v>
      </x:c>
      <x:c r="Q445" s="20" t="n">
        <x:v>45682</x:v>
      </x:c>
    </x:row>
    <x:row r="446" ht="20" customHeight="1">
      <x:c r="A446" t="str">
        <x:v>WO00471</x:v>
      </x:c>
      <x:c r="B446" t="str">
        <x:v>LOT00471</x:v>
      </x:c>
      <x:c r="C446" t="str">
        <x:v>SEMI-WH-B</x:v>
      </x:c>
      <x:c r="D446" t="n">
        <x:v>59</x:v>
      </x:c>
      <x:c r="E446" t="n">
        <x:v>4580508.33</x:v>
      </x:c>
      <x:c r="F446" t="n">
        <x:v>1.37</x:v>
      </x:c>
      <x:c r="G446" t="n">
        <x:v>0</x:v>
      </x:c>
      <x:c r="H446" t="n">
        <x:v>0.59</x:v>
      </x:c>
      <x:c r="I446" t="n">
        <x:v>2.96</x:v>
      </x:c>
      <x:c r="J446" t="n">
        <x:v>1173.7</x:v>
      </x:c>
      <x:c r="K446" t="n">
        <x:v>613135.35</x:v>
      </x:c>
      <x:c r="L446" t="n">
        <x:v>1503</x:v>
      </x:c>
      <x:c r="M446" t="n">
        <x:f>SUM(E446,J446:L446)</x:f>
        <x:v>5196320.38</x:v>
      </x:c>
      <x:c r="N446" t="n">
        <x:v>130000</x:v>
      </x:c>
      <x:c r="O446" t="n">
        <x:f>D446*N446</x:f>
        <x:v>7670000</x:v>
      </x:c>
      <x:c r="P446" s="22" t="n">
        <x:f>IF(O446=0,0,(M446-O446)/O446)</x:f>
        <x:v>-0.32251364015645373</x:v>
      </x:c>
      <x:c r="Q446" s="20" t="n">
        <x:v>45725</x:v>
      </x:c>
    </x:row>
    <x:row r="447" ht="20" customHeight="1">
      <x:c r="A447" t="str">
        <x:v>WO00430</x:v>
      </x:c>
      <x:c r="B447" t="str">
        <x:v>LOT00430</x:v>
      </x:c>
      <x:c r="C447" t="str">
        <x:v>PM-VAC-A</x:v>
      </x:c>
      <x:c r="D447" t="n">
        <x:v>489</x:v>
      </x:c>
      <x:c r="E447" t="n">
        <x:v>3010317.46</x:v>
      </x:c>
      <x:c r="F447" t="n">
        <x:v>4.09</x:v>
      </x:c>
      <x:c r="G447" t="n">
        <x:v>0</x:v>
      </x:c>
      <x:c r="H447" t="n">
        <x:v>0.88</x:v>
      </x:c>
      <x:c r="I447" t="n">
        <x:v>1.97</x:v>
      </x:c>
      <x:c r="J447" t="n">
        <x:v>3080.9</x:v>
      </x:c>
      <x:c r="K447" t="n">
        <x:v>377490.28</x:v>
      </x:c>
      <x:c r="L447" t="n">
        <x:v>2286</x:v>
      </x:c>
      <x:c r="M447" t="n">
        <x:f>SUM(E447,J447:L447)</x:f>
        <x:v>3393174.64</x:v>
      </x:c>
      <x:c r="N447" t="n">
        <x:v>10800</x:v>
      </x:c>
      <x:c r="O447" t="n">
        <x:f>D447*N447</x:f>
        <x:v>5281200</x:v>
      </x:c>
      <x:c r="P447" s="22" t="n">
        <x:f>IF(O447=0,0,(M447-O447)/O447)</x:f>
        <x:v>-0.3574993107627054</x:v>
      </x:c>
      <x:c r="Q447" s="20" t="n">
        <x:v>45695</x:v>
      </x:c>
    </x:row>
    <x:row r="448" ht="20" customHeight="1">
      <x:c r="A448" t="str">
        <x:v>WO00472</x:v>
      </x:c>
      <x:c r="B448" t="str">
        <x:v>LOT00472</x:v>
      </x:c>
      <x:c r="C448" t="str">
        <x:v>AUTO-FL-B</x:v>
      </x:c>
      <x:c r="D448" t="n">
        <x:v>4937</x:v>
      </x:c>
      <x:c r="E448" t="n">
        <x:v>3670848.38</x:v>
      </x:c>
      <x:c r="F448" t="n">
        <x:v>25.56</x:v>
      </x:c>
      <x:c r="G448" t="n">
        <x:v>0</x:v>
      </x:c>
      <x:c r="H448" t="n">
        <x:v>4.59</x:v>
      </x:c>
      <x:c r="I448" t="n">
        <x:v>1.29</x:v>
      </x:c>
      <x:c r="J448" t="n">
        <x:v>18817.2</x:v>
      </x:c>
      <x:c r="K448" t="n">
        <x:v>278467.05</x:v>
      </x:c>
      <x:c r="L448" t="n">
        <x:v>10834.2</x:v>
      </x:c>
      <x:c r="M448" t="n">
        <x:f>SUM(E448,J448:L448)</x:f>
        <x:v>3978966.83</x:v>
      </x:c>
      <x:c r="N448" t="n">
        <x:v>1170</x:v>
      </x:c>
      <x:c r="O448" t="n">
        <x:f>D448*N448</x:f>
        <x:v>5776290</x:v>
      </x:c>
      <x:c r="P448" s="22" t="n">
        <x:f>IF(O448=0,0,(M448-O448)/O448)</x:f>
        <x:v>-0.31115528652474167</x:v>
      </x:c>
      <x:c r="Q448" s="20" t="n">
        <x:v>45678</x:v>
      </x:c>
    </x:row>
    <x:row r="449" ht="20" customHeight="1">
      <x:c r="A449" t="str">
        <x:v>WO00456</x:v>
      </x:c>
      <x:c r="B449" t="str">
        <x:v>LOT00456</x:v>
      </x:c>
      <x:c r="C449" t="str">
        <x:v>SEMI-CHB-B</x:v>
      </x:c>
      <x:c r="D449" t="n">
        <x:v>58</x:v>
      </x:c>
      <x:c r="E449" t="n">
        <x:v>4034602.88</x:v>
      </x:c>
      <x:c r="F449" t="n">
        <x:v>1.53</x:v>
      </x:c>
      <x:c r="G449" t="n">
        <x:v>0</x:v>
      </x:c>
      <x:c r="H449" t="n">
        <x:v>0.56</x:v>
      </x:c>
      <x:c r="I449" t="n">
        <x:v>2.7</x:v>
      </x:c>
      <x:c r="J449" t="n">
        <x:v>1263.3</x:v>
      </x:c>
      <x:c r="K449" t="n">
        <x:v>478059</x:v>
      </x:c>
      <x:c r="L449" t="n">
        <x:v>1481</x:v>
      </x:c>
      <x:c r="M449" t="n">
        <x:f>SUM(E449,J449:L449)</x:f>
        <x:v>4515406.18</x:v>
      </x:c>
      <x:c r="N449" t="n">
        <x:v>111000</x:v>
      </x:c>
      <x:c r="O449" t="n">
        <x:f>D449*N449</x:f>
        <x:v>6438000</x:v>
      </x:c>
      <x:c r="P449" s="22" t="n">
        <x:f>IF(O449=0,0,(M449-O449)/O449)</x:f>
        <x:v>-0.29863215594905257</x:v>
      </x:c>
      <x:c r="Q449" s="20" t="n">
        <x:v>45726</x:v>
      </x:c>
    </x:row>
    <x:row r="450" ht="20" customHeight="1">
      <x:c r="A450" t="str">
        <x:v>WO00473</x:v>
      </x:c>
      <x:c r="B450" t="str">
        <x:v>LOT00473</x:v>
      </x:c>
      <x:c r="C450" t="str">
        <x:v>AUTO-FL-B</x:v>
      </x:c>
      <x:c r="D450" t="n">
        <x:v>4967</x:v>
      </x:c>
      <x:c r="E450" t="n">
        <x:v>3714790.38</x:v>
      </x:c>
      <x:c r="F450" t="n">
        <x:v>26.65</x:v>
      </x:c>
      <x:c r="G450" t="n">
        <x:v>0</x:v>
      </x:c>
      <x:c r="H450" t="n">
        <x:v>4.39</x:v>
      </x:c>
      <x:c r="I450" t="n">
        <x:v>1.09</x:v>
      </x:c>
      <x:c r="J450" t="n">
        <x:v>19429.7</x:v>
      </x:c>
      <x:c r="K450" t="n">
        <x:v>319022.51</x:v>
      </x:c>
      <x:c r="L450" t="n">
        <x:v>11156.4</x:v>
      </x:c>
      <x:c r="M450" t="n">
        <x:f>SUM(E450,J450:L450)</x:f>
        <x:v>4064398.9899999998</x:v>
      </x:c>
      <x:c r="N450" t="n">
        <x:v>1170</x:v>
      </x:c>
      <x:c r="O450" t="n">
        <x:f>D450*N450</x:f>
        <x:v>5811390</x:v>
      </x:c>
      <x:c r="P450" s="22" t="n">
        <x:f>IF(O450=0,0,(M450-O450)/O450)</x:f>
        <x:v>-0.3006150008861908</x:v>
      </x:c>
      <x:c r="Q450" s="20" t="n">
        <x:v>45682</x:v>
      </x:c>
    </x:row>
    <x:row r="451" ht="20" customHeight="1">
      <x:c r="A451" t="str">
        <x:v>WO00454</x:v>
      </x:c>
      <x:c r="B451" t="str">
        <x:v>LOT00454</x:v>
      </x:c>
      <x:c r="C451" t="str">
        <x:v>AUTO-BS-A</x:v>
      </x:c>
      <x:c r="D451" t="n">
        <x:v>6449</x:v>
      </x:c>
      <x:c r="E451" t="n">
        <x:v>2086763.64</x:v>
      </x:c>
      <x:c r="F451" t="n">
        <x:v>31.85</x:v>
      </x:c>
      <x:c r="G451" t="n">
        <x:v>0</x:v>
      </x:c>
      <x:c r="H451" t="n">
        <x:v>5.53</x:v>
      </x:c>
      <x:c r="I451" t="n">
        <x:v>1.16</x:v>
      </x:c>
      <x:c r="J451" t="n">
        <x:v>23356.9</x:v>
      </x:c>
      <x:c r="K451" t="n">
        <x:v>217471.44</x:v>
      </x:c>
      <x:c r="L451" t="n">
        <x:v>13335.8</x:v>
      </x:c>
      <x:c r="M451" t="n">
        <x:f>SUM(E451,J451:L451)</x:f>
        <x:v>2340927.78</x:v>
      </x:c>
      <x:c r="N451" t="n">
        <x:v>550</x:v>
      </x:c>
      <x:c r="O451" t="n">
        <x:f>D451*N451</x:f>
        <x:v>3546950</x:v>
      </x:c>
      <x:c r="P451" s="22" t="n">
        <x:f>IF(O451=0,0,(M451-O451)/O451)</x:f>
        <x:v>-0.34001669603462137</x:v>
      </x:c>
      <x:c r="Q451" s="20" t="n">
        <x:v>45685</x:v>
      </x:c>
    </x:row>
    <x:row r="452" ht="20" customHeight="1">
      <x:c r="A452" t="str">
        <x:v>WO00466</x:v>
      </x:c>
      <x:c r="B452" t="str">
        <x:v>LOT00466</x:v>
      </x:c>
      <x:c r="C452" t="str">
        <x:v>SEMI-CHB-B</x:v>
      </x:c>
      <x:c r="D452" t="n">
        <x:v>77</x:v>
      </x:c>
      <x:c r="E452" t="n">
        <x:v>5627155.26</x:v>
      </x:c>
      <x:c r="F452" t="n">
        <x:v>2.14</x:v>
      </x:c>
      <x:c r="G452" t="n">
        <x:v>0</x:v>
      </x:c>
      <x:c r="H452" t="n">
        <x:v>0.72</x:v>
      </x:c>
      <x:c r="I452" t="n">
        <x:v>3.22</x:v>
      </x:c>
      <x:c r="J452" t="n">
        <x:v>1736.6</x:v>
      </x:c>
      <x:c r="K452" t="n">
        <x:v>580250.89</x:v>
      </x:c>
      <x:c r="L452" t="n">
        <x:v>1894.4</x:v>
      </x:c>
      <x:c r="M452" t="n">
        <x:f>SUM(E452,J452:L452)</x:f>
        <x:v>6211037.149999999</x:v>
      </x:c>
      <x:c r="N452" t="n">
        <x:v>111000</x:v>
      </x:c>
      <x:c r="O452" t="n">
        <x:f>D452*N452</x:f>
        <x:v>8547000</x:v>
      </x:c>
      <x:c r="P452" s="22" t="n">
        <x:f>IF(O452=0,0,(M452-O452)/O452)</x:f>
        <x:v>-0.2733079267579268</x:v>
      </x:c>
      <x:c r="Q452" s="20" t="n">
        <x:v>45723</x:v>
      </x:c>
    </x:row>
    <x:row r="453" ht="20" customHeight="1">
      <x:c r="A453" t="str">
        <x:v>WO00468</x:v>
      </x:c>
      <x:c r="B453" t="str">
        <x:v>LOT00468</x:v>
      </x:c>
      <x:c r="C453" t="str">
        <x:v>MECH-STG-A</x:v>
      </x:c>
      <x:c r="D453" t="n">
        <x:v>15</x:v>
      </x:c>
      <x:c r="E453" t="n">
        <x:v>1087676.73</x:v>
      </x:c>
      <x:c r="F453" t="n">
        <x:v>1105.94</x:v>
      </x:c>
      <x:c r="G453" t="n">
        <x:v>3669.16</x:v>
      </x:c>
      <x:c r="H453" t="n">
        <x:v>2525.71</x:v>
      </x:c>
      <x:c r="I453" t="n">
        <x:v>3.1</x:v>
      </x:c>
      <x:c r="J453" t="n">
        <x:v>3839165</x:v>
      </x:c>
      <x:c r="K453" t="n">
        <x:v>81629.09</x:v>
      </x:c>
      <x:c r="L453" t="n">
        <x:v>1559132.8</x:v>
      </x:c>
      <x:c r="M453" t="n">
        <x:f>SUM(E453,J453:L453)</x:f>
        <x:v>6567603.619999999</x:v>
      </x:c>
      <x:c r="N453" t="n">
        <x:v>104000</x:v>
      </x:c>
      <x:c r="O453" t="n">
        <x:f>D453*N453</x:f>
        <x:v>1560000</x:v>
      </x:c>
      <x:c r="P453" s="22" t="n">
        <x:f>IF(O453=0,0,(M453-O453)/O453)</x:f>
        <x:v>3.21000232051282</x:v>
      </x:c>
      <x:c r="Q453" s="20" t="n">
        <x:v>45705</x:v>
      </x:c>
    </x:row>
    <x:row r="454" ht="20" customHeight="1">
      <x:c r="A454" t="str">
        <x:v>WO00450</x:v>
      </x:c>
      <x:c r="B454" t="str">
        <x:v>LOT00450</x:v>
      </x:c>
      <x:c r="C454" t="str">
        <x:v>AUTO-MH-B</x:v>
      </x:c>
      <x:c r="D454" t="n">
        <x:v>2971</x:v>
      </x:c>
      <x:c r="E454" t="n">
        <x:v>4968002.03</x:v>
      </x:c>
      <x:c r="F454" t="n">
        <x:v>15.17</x:v>
      </x:c>
      <x:c r="G454" t="n">
        <x:v>0</x:v>
      </x:c>
      <x:c r="H454" t="n">
        <x:v>2.52</x:v>
      </x:c>
      <x:c r="I454" t="n">
        <x:v>1.28</x:v>
      </x:c>
      <x:c r="J454" t="n">
        <x:v>11070.1</x:v>
      </x:c>
      <x:c r="K454" t="n">
        <x:v>301249.54</x:v>
      </x:c>
      <x:c r="L454" t="n">
        <x:v>6551.8</x:v>
      </x:c>
      <x:c r="M454" t="n">
        <x:f>SUM(E454,J454:L454)</x:f>
        <x:v>5286873.470000001</x:v>
      </x:c>
      <x:c r="N454" t="n">
        <x:v>2320</x:v>
      </x:c>
      <x:c r="O454" t="n">
        <x:f>D454*N454</x:f>
        <x:v>6892720</x:v>
      </x:c>
      <x:c r="P454" s="22" t="n">
        <x:f>IF(O454=0,0,(M454-O454)/O454)</x:f>
        <x:v>-0.23297718897619507</x:v>
      </x:c>
      <x:c r="Q454" s="20" t="n">
        <x:v>45691</x:v>
      </x:c>
    </x:row>
    <x:row r="455" ht="20" customHeight="1">
      <x:c r="A455" t="str">
        <x:v>WO00453</x:v>
      </x:c>
      <x:c r="B455" t="str">
        <x:v>LOT00453</x:v>
      </x:c>
      <x:c r="C455" t="str">
        <x:v>AUTO-BS-A</x:v>
      </x:c>
      <x:c r="D455" t="n">
        <x:v>6428</x:v>
      </x:c>
      <x:c r="E455" t="n">
        <x:v>2167719.59</x:v>
      </x:c>
      <x:c r="F455" t="n">
        <x:v>35.65</x:v>
      </x:c>
      <x:c r="G455" t="n">
        <x:v>0</x:v>
      </x:c>
      <x:c r="H455" t="n">
        <x:v>4.63</x:v>
      </x:c>
      <x:c r="I455" t="n">
        <x:v>1.14</x:v>
      </x:c>
      <x:c r="J455" t="n">
        <x:v>25394.9</x:v>
      </x:c>
      <x:c r="K455" t="n">
        <x:v>179000.56</x:v>
      </x:c>
      <x:c r="L455" t="n">
        <x:v>14629.8</x:v>
      </x:c>
      <x:c r="M455" t="n">
        <x:f>SUM(E455,J455:L455)</x:f>
        <x:v>2386744.8499999996</x:v>
      </x:c>
      <x:c r="N455" t="n">
        <x:v>550</x:v>
      </x:c>
      <x:c r="O455" t="n">
        <x:f>D455*N455</x:f>
        <x:v>3535400</x:v>
      </x:c>
      <x:c r="P455" s="22" t="n">
        <x:f>IF(O455=0,0,(M455-O455)/O455)</x:f>
        <x:v>-0.32490104372913964</x:v>
      </x:c>
      <x:c r="Q455" s="20" t="n">
        <x:v>45681</x:v>
      </x:c>
    </x:row>
    <x:row r="456" ht="20" customHeight="1">
      <x:c r="A456" t="str">
        <x:v>WO00465</x:v>
      </x:c>
      <x:c r="B456" t="str">
        <x:v>LOT00465</x:v>
      </x:c>
      <x:c r="C456" t="str">
        <x:v>SEMI-CHB-B</x:v>
      </x:c>
      <x:c r="D456" t="n">
        <x:v>78</x:v>
      </x:c>
      <x:c r="E456" t="n">
        <x:v>5793909.86</x:v>
      </x:c>
      <x:c r="F456" t="n">
        <x:v>1.81</x:v>
      </x:c>
      <x:c r="G456" t="n">
        <x:v>0</x:v>
      </x:c>
      <x:c r="H456" t="n">
        <x:v>0.68</x:v>
      </x:c>
      <x:c r="I456" t="n">
        <x:v>2.8</x:v>
      </x:c>
      <x:c r="J456" t="n">
        <x:v>1502.9</x:v>
      </x:c>
      <x:c r="K456" t="n">
        <x:v>668932.23</x:v>
      </x:c>
      <x:c r="L456" t="n">
        <x:v>1636.6</x:v>
      </x:c>
      <x:c r="M456" t="n">
        <x:f>SUM(E456,J456:L456)</x:f>
        <x:v>6465981.59</x:v>
      </x:c>
      <x:c r="N456" t="n">
        <x:v>111000</x:v>
      </x:c>
      <x:c r="O456" t="n">
        <x:f>D456*N456</x:f>
        <x:v>8658000</x:v>
      </x:c>
      <x:c r="P456" s="22" t="n">
        <x:f>IF(O456=0,0,(M456-O456)/O456)</x:f>
        <x:v>-0.25317837953337957</x:v>
      </x:c>
      <x:c r="Q456" s="20" t="n">
        <x:v>45722</x:v>
      </x:c>
    </x:row>
    <x:row r="457" ht="20" customHeight="1">
      <x:c r="A457" t="str">
        <x:v>WO00469</x:v>
      </x:c>
      <x:c r="B457" t="str">
        <x:v>LOT00469</x:v>
      </x:c>
      <x:c r="C457" t="str">
        <x:v>MECH-STG-A</x:v>
      </x:c>
      <x:c r="D457" t="n">
        <x:v>14</x:v>
      </x:c>
      <x:c r="E457" t="n">
        <x:v>1007821.49</x:v>
      </x:c>
      <x:c r="F457" t="n">
        <x:v>1042.33</x:v>
      </x:c>
      <x:c r="G457" t="n">
        <x:v>3943.36</x:v>
      </x:c>
      <x:c r="H457" t="n">
        <x:v>2711.81</x:v>
      </x:c>
      <x:c r="I457" t="n">
        <x:v>3.01</x:v>
      </x:c>
      <x:c r="J457" t="n">
        <x:v>4029730.5</x:v>
      </x:c>
      <x:c r="K457" t="n">
        <x:v>81181.21</x:v>
      </x:c>
      <x:c r="L457" t="n">
        <x:v>1619550</x:v>
      </x:c>
      <x:c r="M457" t="n">
        <x:f>SUM(E457,J457:L457)</x:f>
        <x:v>6738283.2</x:v>
      </x:c>
      <x:c r="N457" t="n">
        <x:v>104000</x:v>
      </x:c>
      <x:c r="O457" t="n">
        <x:f>D457*N457</x:f>
        <x:v>1456000</x:v>
      </x:c>
      <x:c r="P457" s="22" t="n">
        <x:f>IF(O457=0,0,(M457-O457)/O457)</x:f>
        <x:v>3.6279417582417586</x:v>
      </x:c>
      <x:c r="Q457" s="20" t="n">
        <x:v>45705</x:v>
      </x:c>
    </x:row>
    <x:row r="458" ht="20" customHeight="1">
      <x:c r="A458" t="str">
        <x:v>WO00451</x:v>
      </x:c>
      <x:c r="B458" t="str">
        <x:v>LOT00451</x:v>
      </x:c>
      <x:c r="C458" t="str">
        <x:v>PM-ALB-B</x:v>
      </x:c>
      <x:c r="D458" t="n">
        <x:v>295</x:v>
      </x:c>
      <x:c r="E458" t="n">
        <x:v>2297426.24</x:v>
      </x:c>
      <x:c r="F458" t="n">
        <x:v>2.55</x:v>
      </x:c>
      <x:c r="G458" t="n">
        <x:v>0</x:v>
      </x:c>
      <x:c r="H458" t="n">
        <x:v>0.48</x:v>
      </x:c>
      <x:c r="I458" t="n">
        <x:v>1.37</x:v>
      </x:c>
      <x:c r="J458" t="n">
        <x:v>1887.9</x:v>
      </x:c>
      <x:c r="K458" t="n">
        <x:v>122298.12</x:v>
      </x:c>
      <x:c r="L458" t="n">
        <x:v>1456.8</x:v>
      </x:c>
      <x:c r="M458" t="n">
        <x:f>SUM(E458,J458:L458)</x:f>
        <x:v>2423069.06</x:v>
      </x:c>
      <x:c r="N458" t="n">
        <x:v>11750</x:v>
      </x:c>
      <x:c r="O458" t="n">
        <x:f>D458*N458</x:f>
        <x:v>3466250</x:v>
      </x:c>
      <x:c r="P458" s="22" t="n">
        <x:f>IF(O458=0,0,(M458-O458)/O458)</x:f>
        <x:v>-0.30095375117201584</x:v>
      </x:c>
      <x:c r="Q458" s="20" t="n">
        <x:v>45701</x:v>
      </x:c>
    </x:row>
    <x:row r="459" ht="20" customHeight="1">
      <x:c r="A459" t="str">
        <x:v>WO00461</x:v>
      </x:c>
      <x:c r="B459" t="str">
        <x:v>LOT00461</x:v>
      </x:c>
      <x:c r="C459" t="str">
        <x:v>MECH-CON-A</x:v>
      </x:c>
      <x:c r="D459" t="n">
        <x:v>20</x:v>
      </x:c>
      <x:c r="E459" t="n">
        <x:v>1032431.15</x:v>
      </x:c>
      <x:c r="F459" t="n">
        <x:v>1539.69</x:v>
      </x:c>
      <x:c r="G459" t="n">
        <x:v>5308.38</x:v>
      </x:c>
      <x:c r="H459" t="n">
        <x:v>3437.68</x:v>
      </x:c>
      <x:c r="I459" t="n">
        <x:v>2.78</x:v>
      </x:c>
      <x:c r="J459" t="n">
        <x:v>5411242.5</x:v>
      </x:c>
      <x:c r="K459" t="n">
        <x:v>106920.2</x:v>
      </x:c>
      <x:c r="L459" t="n">
        <x:v>2197621</x:v>
      </x:c>
      <x:c r="M459" t="n">
        <x:f>SUM(E459,J459:L459)</x:f>
        <x:v>8748214.85</x:v>
      </x:c>
      <x:c r="N459" t="n">
        <x:v>83000</x:v>
      </x:c>
      <x:c r="O459" t="n">
        <x:f>D459*N459</x:f>
        <x:v>1660000</x:v>
      </x:c>
      <x:c r="P459" s="22" t="n">
        <x:f>IF(O459=0,0,(M459-O459)/O459)</x:f>
        <x:v>4.2700089457831325</x:v>
      </x:c>
      <x:c r="Q459" s="20" t="n">
        <x:v>45713</x:v>
      </x:c>
    </x:row>
    <x:row r="460" ht="20" customHeight="1">
      <x:c r="A460" t="str">
        <x:v>WO00447</x:v>
      </x:c>
      <x:c r="B460" t="str">
        <x:v>LOT00447</x:v>
      </x:c>
      <x:c r="C460" t="str">
        <x:v>SEMI-CHB-B</x:v>
      </x:c>
      <x:c r="D460" t="n">
        <x:v>80</x:v>
      </x:c>
      <x:c r="E460" t="n">
        <x:v>5678924.87</x:v>
      </x:c>
      <x:c r="F460" t="n">
        <x:v>2.2</x:v>
      </x:c>
      <x:c r="G460" t="n">
        <x:v>0</x:v>
      </x:c>
      <x:c r="H460" t="n">
        <x:v>0.76</x:v>
      </x:c>
      <x:c r="I460" t="n">
        <x:v>2.95</x:v>
      </x:c>
      <x:c r="J460" t="n">
        <x:v>1794.8</x:v>
      </x:c>
      <x:c r="K460" t="n">
        <x:v>678294.87</x:v>
      </x:c>
      <x:c r="L460" t="n">
        <x:v>1842.6</x:v>
      </x:c>
      <x:c r="M460" t="n">
        <x:f>SUM(E460,J460:L460)</x:f>
        <x:v>6360857.140000001</x:v>
      </x:c>
      <x:c r="N460" t="n">
        <x:v>111000</x:v>
      </x:c>
      <x:c r="O460" t="n">
        <x:f>D460*N460</x:f>
        <x:v>8880000</x:v>
      </x:c>
      <x:c r="P460" s="22" t="n">
        <x:f>IF(O460=0,0,(M460-O460)/O460)</x:f>
        <x:v>-0.28368725900900893</x:v>
      </x:c>
      <x:c r="Q460" s="20" t="n">
        <x:v>45731</x:v>
      </x:c>
    </x:row>
    <x:row r="461" ht="20" customHeight="1">
      <x:c r="A461" t="str">
        <x:v>WO00446</x:v>
      </x:c>
      <x:c r="B461" t="str">
        <x:v>LOT00446</x:v>
      </x:c>
      <x:c r="C461" t="str">
        <x:v>SEMI-CHB-B</x:v>
      </x:c>
      <x:c r="D461" t="n">
        <x:v>78</x:v>
      </x:c>
      <x:c r="E461" t="n">
        <x:v>5533538.58</x:v>
      </x:c>
      <x:c r="F461" t="n">
        <x:v>1.89</x:v>
      </x:c>
      <x:c r="G461" t="n">
        <x:v>0</x:v>
      </x:c>
      <x:c r="H461" t="n">
        <x:v>0.65</x:v>
      </x:c>
      <x:c r="I461" t="n">
        <x:v>2.9</x:v>
      </x:c>
      <x:c r="J461" t="n">
        <x:v>1540.5</x:v>
      </x:c>
      <x:c r="K461" t="n">
        <x:v>598298.31</x:v>
      </x:c>
      <x:c r="L461" t="n">
        <x:v>1692.2</x:v>
      </x:c>
      <x:c r="M461" t="n">
        <x:f>SUM(E461,J461:L461)</x:f>
        <x:v>6135069.59</x:v>
      </x:c>
      <x:c r="N461" t="n">
        <x:v>111000</x:v>
      </x:c>
      <x:c r="O461" t="n">
        <x:f>D461*N461</x:f>
        <x:v>8658000</x:v>
      </x:c>
      <x:c r="P461" s="22" t="n">
        <x:f>IF(O461=0,0,(M461-O461)/O461)</x:f>
        <x:v>-0.2913987537537538</x:v>
      </x:c>
      <x:c r="Q461" s="20" t="n">
        <x:v>45729</x:v>
      </x:c>
    </x:row>
    <x:row r="462" ht="20" customHeight="1">
      <x:c r="A462" t="str">
        <x:v>WO00452</x:v>
      </x:c>
      <x:c r="B462" t="str">
        <x:v>LOT00452</x:v>
      </x:c>
      <x:c r="C462" t="str">
        <x:v>PM-ALB-A</x:v>
      </x:c>
      <x:c r="D462" t="n">
        <x:v>498</x:v>
      </x:c>
      <x:c r="E462" t="n">
        <x:v>2633293.82</x:v>
      </x:c>
      <x:c r="F462" t="n">
        <x:v>4.61</x:v>
      </x:c>
      <x:c r="G462" t="n">
        <x:v>0</x:v>
      </x:c>
      <x:c r="H462" t="n">
        <x:v>0.93</x:v>
      </x:c>
      <x:c r="I462" t="n">
        <x:v>1.74</x:v>
      </x:c>
      <x:c r="J462" t="n">
        <x:v>3442.9</x:v>
      </x:c>
      <x:c r="K462" t="n">
        <x:v>137574.28</x:v>
      </x:c>
      <x:c r="L462" t="n">
        <x:v>2422.6</x:v>
      </x:c>
      <x:c r="M462" t="n">
        <x:f>SUM(E462,J462:L462)</x:f>
        <x:v>2776733.5999999996</x:v>
      </x:c>
      <x:c r="N462" t="n">
        <x:v>8100</x:v>
      </x:c>
      <x:c r="O462" t="n">
        <x:f>D462*N462</x:f>
        <x:v>4033800</x:v>
      </x:c>
      <x:c r="P462" s="22" t="n">
        <x:f>IF(O462=0,0,(M462-O462)/O462)</x:f>
        <x:v>-0.31163329862660527</x:v>
      </x:c>
      <x:c r="Q462" s="20" t="n">
        <x:v>45704</x:v>
      </x:c>
    </x:row>
    <x:row r="463" ht="20" customHeight="1">
      <x:c r="A463" t="str">
        <x:v>WO00449</x:v>
      </x:c>
      <x:c r="B463" t="str">
        <x:v>LOT00449</x:v>
      </x:c>
      <x:c r="C463" t="str">
        <x:v>PM-SUS-A</x:v>
      </x:c>
      <x:c r="D463" t="n">
        <x:v>783</x:v>
      </x:c>
      <x:c r="E463" t="n">
        <x:v>3393568.39</x:v>
      </x:c>
      <x:c r="F463" t="n">
        <x:v>6.55</x:v>
      </x:c>
      <x:c r="G463" t="n">
        <x:v>0</x:v>
      </x:c>
      <x:c r="H463" t="n">
        <x:v>1.28</x:v>
      </x:c>
      <x:c r="I463" t="n">
        <x:v>1.57</x:v>
      </x:c>
      <x:c r="J463" t="n">
        <x:v>4871.9</x:v>
      </x:c>
      <x:c r="K463" t="n">
        <x:v>403825.63</x:v>
      </x:c>
      <x:c r="L463" t="n">
        <x:v>3164.8</x:v>
      </x:c>
      <x:c r="M463" t="n">
        <x:f>SUM(E463,J463:L463)</x:f>
        <x:v>3805430.72</x:v>
      </x:c>
      <x:c r="N463" t="n">
        <x:v>7500</x:v>
      </x:c>
      <x:c r="O463" t="n">
        <x:f>D463*N463</x:f>
        <x:v>5872500</x:v>
      </x:c>
      <x:c r="P463" s="22" t="n">
        <x:f>IF(O463=0,0,(M463-O463)/O463)</x:f>
        <x:v>-0.35199136313324814</x:v>
      </x:c>
      <x:c r="Q463" s="20" t="n">
        <x:v>45705</x:v>
      </x:c>
    </x:row>
    <x:row r="464" ht="20" customHeight="1">
      <x:c r="A464" t="str">
        <x:v>WO00448</x:v>
      </x:c>
      <x:c r="B464" t="str">
        <x:v>LOT00448</x:v>
      </x:c>
      <x:c r="C464" t="str">
        <x:v>PM-SUS-A</x:v>
      </x:c>
      <x:c r="D464" t="n">
        <x:v>783</x:v>
      </x:c>
      <x:c r="E464" t="n">
        <x:v>3613870.03</x:v>
      </x:c>
      <x:c r="F464" t="n">
        <x:v>6.47</x:v>
      </x:c>
      <x:c r="G464" t="n">
        <x:v>0</x:v>
      </x:c>
      <x:c r="H464" t="n">
        <x:v>1.43</x:v>
      </x:c>
      <x:c r="I464" t="n">
        <x:v>1.66</x:v>
      </x:c>
      <x:c r="J464" t="n">
        <x:v>4891.9</x:v>
      </x:c>
      <x:c r="K464" t="n">
        <x:v>413890.5</x:v>
      </x:c>
      <x:c r="L464" t="n">
        <x:v>3185.4</x:v>
      </x:c>
      <x:c r="M464" t="n">
        <x:f>SUM(E464,J464:L464)</x:f>
        <x:v>4035837.83</x:v>
      </x:c>
      <x:c r="N464" t="n">
        <x:v>7500</x:v>
      </x:c>
      <x:c r="O464" t="n">
        <x:f>D464*N464</x:f>
        <x:v>5872500</x:v>
      </x:c>
      <x:c r="P464" s="22" t="n">
        <x:f>IF(O464=0,0,(M464-O464)/O464)</x:f>
        <x:v>-0.31275643593018304</x:v>
      </x:c>
      <x:c r="Q464" s="20" t="n">
        <x:v>45702</x:v>
      </x:c>
    </x:row>
    <x:row r="465" ht="20" customHeight="1">
      <x:c r="A465" t="str">
        <x:v>WO00455</x:v>
      </x:c>
      <x:c r="B465" t="str">
        <x:v>LOT00455</x:v>
      </x:c>
      <x:c r="C465" t="str">
        <x:v>AUTO-FL-B</x:v>
      </x:c>
      <x:c r="D465" t="n">
        <x:v>2954</x:v>
      </x:c>
      <x:c r="E465" t="n">
        <x:v>2365584.16</x:v>
      </x:c>
      <x:c r="F465" t="n">
        <x:v>16.72</x:v>
      </x:c>
      <x:c r="G465" t="n">
        <x:v>0</x:v>
      </x:c>
      <x:c r="H465" t="n">
        <x:v>2.34</x:v>
      </x:c>
      <x:c r="I465" t="n">
        <x:v>1.08</x:v>
      </x:c>
      <x:c r="J465" t="n">
        <x:v>11991.2</x:v>
      </x:c>
      <x:c r="K465" t="n">
        <x:v>186959.3</x:v>
      </x:c>
      <x:c r="L465" t="n">
        <x:v>7052</x:v>
      </x:c>
      <x:c r="M465" t="n">
        <x:f>SUM(E465,J465:L465)</x:f>
        <x:v>2571586.66</x:v>
      </x:c>
      <x:c r="N465" t="n">
        <x:v>1170</x:v>
      </x:c>
      <x:c r="O465" t="n">
        <x:f>D465*N465</x:f>
        <x:v>3456180</x:v>
      </x:c>
      <x:c r="P465" s="22" t="n">
        <x:f>IF(O465=0,0,(M465-O465)/O465)</x:f>
        <x:v>-0.2559453905757223</x:v>
      </x:c>
      <x:c r="Q465" s="20" t="n">
        <x:v>45700</x:v>
      </x:c>
    </x:row>
    <x:row r="466" ht="20" customHeight="1">
      <x:c r="A466" t="str">
        <x:v>WO00457</x:v>
      </x:c>
      <x:c r="B466" t="str">
        <x:v>LOT00457</x:v>
      </x:c>
      <x:c r="C466" t="str">
        <x:v>PM-SUS-B</x:v>
      </x:c>
      <x:c r="D466" t="n">
        <x:v>295</x:v>
      </x:c>
      <x:c r="E466" t="n">
        <x:v>1994989.46</x:v>
      </x:c>
      <x:c r="F466" t="n">
        <x:v>2.8</x:v>
      </x:c>
      <x:c r="G466" t="n">
        <x:v>0</x:v>
      </x:c>
      <x:c r="H466" t="n">
        <x:v>0.56</x:v>
      </x:c>
      <x:c r="I466" t="n">
        <x:v>1.52</x:v>
      </x:c>
      <x:c r="J466" t="n">
        <x:v>2088.8</x:v>
      </x:c>
      <x:c r="K466" t="n">
        <x:v>197679.45</x:v>
      </x:c>
      <x:c r="L466" t="n">
        <x:v>1609.6</x:v>
      </x:c>
      <x:c r="M466" t="n">
        <x:f>SUM(E466,J466:L466)</x:f>
        <x:v>2196367.31</x:v>
      </x:c>
      <x:c r="N466" t="n">
        <x:v>11100</x:v>
      </x:c>
      <x:c r="O466" t="n">
        <x:f>D466*N466</x:f>
        <x:v>3274500</x:v>
      </x:c>
      <x:c r="P466" s="22" t="n">
        <x:f>IF(O466=0,0,(M466-O466)/O466)</x:f>
        <x:v>-0.3292510887158345</x:v>
      </x:c>
      <x:c r="Q466" s="20" t="n">
        <x:v>45709</x:v>
      </x:c>
    </x:row>
    <x:row r="467" ht="20" customHeight="1">
      <x:c r="A467" t="str">
        <x:v>WO00464</x:v>
      </x:c>
      <x:c r="B467" t="str">
        <x:v>LOT00464</x:v>
      </x:c>
      <x:c r="C467" t="str">
        <x:v>PM-SUS-B</x:v>
      </x:c>
      <x:c r="D467" t="n">
        <x:v>487</x:v>
      </x:c>
      <x:c r="E467" t="n">
        <x:v>3291010.43</x:v>
      </x:c>
      <x:c r="F467" t="n">
        <x:v>4.78</x:v>
      </x:c>
      <x:c r="G467" t="n">
        <x:v>0</x:v>
      </x:c>
      <x:c r="H467" t="n">
        <x:v>0.96</x:v>
      </x:c>
      <x:c r="I467" t="n">
        <x:v>1.64</x:v>
      </x:c>
      <x:c r="J467" t="n">
        <x:v>3567.8</x:v>
      </x:c>
      <x:c r="K467" t="n">
        <x:v>362100.84</x:v>
      </x:c>
      <x:c r="L467" t="n">
        <x:v>2462</x:v>
      </x:c>
      <x:c r="M467" t="n">
        <x:f>SUM(E467,J467:L467)</x:f>
        <x:v>3659141.0700000003</x:v>
      </x:c>
      <x:c r="N467" t="n">
        <x:v>11100</x:v>
      </x:c>
      <x:c r="O467" t="n">
        <x:f>D467*N467</x:f>
        <x:v>5405700</x:v>
      </x:c>
      <x:c r="P467" s="22" t="n">
        <x:f>IF(O467=0,0,(M467-O467)/O467)</x:f>
        <x:v>-0.3230957933292635</x:v>
      </x:c>
      <x:c r="Q467" s="20" t="n">
        <x:v>45713</x:v>
      </x:c>
    </x:row>
    <x:row r="468" ht="20" customHeight="1">
      <x:c r="A468" t="str">
        <x:v>WO00463</x:v>
      </x:c>
      <x:c r="B468" t="str">
        <x:v>LOT00463</x:v>
      </x:c>
      <x:c r="C468" t="str">
        <x:v>PM-ALB-B</x:v>
      </x:c>
      <x:c r="D468" t="n">
        <x:v>783</x:v>
      </x:c>
      <x:c r="E468" t="n">
        <x:v>6197375.47</x:v>
      </x:c>
      <x:c r="F468" t="n">
        <x:v>6.78</x:v>
      </x:c>
      <x:c r="G468" t="n">
        <x:v>0</x:v>
      </x:c>
      <x:c r="H468" t="n">
        <x:v>1.7</x:v>
      </x:c>
      <x:c r="I468" t="n">
        <x:v>1.6</x:v>
      </x:c>
      <x:c r="J468" t="n">
        <x:v>5223</x:v>
      </x:c>
      <x:c r="K468" t="n">
        <x:v>379118.29</x:v>
      </x:c>
      <x:c r="L468" t="n">
        <x:v>3328.4</x:v>
      </x:c>
      <x:c r="M468" t="n">
        <x:f>SUM(E468,J468:L468)</x:f>
        <x:v>6585045.16</x:v>
      </x:c>
      <x:c r="N468" t="n">
        <x:v>11750</x:v>
      </x:c>
      <x:c r="O468" t="n">
        <x:f>D468*N468</x:f>
        <x:v>9200250</x:v>
      </x:c>
      <x:c r="P468" s="22" t="n">
        <x:f>IF(O468=0,0,(M468-O468)/O468)</x:f>
        <x:v>-0.28425367136762586</x:v>
      </x:c>
      <x:c r="Q468" s="20" t="n">
        <x:v>45714</x:v>
      </x:c>
    </x:row>
    <x:row r="469" ht="20" customHeight="1">
      <x:c r="A469" t="str">
        <x:v>WO00460</x:v>
      </x:c>
      <x:c r="B469" t="str">
        <x:v>LOT00460</x:v>
      </x:c>
      <x:c r="C469" t="str">
        <x:v>MECH-CON-A</x:v>
      </x:c>
      <x:c r="D469" t="n">
        <x:v>10</x:v>
      </x:c>
      <x:c r="E469" t="n">
        <x:v>516694.92</x:v>
      </x:c>
      <x:c r="F469" t="n">
        <x:v>821.73</x:v>
      </x:c>
      <x:c r="G469" t="n">
        <x:v>2317.5</x:v>
      </x:c>
      <x:c r="H469" t="n">
        <x:v>1820.24</x:v>
      </x:c>
      <x:c r="I469" t="n">
        <x:v>3.03</x:v>
      </x:c>
      <x:c r="J469" t="n">
        <x:v>2612939.7</x:v>
      </x:c>
      <x:c r="K469" t="n">
        <x:v>52574.09</x:v>
      </x:c>
      <x:c r="L469" t="n">
        <x:v>1067904.8</x:v>
      </x:c>
      <x:c r="M469" t="n">
        <x:f>SUM(E469,J469:L469)</x:f>
        <x:v>4250113.51</x:v>
      </x:c>
      <x:c r="N469" t="n">
        <x:v>83000</x:v>
      </x:c>
      <x:c r="O469" t="n">
        <x:f>D469*N469</x:f>
        <x:v>830000</x:v>
      </x:c>
      <x:c r="P469" s="22" t="n">
        <x:f>IF(O469=0,0,(M469-O469)/O469)</x:f>
        <x:v>4.120618686746988</x:v>
      </x:c>
      <x:c r="Q469" s="20" t="n">
        <x:v>45719</x:v>
      </x:c>
    </x:row>
    <x:row r="470" ht="20" customHeight="1">
      <x:c r="A470" t="str">
        <x:v>WO00462</x:v>
      </x:c>
      <x:c r="B470" t="str">
        <x:v>LOT00462</x:v>
      </x:c>
      <x:c r="C470" t="str">
        <x:v>PM-ALB-B</x:v>
      </x:c>
      <x:c r="D470" t="n">
        <x:v>783</x:v>
      </x:c>
      <x:c r="E470" t="n">
        <x:v>6537480.1</x:v>
      </x:c>
      <x:c r="F470" t="n">
        <x:v>7.84</x:v>
      </x:c>
      <x:c r="G470" t="n">
        <x:v>0</x:v>
      </x:c>
      <x:c r="H470" t="n">
        <x:v>1.36</x:v>
      </x:c>
      <x:c r="I470" t="n">
        <x:v>1.76</x:v>
      </x:c>
      <x:c r="J470" t="n">
        <x:v>5748.8</x:v>
      </x:c>
      <x:c r="K470" t="n">
        <x:v>368358.01</x:v>
      </x:c>
      <x:c r="L470" t="n">
        <x:v>3724.8</x:v>
      </x:c>
      <x:c r="M470" t="n">
        <x:f>SUM(E470,J470:L470)</x:f>
        <x:v>6915311.71</x:v>
      </x:c>
      <x:c r="N470" t="n">
        <x:v>11750</x:v>
      </x:c>
      <x:c r="O470" t="n">
        <x:f>D470*N470</x:f>
        <x:v>9200250</x:v>
      </x:c>
      <x:c r="P470" s="22" t="n">
        <x:f>IF(O470=0,0,(M470-O470)/O470)</x:f>
        <x:v>-0.24835610880139128</x:v>
      </x:c>
      <x:c r="Q470" s="20" t="n">
        <x:v>45713</x:v>
      </x:c>
    </x:row>
    <x:row r="471" ht="20" customHeight="1">
      <x:c r="A471" t="str">
        <x:v>WO00467</x:v>
      </x:c>
      <x:c r="B471" t="str">
        <x:v>LOT00467</x:v>
      </x:c>
      <x:c r="C471" t="str">
        <x:v>MECH-CON-A</x:v>
      </x:c>
      <x:c r="D471" t="n">
        <x:v>10</x:v>
      </x:c>
      <x:c r="E471" t="n">
        <x:v>549573.51</x:v>
      </x:c>
      <x:c r="F471" t="n">
        <x:v>841.19</x:v>
      </x:c>
      <x:c r="G471" t="n">
        <x:v>2755.44</x:v>
      </x:c>
      <x:c r="H471" t="n">
        <x:v>1835.67</x:v>
      </x:c>
      <x:c r="I471" t="n">
        <x:v>2.82</x:v>
      </x:c>
      <x:c r="J471" t="n">
        <x:v>2860723.9</x:v>
      </x:c>
      <x:c r="K471" t="n">
        <x:v>53109.52</x:v>
      </x:c>
      <x:c r="L471" t="n">
        <x:v>1165293.4</x:v>
      </x:c>
      <x:c r="M471" t="n">
        <x:f>SUM(E471,J471:L471)</x:f>
        <x:v>4628700.33</x:v>
      </x:c>
      <x:c r="N471" t="n">
        <x:v>83000</x:v>
      </x:c>
      <x:c r="O471" t="n">
        <x:f>D471*N471</x:f>
        <x:v>830000</x:v>
      </x:c>
      <x:c r="P471" s="22" t="n">
        <x:f>IF(O471=0,0,(M471-O471)/O471)</x:f>
        <x:v>4.576747385542169</x:v>
      </x:c>
      <x:c r="Q471" s="20" t="n">
        <x:v>45721</x:v>
      </x:c>
    </x:row>
    <x:row r="472" ht="20" customHeight="1">
      <x:c r="A472" t="str">
        <x:v>WO00459</x:v>
      </x:c>
      <x:c r="B472" t="str">
        <x:v>LOT00459</x:v>
      </x:c>
      <x:c r="C472" t="str">
        <x:v>AUTO-BRK-B</x:v>
      </x:c>
      <x:c r="D472" t="n">
        <x:v>2955</x:v>
      </x:c>
      <x:c r="E472" t="n">
        <x:v>3386214.49</x:v>
      </x:c>
      <x:c r="F472" t="n">
        <x:v>15.6</x:v>
      </x:c>
      <x:c r="G472" t="n">
        <x:v>0</x:v>
      </x:c>
      <x:c r="H472" t="n">
        <x:v>2.36</x:v>
      </x:c>
      <x:c r="I472" t="n">
        <x:v>1.27</x:v>
      </x:c>
      <x:c r="J472" t="n">
        <x:v>11272.8</x:v>
      </x:c>
      <x:c r="K472" t="n">
        <x:v>258793.66</x:v>
      </x:c>
      <x:c r="L472" t="n">
        <x:v>6686.6</x:v>
      </x:c>
      <x:c r="M472" t="n">
        <x:f>SUM(E472,J472:L472)</x:f>
        <x:v>3662967.5500000003</x:v>
      </x:c>
      <x:c r="N472" t="n">
        <x:v>1660</x:v>
      </x:c>
      <x:c r="O472" t="n">
        <x:f>D472*N472</x:f>
        <x:v>4905300</x:v>
      </x:c>
      <x:c r="P472" s="22" t="n">
        <x:f>IF(O472=0,0,(M472-O472)/O472)</x:f>
        <x:v>-0.25326329684219107</x:v>
      </x:c>
      <x:c r="Q472" s="20" t="n">
        <x:v>45706</x:v>
      </x:c>
    </x:row>
    <x:row r="473" ht="20" customHeight="1">
      <x:c r="A473" t="str">
        <x:v>WO00470</x:v>
      </x:c>
      <x:c r="B473" t="str">
        <x:v>LOT00470</x:v>
      </x:c>
      <x:c r="C473" t="str">
        <x:v>SEMI-CHB-A</x:v>
      </x:c>
      <x:c r="D473" t="n">
        <x:v>79</x:v>
      </x:c>
      <x:c r="E473" t="n">
        <x:v>3320367.78</x:v>
      </x:c>
      <x:c r="F473" t="n">
        <x:v>2.12</x:v>
      </x:c>
      <x:c r="G473" t="n">
        <x:v>0</x:v>
      </x:c>
      <x:c r="H473" t="n">
        <x:v>0.71</x:v>
      </x:c>
      <x:c r="I473" t="n">
        <x:v>2.79</x:v>
      </x:c>
      <x:c r="J473" t="n">
        <x:v>1718.8</x:v>
      </x:c>
      <x:c r="K473" t="n">
        <x:v>379129.8</x:v>
      </x:c>
      <x:c r="L473" t="n">
        <x:v>1756.2</x:v>
      </x:c>
      <x:c r="M473" t="n">
        <x:f>SUM(E473,J473:L473)</x:f>
        <x:v>3702972.5799999996</x:v>
      </x:c>
      <x:c r="N473" t="n">
        <x:v>70000</x:v>
      </x:c>
      <x:c r="O473" t="n">
        <x:f>D473*N473</x:f>
        <x:v>5530000</x:v>
      </x:c>
      <x:c r="P473" s="22" t="n">
        <x:f>IF(O473=0,0,(M473-O473)/O473)</x:f>
        <x:v>-0.33038470524412306</x:v>
      </x:c>
      <x:c r="Q473" s="20" t="n">
        <x:v>45737</x:v>
      </x:c>
    </x:row>
    <x:row r="474" ht="20" customHeight="1">
      <x:c r="A474" t="str">
        <x:v>WO00458</x:v>
      </x:c>
      <x:c r="B474" t="str">
        <x:v>LOT00458</x:v>
      </x:c>
      <x:c r="C474" t="str">
        <x:v>AUTO-KN-B</x:v>
      </x:c>
      <x:c r="D474" t="n">
        <x:v>2976</x:v>
      </x:c>
      <x:c r="E474" t="n">
        <x:v>5383682.58</x:v>
      </x:c>
      <x:c r="F474" t="n">
        <x:v>16.11</x:v>
      </x:c>
      <x:c r="G474" t="n">
        <x:v>0</x:v>
      </x:c>
      <x:c r="H474" t="n">
        <x:v>2.28</x:v>
      </x:c>
      <x:c r="I474" t="n">
        <x:v>1.3</x:v>
      </x:c>
      <x:c r="J474" t="n">
        <x:v>11565.9</x:v>
      </x:c>
      <x:c r="K474" t="n">
        <x:v>397935.89</x:v>
      </x:c>
      <x:c r="L474" t="n">
        <x:v>6876.6</x:v>
      </x:c>
      <x:c r="M474" t="n">
        <x:f>SUM(E474,J474:L474)</x:f>
        <x:v>5800060.97</x:v>
      </x:c>
      <x:c r="N474" t="n">
        <x:v>2590</x:v>
      </x:c>
      <x:c r="O474" t="n">
        <x:f>D474*N474</x:f>
        <x:v>7707840</x:v>
      </x:c>
      <x:c r="P474" s="22" t="n">
        <x:f>IF(O474=0,0,(M474-O474)/O474)</x:f>
        <x:v>-0.24751149868186162</x:v>
      </x:c>
      <x:c r="Q474" s="20" t="n">
        <x:v>45720</x:v>
      </x:c>
    </x:row>
    <x:row r="475" ht="20" customHeight="1">
      <x:c r="A475" t="str">
        <x:v>WO00492</x:v>
      </x:c>
      <x:c r="B475" t="str">
        <x:v>LOT00492</x:v>
      </x:c>
      <x:c r="C475" t="str">
        <x:v>PM-BRG-B</x:v>
      </x:c>
      <x:c r="D475" t="n">
        <x:v>786</x:v>
      </x:c>
      <x:c r="E475" t="n">
        <x:v>2630683.21</x:v>
      </x:c>
      <x:c r="F475" t="n">
        <x:v>7.45</x:v>
      </x:c>
      <x:c r="G475" t="n">
        <x:v>0</x:v>
      </x:c>
      <x:c r="H475" t="n">
        <x:v>1.61</x:v>
      </x:c>
      <x:c r="I475" t="n">
        <x:v>1.39</x:v>
      </x:c>
      <x:c r="J475" t="n">
        <x:v>5615.3</x:v>
      </x:c>
      <x:c r="K475" t="n">
        <x:v>193512.3</x:v>
      </x:c>
      <x:c r="L475" t="n">
        <x:v>3505.6</x:v>
      </x:c>
      <x:c r="M475" t="n">
        <x:f>SUM(E475,J475:L475)</x:f>
        <x:v>2833316.41</x:v>
      </x:c>
      <x:c r="N475" t="n">
        <x:v>5400</x:v>
      </x:c>
      <x:c r="O475" t="n">
        <x:f>D475*N475</x:f>
        <x:v>4244400</x:v>
      </x:c>
      <x:c r="P475" s="22" t="n">
        <x:f>IF(O475=0,0,(M475-O475)/O475)</x:f>
        <x:v>-0.3324577301856564</x:v>
      </x:c>
      <x:c r="Q475" s="20" t="n">
        <x:v>45717</x:v>
      </x:c>
    </x:row>
    <x:row r="476" ht="20" customHeight="1">
      <x:c r="A476" t="str">
        <x:v>WO00485</x:v>
      </x:c>
      <x:c r="B476" t="str">
        <x:v>LOT00485</x:v>
      </x:c>
      <x:c r="C476" t="str">
        <x:v>AUTO-FL-B</x:v>
      </x:c>
      <x:c r="D476" t="n">
        <x:v>2934</x:v>
      </x:c>
      <x:c r="E476" t="n">
        <x:v>2389197.38</x:v>
      </x:c>
      <x:c r="F476" t="n">
        <x:v>15.43</x:v>
      </x:c>
      <x:c r="G476" t="n">
        <x:v>0</x:v>
      </x:c>
      <x:c r="H476" t="n">
        <x:v>2.2</x:v>
      </x:c>
      <x:c r="I476" t="n">
        <x:v>1.3</x:v>
      </x:c>
      <x:c r="J476" t="n">
        <x:v>11085.5</x:v>
      </x:c>
      <x:c r="K476" t="n">
        <x:v>194655.21</x:v>
      </x:c>
      <x:c r="L476" t="n">
        <x:v>6605.4</x:v>
      </x:c>
      <x:c r="M476" t="n">
        <x:f>SUM(E476,J476:L476)</x:f>
        <x:v>2601543.4899999998</x:v>
      </x:c>
      <x:c r="N476" t="n">
        <x:v>1170</x:v>
      </x:c>
      <x:c r="O476" t="n">
        <x:f>D476*N476</x:f>
        <x:v>3432780</x:v>
      </x:c>
      <x:c r="P476" s="22" t="n">
        <x:f>IF(O476=0,0,(M476-O476)/O476)</x:f>
        <x:v>-0.2421467469514505</x:v>
      </x:c>
      <x:c r="Q476" s="20" t="n">
        <x:v>45711</x:v>
      </x:c>
    </x:row>
    <x:row r="477" ht="20" customHeight="1">
      <x:c r="A477" t="str">
        <x:v>WO00494</x:v>
      </x:c>
      <x:c r="B477" t="str">
        <x:v>LOT00494</x:v>
      </x:c>
      <x:c r="C477" t="str">
        <x:v>PM-SUS-A</x:v>
      </x:c>
      <x:c r="D477" t="n">
        <x:v>590</x:v>
      </x:c>
      <x:c r="E477" t="n">
        <x:v>2528857.82</x:v>
      </x:c>
      <x:c r="F477" t="n">
        <x:v>4.81</x:v>
      </x:c>
      <x:c r="G477" t="n">
        <x:v>0</x:v>
      </x:c>
      <x:c r="H477" t="n">
        <x:v>1.02</x:v>
      </x:c>
      <x:c r="I477" t="n">
        <x:v>1.62</x:v>
      </x:c>
      <x:c r="J477" t="n">
        <x:v>3616.1</x:v>
      </x:c>
      <x:c r="K477" t="n">
        <x:v>333810.04</x:v>
      </x:c>
      <x:c r="L477" t="n">
        <x:v>2477</x:v>
      </x:c>
      <x:c r="M477" t="n">
        <x:f>SUM(E477,J477:L477)</x:f>
        <x:v>2868760.96</x:v>
      </x:c>
      <x:c r="N477" t="n">
        <x:v>7500</x:v>
      </x:c>
      <x:c r="O477" t="n">
        <x:f>D477*N477</x:f>
        <x:v>4425000</x:v>
      </x:c>
      <x:c r="P477" s="22" t="n">
        <x:f>IF(O477=0,0,(M477-O477)/O477)</x:f>
        <x:v>-0.3516924384180791</x:v>
      </x:c>
      <x:c r="Q477" s="20" t="n">
        <x:v>45723</x:v>
      </x:c>
    </x:row>
    <x:row r="478" ht="20" customHeight="1">
      <x:c r="A478" t="str">
        <x:v>WO00495</x:v>
      </x:c>
      <x:c r="B478" t="str">
        <x:v>LOT00495</x:v>
      </x:c>
      <x:c r="C478" t="str">
        <x:v>PM-SUS-A</x:v>
      </x:c>
      <x:c r="D478" t="n">
        <x:v>584</x:v>
      </x:c>
      <x:c r="E478" t="n">
        <x:v>2554363.44</x:v>
      </x:c>
      <x:c r="F478" t="n">
        <x:v>5.13</x:v>
      </x:c>
      <x:c r="G478" t="n">
        <x:v>0</x:v>
      </x:c>
      <x:c r="H478" t="n">
        <x:v>1.1</x:v>
      </x:c>
      <x:c r="I478" t="n">
        <x:v>1.77</x:v>
      </x:c>
      <x:c r="J478" t="n">
        <x:v>3862.5</x:v>
      </x:c>
      <x:c r="K478" t="n">
        <x:v>327899.91</x:v>
      </x:c>
      <x:c r="L478" t="n">
        <x:v>2656.4</x:v>
      </x:c>
      <x:c r="M478" t="n">
        <x:f>SUM(E478,J478:L478)</x:f>
        <x:v>2888782.25</x:v>
      </x:c>
      <x:c r="N478" t="n">
        <x:v>7500</x:v>
      </x:c>
      <x:c r="O478" t="n">
        <x:f>D478*N478</x:f>
        <x:v>4380000</x:v>
      </x:c>
      <x:c r="P478" s="22" t="n">
        <x:f>IF(O478=0,0,(M478-O478)/O478)</x:f>
        <x:v>-0.34046067351598175</x:v>
      </x:c>
      <x:c r="Q478" s="20" t="n">
        <x:v>45723</x:v>
      </x:c>
    </x:row>
    <x:row r="479" ht="20" customHeight="1">
      <x:c r="A479" t="str">
        <x:v>WO00484</x:v>
      </x:c>
      <x:c r="B479" t="str">
        <x:v>LOT00484</x:v>
      </x:c>
      <x:c r="C479" t="str">
        <x:v>AUTO-BS-A</x:v>
      </x:c>
      <x:c r="D479" t="n">
        <x:v>6923</x:v>
      </x:c>
      <x:c r="E479" t="n">
        <x:v>2267869.05</x:v>
      </x:c>
      <x:c r="F479" t="n">
        <x:v>38.04</x:v>
      </x:c>
      <x:c r="G479" t="n">
        <x:v>0</x:v>
      </x:c>
      <x:c r="H479" t="n">
        <x:v>6.51</x:v>
      </x:c>
      <x:c r="I479" t="n">
        <x:v>1.12</x:v>
      </x:c>
      <x:c r="J479" t="n">
        <x:v>27850.8</x:v>
      </x:c>
      <x:c r="K479" t="n">
        <x:v>210748.55</x:v>
      </x:c>
      <x:c r="L479" t="n">
        <x:v>15832.8</x:v>
      </x:c>
      <x:c r="M479" t="n">
        <x:f>SUM(E479,J479:L479)</x:f>
        <x:v>2522301.1999999997</x:v>
      </x:c>
      <x:c r="N479" t="n">
        <x:v>550</x:v>
      </x:c>
      <x:c r="O479" t="n">
        <x:f>D479*N479</x:f>
        <x:v>3807650</x:v>
      </x:c>
      <x:c r="P479" s="22" t="n">
        <x:f>IF(O479=0,0,(M479-O479)/O479)</x:f>
        <x:v>-0.337570102294066</x:v>
      </x:c>
      <x:c r="Q479" s="20" t="n">
        <x:v>45722</x:v>
      </x:c>
    </x:row>
    <x:row r="480" ht="20" customHeight="1">
      <x:c r="A480" t="str">
        <x:v>WO00487</x:v>
      </x:c>
      <x:c r="B480" t="str">
        <x:v>LOT00487</x:v>
      </x:c>
      <x:c r="C480" t="str">
        <x:v>AUTO-LG-A</x:v>
      </x:c>
      <x:c r="D480" t="n">
        <x:v>6387</x:v>
      </x:c>
      <x:c r="E480" t="n">
        <x:v>3271753.02</x:v>
      </x:c>
      <x:c r="F480" t="n">
        <x:v>35.45</x:v>
      </x:c>
      <x:c r="G480" t="n">
        <x:v>0</x:v>
      </x:c>
      <x:c r="H480" t="n">
        <x:v>5.62</x:v>
      </x:c>
      <x:c r="I480" t="n">
        <x:v>1.17</x:v>
      </x:c>
      <x:c r="J480" t="n">
        <x:v>25740.1</x:v>
      </x:c>
      <x:c r="K480" t="n">
        <x:v>273808.83</x:v>
      </x:c>
      <x:c r="L480" t="n">
        <x:v>14721.2</x:v>
      </x:c>
      <x:c r="M480" t="n">
        <x:f>SUM(E480,J480:L480)</x:f>
        <x:v>3586023.15</x:v>
      </x:c>
      <x:c r="N480" t="n">
        <x:v>840</x:v>
      </x:c>
      <x:c r="O480" t="n">
        <x:f>D480*N480</x:f>
        <x:v>5365080</x:v>
      </x:c>
      <x:c r="P480" s="22" t="n">
        <x:f>IF(O480=0,0,(M480-O480)/O480)</x:f>
        <x:v>-0.33159931445570245</x:v>
      </x:c>
      <x:c r="Q480" s="20" t="n">
        <x:v>45723</x:v>
      </x:c>
    </x:row>
    <x:row r="481" ht="20" customHeight="1">
      <x:c r="A481" t="str">
        <x:v>WO00488</x:v>
      </x:c>
      <x:c r="B481" t="str">
        <x:v>LOT00488</x:v>
      </x:c>
      <x:c r="C481" t="str">
        <x:v>AUTO-LG-A</x:v>
      </x:c>
      <x:c r="D481" t="n">
        <x:v>6415</x:v>
      </x:c>
      <x:c r="E481" t="n">
        <x:v>3332330.01</x:v>
      </x:c>
      <x:c r="F481" t="n">
        <x:v>35.52</x:v>
      </x:c>
      <x:c r="G481" t="n">
        <x:v>0</x:v>
      </x:c>
      <x:c r="H481" t="n">
        <x:v>5.19</x:v>
      </x:c>
      <x:c r="I481" t="n">
        <x:v>1.14</x:v>
      </x:c>
      <x:c r="J481" t="n">
        <x:v>25579.2</x:v>
      </x:c>
      <x:c r="K481" t="n">
        <x:v>237965.23</x:v>
      </x:c>
      <x:c r="L481" t="n">
        <x:v>14670</x:v>
      </x:c>
      <x:c r="M481" t="n">
        <x:f>SUM(E481,J481:L481)</x:f>
        <x:v>3610544.44</x:v>
      </x:c>
      <x:c r="N481" t="n">
        <x:v>840</x:v>
      </x:c>
      <x:c r="O481" t="n">
        <x:f>D481*N481</x:f>
        <x:v>5388600</x:v>
      </x:c>
      <x:c r="P481" s="22" t="n">
        <x:f>IF(O481=0,0,(M481-O481)/O481)</x:f>
        <x:v>-0.32996614333964297</x:v>
      </x:c>
      <x:c r="Q481" s="20" t="n">
        <x:v>45720</x:v>
      </x:c>
    </x:row>
    <x:row r="482" ht="20" customHeight="1">
      <x:c r="A482" t="str">
        <x:v>WO00493</x:v>
      </x:c>
      <x:c r="B482" t="str">
        <x:v>LOT00493</x:v>
      </x:c>
      <x:c r="C482" t="str">
        <x:v>PM-VAC-A</x:v>
      </x:c>
      <x:c r="D482" t="n">
        <x:v>295</x:v>
      </x:c>
      <x:c r="E482" t="n">
        <x:v>1873044.56</x:v>
      </x:c>
      <x:c r="F482" t="n">
        <x:v>2.8</x:v>
      </x:c>
      <x:c r="G482" t="n">
        <x:v>0</x:v>
      </x:c>
      <x:c r="H482" t="n">
        <x:v>0.57</x:v>
      </x:c>
      <x:c r="I482" t="n">
        <x:v>1.81</x:v>
      </x:c>
      <x:c r="J482" t="n">
        <x:v>2093.6</x:v>
      </x:c>
      <x:c r="K482" t="n">
        <x:v>250343.46</x:v>
      </x:c>
      <x:c r="L482" t="n">
        <x:v>1698.2</x:v>
      </x:c>
      <x:c r="M482" t="n">
        <x:f>SUM(E482,J482:L482)</x:f>
        <x:v>2127179.8200000003</x:v>
      </x:c>
      <x:c r="N482" t="n">
        <x:v>10800</x:v>
      </x:c>
      <x:c r="O482" t="n">
        <x:f>D482*N482</x:f>
        <x:v>3186000</x:v>
      </x:c>
      <x:c r="P482" s="22" t="n">
        <x:f>IF(O482=0,0,(M482-O482)/O482)</x:f>
        <x:v>-0.33233527306967975</x:v>
      </x:c>
      <x:c r="Q482" s="20" t="n">
        <x:v>45737</x:v>
      </x:c>
    </x:row>
    <x:row r="483" ht="20" customHeight="1">
      <x:c r="A483" t="str">
        <x:v>WO00486</x:v>
      </x:c>
      <x:c r="B483" t="str">
        <x:v>LOT00486</x:v>
      </x:c>
      <x:c r="C483" t="str">
        <x:v>AUTO-BRK-B</x:v>
      </x:c>
      <x:c r="D483" t="n">
        <x:v>4949</x:v>
      </x:c>
      <x:c r="E483" t="n">
        <x:v>5409825.18</x:v>
      </x:c>
      <x:c r="F483" t="n">
        <x:v>27.92</x:v>
      </x:c>
      <x:c r="G483" t="n">
        <x:v>0</x:v>
      </x:c>
      <x:c r="H483" t="n">
        <x:v>3.66</x:v>
      </x:c>
      <x:c r="I483" t="n">
        <x:v>1.27</x:v>
      </x:c>
      <x:c r="J483" t="n">
        <x:v>19904.8</x:v>
      </x:c>
      <x:c r="K483" t="n">
        <x:v>422231.12</x:v>
      </x:c>
      <x:c r="L483" t="n">
        <x:v>11576.2</x:v>
      </x:c>
      <x:c r="M483" t="n">
        <x:f>SUM(E483,J483:L483)</x:f>
        <x:v>5863537.3</x:v>
      </x:c>
      <x:c r="N483" t="n">
        <x:v>1660</x:v>
      </x:c>
      <x:c r="O483" t="n">
        <x:f>D483*N483</x:f>
        <x:v>8215340</x:v>
      </x:c>
      <x:c r="P483" s="22" t="n">
        <x:f>IF(O483=0,0,(M483-O483)/O483)</x:f>
        <x:v>-0.28626967356189764</x:v>
      </x:c>
      <x:c r="Q483" s="20" t="n">
        <x:v>45731</x:v>
      </x:c>
    </x:row>
    <x:row r="484" ht="20" customHeight="1">
      <x:c r="A484" t="str">
        <x:v>WO00491</x:v>
      </x:c>
      <x:c r="B484" t="str">
        <x:v>LOT00491</x:v>
      </x:c>
      <x:c r="C484" t="str">
        <x:v>AUTO-KN-B</x:v>
      </x:c>
      <x:c r="D484" t="n">
        <x:v>2982</x:v>
      </x:c>
      <x:c r="E484" t="n">
        <x:v>5124480.56</x:v>
      </x:c>
      <x:c r="F484" t="n">
        <x:v>15.38</x:v>
      </x:c>
      <x:c r="G484" t="n">
        <x:v>0</x:v>
      </x:c>
      <x:c r="H484" t="n">
        <x:v>2.25</x:v>
      </x:c>
      <x:c r="I484" t="n">
        <x:v>1.18</x:v>
      </x:c>
      <x:c r="J484" t="n">
        <x:v>11077</x:v>
      </x:c>
      <x:c r="K484" t="n">
        <x:v>410685.37</x:v>
      </x:c>
      <x:c r="L484" t="n">
        <x:v>6558.4</x:v>
      </x:c>
      <x:c r="M484" t="n">
        <x:f>SUM(E484,J484:L484)</x:f>
        <x:v>5552801.33</x:v>
      </x:c>
      <x:c r="N484" t="n">
        <x:v>2590</x:v>
      </x:c>
      <x:c r="O484" t="n">
        <x:f>D484*N484</x:f>
        <x:v>7723380</x:v>
      </x:c>
      <x:c r="P484" s="22" t="n">
        <x:f>IF(O484=0,0,(M484-O484)/O484)</x:f>
        <x:v>-0.28103999414764</x:v>
      </x:c>
      <x:c r="Q484" s="20" t="n">
        <x:v>45735</x:v>
      </x:c>
    </x:row>
    <x:row r="485" ht="20" customHeight="1">
      <x:c r="A485" t="str">
        <x:v>WO00496</x:v>
      </x:c>
      <x:c r="B485" t="str">
        <x:v>LOT00496</x:v>
      </x:c>
      <x:c r="C485" t="str">
        <x:v>SEMI-CHB-A</x:v>
      </x:c>
      <x:c r="D485" t="n">
        <x:v>59</x:v>
      </x:c>
      <x:c r="E485" t="n">
        <x:v>2480409.98</x:v>
      </x:c>
      <x:c r="F485" t="n">
        <x:v>1.37</x:v>
      </x:c>
      <x:c r="G485" t="n">
        <x:v>0</x:v>
      </x:c>
      <x:c r="H485" t="n">
        <x:v>0.6</x:v>
      </x:c>
      <x:c r="I485" t="n">
        <x:v>3.12</x:v>
      </x:c>
      <x:c r="J485" t="n">
        <x:v>1178.5</x:v>
      </x:c>
      <x:c r="K485" t="n">
        <x:v>330973.63</x:v>
      </x:c>
      <x:c r="L485" t="n">
        <x:v>1552.6</x:v>
      </x:c>
      <x:c r="M485" t="n">
        <x:f>SUM(E485,J485:L485)</x:f>
        <x:v>2814114.71</x:v>
      </x:c>
      <x:c r="N485" t="n">
        <x:v>70000</x:v>
      </x:c>
      <x:c r="O485" t="n">
        <x:f>D485*N485</x:f>
        <x:v>4130000</x:v>
      </x:c>
      <x:c r="P485" s="22" t="n">
        <x:f>IF(O485=0,0,(M485-O485)/O485)</x:f>
        <x:v>-0.31861629297820826</x:v>
      </x:c>
      <x:c r="Q485" s="20" t="n">
        <x:v>45760</x:v>
      </x:c>
    </x:row>
    <x:row r="486" ht="20" customHeight="1">
      <x:c r="A486" t="str">
        <x:v>WO00478</x:v>
      </x:c>
      <x:c r="B486" t="str">
        <x:v>LOT00478</x:v>
      </x:c>
      <x:c r="C486" t="str">
        <x:v>AUTO-BS-A</x:v>
      </x:c>
      <x:c r="D486" t="n">
        <x:v>2945</x:v>
      </x:c>
      <x:c r="E486" t="n">
        <x:v>972256.57</x:v>
      </x:c>
      <x:c r="F486" t="n">
        <x:v>17.5</x:v>
      </x:c>
      <x:c r="G486" t="n">
        <x:v>0</x:v>
      </x:c>
      <x:c r="H486" t="n">
        <x:v>2.59</x:v>
      </x:c>
      <x:c r="I486" t="n">
        <x:v>1.1</x:v>
      </x:c>
      <x:c r="J486" t="n">
        <x:v>12618.2</x:v>
      </x:c>
      <x:c r="K486" t="n">
        <x:v>83301.72</x:v>
      </x:c>
      <x:c r="L486" t="n">
        <x:v>7394.4</x:v>
      </x:c>
      <x:c r="M486" t="n">
        <x:f>SUM(E486,J486:L486)</x:f>
        <x:v>1075570.89</x:v>
      </x:c>
      <x:c r="N486" t="n">
        <x:v>550</x:v>
      </x:c>
      <x:c r="O486" t="n">
        <x:f>D486*N486</x:f>
        <x:v>1619750</x:v>
      </x:c>
      <x:c r="P486" s="22" t="n">
        <x:f>IF(O486=0,0,(M486-O486)/O486)</x:f>
        <x:v>-0.33596487729587904</x:v>
      </x:c>
      <x:c r="Q486" s="20" t="n">
        <x:v>45725</x:v>
      </x:c>
    </x:row>
    <x:row r="487" ht="20" customHeight="1">
      <x:c r="A487" t="str">
        <x:v>WO00479</x:v>
      </x:c>
      <x:c r="B487" t="str">
        <x:v>LOT00479</x:v>
      </x:c>
      <x:c r="C487" t="str">
        <x:v>PM-SUS-B</x:v>
      </x:c>
      <x:c r="D487" t="n">
        <x:v>593</x:v>
      </x:c>
      <x:c r="E487" t="n">
        <x:v>4303692.89</x:v>
      </x:c>
      <x:c r="F487" t="n">
        <x:v>5.63</x:v>
      </x:c>
      <x:c r="G487" t="n">
        <x:v>0</x:v>
      </x:c>
      <x:c r="H487" t="n">
        <x:v>1.07</x:v>
      </x:c>
      <x:c r="I487" t="n">
        <x:v>1.61</x:v>
      </x:c>
      <x:c r="J487" t="n">
        <x:v>4173.1</x:v>
      </x:c>
      <x:c r="K487" t="n">
        <x:v>459760.14</x:v>
      </x:c>
      <x:c r="L487" t="n">
        <x:v>2793.6</x:v>
      </x:c>
      <x:c r="M487" t="n">
        <x:f>SUM(E487,J487:L487)</x:f>
        <x:v>4770419.7299999995</x:v>
      </x:c>
      <x:c r="N487" t="n">
        <x:v>11100</x:v>
      </x:c>
      <x:c r="O487" t="n">
        <x:f>D487*N487</x:f>
        <x:v>6582300</x:v>
      </x:c>
      <x:c r="P487" s="22" t="n">
        <x:f>IF(O487=0,0,(M487-O487)/O487)</x:f>
        <x:v>-0.27526552572808904</x:v>
      </x:c>
      <x:c r="Q487" s="20" t="n">
        <x:v>45744</x:v>
      </x:c>
    </x:row>
    <x:row r="488" ht="20" customHeight="1">
      <x:c r="A488" t="str">
        <x:v>WO00480</x:v>
      </x:c>
      <x:c r="B488" t="str">
        <x:v>LOT00480</x:v>
      </x:c>
      <x:c r="C488" t="str">
        <x:v>PM-SUS-B</x:v>
      </x:c>
      <x:c r="D488" t="n">
        <x:v>591</x:v>
      </x:c>
      <x:c r="E488" t="n">
        <x:v>4237710</x:v>
      </x:c>
      <x:c r="F488" t="n">
        <x:v>4.91</x:v>
      </x:c>
      <x:c r="G488" t="n">
        <x:v>0</x:v>
      </x:c>
      <x:c r="H488" t="n">
        <x:v>1.04</x:v>
      </x:c>
      <x:c r="I488" t="n">
        <x:v>1.53</x:v>
      </x:c>
      <x:c r="J488" t="n">
        <x:v>3690.7</x:v>
      </x:c>
      <x:c r="K488" t="n">
        <x:v>454945.29</x:v>
      </x:c>
      <x:c r="L488" t="n">
        <x:v>2491.2</x:v>
      </x:c>
      <x:c r="M488" t="n">
        <x:f>SUM(E488,J488:L488)</x:f>
        <x:v>4698837.19</x:v>
      </x:c>
      <x:c r="N488" t="n">
        <x:v>11100</x:v>
      </x:c>
      <x:c r="O488" t="n">
        <x:f>D488*N488</x:f>
        <x:v>6560100</x:v>
      </x:c>
      <x:c r="P488" s="22" t="n">
        <x:f>IF(O488=0,0,(M488-O488)/O488)</x:f>
        <x:v>-0.28372476181765516</x:v>
      </x:c>
      <x:c r="Q488" s="20" t="n">
        <x:v>45743</x:v>
      </x:c>
    </x:row>
    <x:row r="489" ht="20" customHeight="1">
      <x:c r="A489" t="str">
        <x:v>WO00481</x:v>
      </x:c>
      <x:c r="B489" t="str">
        <x:v>LOT00481</x:v>
      </x:c>
      <x:c r="C489" t="str">
        <x:v>SEMI-WH-B</x:v>
      </x:c>
      <x:c r="D489" t="n">
        <x:v>59</x:v>
      </x:c>
      <x:c r="E489" t="n">
        <x:v>4622078.56</x:v>
      </x:c>
      <x:c r="F489" t="n">
        <x:v>1.64</x:v>
      </x:c>
      <x:c r="G489" t="n">
        <x:v>0</x:v>
      </x:c>
      <x:c r="H489" t="n">
        <x:v>0.55</x:v>
      </x:c>
      <x:c r="I489" t="n">
        <x:v>3.11</x:v>
      </x:c>
      <x:c r="J489" t="n">
        <x:v>1330</x:v>
      </x:c>
      <x:c r="K489" t="n">
        <x:v>578895.23</x:v>
      </x:c>
      <x:c r="L489" t="n">
        <x:v>1644.2</x:v>
      </x:c>
      <x:c r="M489" t="n">
        <x:f>SUM(E489,J489:L489)</x:f>
        <x:v>5203947.989999999</x:v>
      </x:c>
      <x:c r="N489" t="n">
        <x:v>130000</x:v>
      </x:c>
      <x:c r="O489" t="n">
        <x:f>D489*N489</x:f>
        <x:v>7670000</x:v>
      </x:c>
      <x:c r="P489" s="22" t="n">
        <x:f>IF(O489=0,0,(M489-O489)/O489)</x:f>
        <x:v>-0.3215191668839636</x:v>
      </x:c>
      <x:c r="Q489" s="20" t="n">
        <x:v>45774</x:v>
      </x:c>
    </x:row>
    <x:row r="490" ht="20" customHeight="1">
      <x:c r="A490" t="str">
        <x:v>WO00482</x:v>
      </x:c>
      <x:c r="B490" t="str">
        <x:v>LOT00482</x:v>
      </x:c>
      <x:c r="C490" t="str">
        <x:v>SEMI-WH-B</x:v>
      </x:c>
      <x:c r="D490" t="n">
        <x:v>58</x:v>
      </x:c>
      <x:c r="E490" t="n">
        <x:v>4925415.91</x:v>
      </x:c>
      <x:c r="F490" t="n">
        <x:v>1.63</x:v>
      </x:c>
      <x:c r="G490" t="n">
        <x:v>0</x:v>
      </x:c>
      <x:c r="H490" t="n">
        <x:v>0.56</x:v>
      </x:c>
      <x:c r="I490" t="n">
        <x:v>2.73</x:v>
      </x:c>
      <x:c r="J490" t="n">
        <x:v>1328.3</x:v>
      </x:c>
      <x:c r="K490" t="n">
        <x:v>637589.6</x:v>
      </x:c>
      <x:c r="L490" t="n">
        <x:v>1528</x:v>
      </x:c>
      <x:c r="M490" t="n">
        <x:f>SUM(E490,J490:L490)</x:f>
        <x:v>5565861.8100000005</x:v>
      </x:c>
      <x:c r="N490" t="n">
        <x:v>130000</x:v>
      </x:c>
      <x:c r="O490" t="n">
        <x:f>D490*N490</x:f>
        <x:v>7540000</x:v>
      </x:c>
      <x:c r="P490" s="22" t="n">
        <x:f>IF(O490=0,0,(M490-O490)/O490)</x:f>
        <x:v>-0.26182204111405827</x:v>
      </x:c>
      <x:c r="Q490" s="20" t="n">
        <x:v>45774</x:v>
      </x:c>
    </x:row>
    <x:row r="491" ht="20" customHeight="1">
      <x:c r="A491" t="str">
        <x:v>WO00476</x:v>
      </x:c>
      <x:c r="B491" t="str">
        <x:v>LOT00476</x:v>
      </x:c>
      <x:c r="C491" t="str">
        <x:v>MECH-STG-A</x:v>
      </x:c>
      <x:c r="D491" t="n">
        <x:v>10</x:v>
      </x:c>
      <x:c r="E491" t="n">
        <x:v>676398.62</x:v>
      </x:c>
      <x:c r="F491" t="n">
        <x:v>723.32</x:v>
      </x:c>
      <x:c r="G491" t="n">
        <x:v>2367.52</x:v>
      </x:c>
      <x:c r="H491" t="n">
        <x:v>1936.6</x:v>
      </x:c>
      <x:c r="I491" t="n">
        <x:v>2.99</x:v>
      </x:c>
      <x:c r="J491" t="n">
        <x:v>2630836.4</x:v>
      </x:c>
      <x:c r="K491" t="n">
        <x:v>62327.77</x:v>
      </x:c>
      <x:c r="L491" t="n">
        <x:v>1059118.6</x:v>
      </x:c>
      <x:c r="M491" t="n">
        <x:f>SUM(E491,J491:L491)</x:f>
        <x:v>4428681.39</x:v>
      </x:c>
      <x:c r="N491" t="n">
        <x:v>104000</x:v>
      </x:c>
      <x:c r="O491" t="n">
        <x:f>D491*N491</x:f>
        <x:v>1040000</x:v>
      </x:c>
      <x:c r="P491" s="22" t="n">
        <x:f>IF(O491=0,0,(M491-O491)/O491)</x:f>
        <x:v>3.2583474903846152</x:v>
      </x:c>
      <x:c r="Q491" s="20" t="n">
        <x:v>45760</x:v>
      </x:c>
    </x:row>
    <x:row r="492" ht="20" customHeight="1">
      <x:c r="A492" t="str">
        <x:v>WO00474</x:v>
      </x:c>
      <x:c r="B492" t="str">
        <x:v>LOT00474</x:v>
      </x:c>
      <x:c r="C492" t="str">
        <x:v>MECH-STG-A</x:v>
      </x:c>
      <x:c r="D492" t="n">
        <x:v>15</x:v>
      </x:c>
      <x:c r="E492" t="n">
        <x:v>988883.01</x:v>
      </x:c>
      <x:c r="F492" t="n">
        <x:v>1011.31</x:v>
      </x:c>
      <x:c r="G492" t="n">
        <x:v>3555.48</x:v>
      </x:c>
      <x:c r="H492" t="n">
        <x:v>2596.88</x:v>
      </x:c>
      <x:c r="I492" t="n">
        <x:v>2.91</x:v>
      </x:c>
      <x:c r="J492" t="n">
        <x:v>3752703.5</x:v>
      </x:c>
      <x:c r="K492" t="n">
        <x:v>83078.26</x:v>
      </x:c>
      <x:c r="L492" t="n">
        <x:v>1511767.6</x:v>
      </x:c>
      <x:c r="M492" t="n">
        <x:f>SUM(E492,J492:L492)</x:f>
        <x:v>6336432.369999999</x:v>
      </x:c>
      <x:c r="N492" t="n">
        <x:v>104000</x:v>
      </x:c>
      <x:c r="O492" t="n">
        <x:f>D492*N492</x:f>
        <x:v>1560000</x:v>
      </x:c>
      <x:c r="P492" s="22" t="n">
        <x:f>IF(O492=0,0,(M492-O492)/O492)</x:f>
        <x:v>3.0618156217948713</x:v>
      </x:c>
      <x:c r="Q492" s="20" t="n">
        <x:v>45762</x:v>
      </x:c>
    </x:row>
    <x:row r="493" ht="20" customHeight="1">
      <x:c r="A493" t="str">
        <x:v>WO00475</x:v>
      </x:c>
      <x:c r="B493" t="str">
        <x:v>LOT00475</x:v>
      </x:c>
      <x:c r="C493" t="str">
        <x:v>MECH-STG-A</x:v>
      </x:c>
      <x:c r="D493" t="n">
        <x:v>15</x:v>
      </x:c>
      <x:c r="E493" t="n">
        <x:v>1007180.02</x:v>
      </x:c>
      <x:c r="F493" t="n">
        <x:v>1037.98</x:v>
      </x:c>
      <x:c r="G493" t="n">
        <x:v>3888.39</x:v>
      </x:c>
      <x:c r="H493" t="n">
        <x:v>2565.93</x:v>
      </x:c>
      <x:c r="I493" t="n">
        <x:v>3.19</x:v>
      </x:c>
      <x:c r="J493" t="n">
        <x:v>3928296.2</x:v>
      </x:c>
      <x:c r="K493" t="n">
        <x:v>98322.92</x:v>
      </x:c>
      <x:c r="L493" t="n">
        <x:v>1583616.2</x:v>
      </x:c>
      <x:c r="M493" t="n">
        <x:f>SUM(E493,J493:L493)</x:f>
        <x:v>6617415.34</x:v>
      </x:c>
      <x:c r="N493" t="n">
        <x:v>104000</x:v>
      </x:c>
      <x:c r="O493" t="n">
        <x:f>D493*N493</x:f>
        <x:v>1560000</x:v>
      </x:c>
      <x:c r="P493" s="22" t="n">
        <x:f>IF(O493=0,0,(M493-O493)/O493)</x:f>
        <x:v>3.24193291025641</x:v>
      </x:c>
      <x:c r="Q493" s="20" t="n">
        <x:v>45758</x:v>
      </x:c>
    </x:row>
    <x:row r="494" ht="20" customHeight="1">
      <x:c r="A494" t="str">
        <x:v>WO00497</x:v>
      </x:c>
      <x:c r="B494" t="str">
        <x:v>LOT00497</x:v>
      </x:c>
      <x:c r="C494" t="str">
        <x:v>MECH-STG-B</x:v>
      </x:c>
      <x:c r="D494" t="n">
        <x:v>20</x:v>
      </x:c>
      <x:c r="E494" t="n">
        <x:v>1995815.44</x:v>
      </x:c>
      <x:c r="F494" t="n">
        <x:v>1341.44</x:v>
      </x:c>
      <x:c r="G494" t="n">
        <x:v>5510.62</x:v>
      </x:c>
      <x:c r="H494" t="n">
        <x:v>3275.2</x:v>
      </x:c>
      <x:c r="I494" t="n">
        <x:v>3.12</x:v>
      </x:c>
      <x:c r="J494" t="n">
        <x:v>5309554.4</x:v>
      </x:c>
      <x:c r="K494" t="n">
        <x:v>197627.38</x:v>
      </x:c>
      <x:c r="L494" t="n">
        <x:v>2136839.2</x:v>
      </x:c>
      <x:c r="M494" t="n">
        <x:f>SUM(E494,J494:L494)</x:f>
        <x:v>9639836.42</x:v>
      </x:c>
      <x:c r="N494" t="n">
        <x:v>151000</x:v>
      </x:c>
      <x:c r="O494" t="n">
        <x:f>D494*N494</x:f>
        <x:v>3020000</x:v>
      </x:c>
      <x:c r="P494" s="22" t="n">
        <x:f>IF(O494=0,0,(M494-O494)/O494)</x:f>
        <x:v>2.1919988145695366</x:v>
      </x:c>
      <x:c r="Q494" s="20" t="n">
        <x:v>45778</x:v>
      </x:c>
    </x:row>
    <x:row r="495" ht="20" customHeight="1">
      <x:c r="A495" t="str">
        <x:v>WO00477</x:v>
      </x:c>
      <x:c r="B495" t="str">
        <x:v>LOT00477</x:v>
      </x:c>
      <x:c r="C495" t="str">
        <x:v>AUTO-BS-A</x:v>
      </x:c>
      <x:c r="D495" t="n">
        <x:v>4928</x:v>
      </x:c>
      <x:c r="E495" t="n">
        <x:v>1649855.6</x:v>
      </x:c>
      <x:c r="F495" t="n">
        <x:v>25.31</x:v>
      </x:c>
      <x:c r="G495" t="n">
        <x:v>0</x:v>
      </x:c>
      <x:c r="H495" t="n">
        <x:v>4.5</x:v>
      </x:c>
      <x:c r="I495" t="n">
        <x:v>1.17</x:v>
      </x:c>
      <x:c r="J495" t="n">
        <x:v>18611.5</x:v>
      </x:c>
      <x:c r="K495" t="n">
        <x:v>157296.67</x:v>
      </x:c>
      <x:c r="L495" t="n">
        <x:v>10688.8</x:v>
      </x:c>
      <x:c r="M495" t="n">
        <x:f>SUM(E495,J495:L495)</x:f>
        <x:v>1836452.57</x:v>
      </x:c>
      <x:c r="N495" t="n">
        <x:v>550</x:v>
      </x:c>
      <x:c r="O495" t="n">
        <x:f>D495*N495</x:f>
        <x:v>2710400</x:v>
      </x:c>
      <x:c r="P495" s="22" t="n">
        <x:f>IF(O495=0,0,(M495-O495)/O495)</x:f>
        <x:v>-0.32244223361865404</x:v>
      </x:c>
      <x:c r="Q495" s="20" t="n">
        <x:v>45736</x:v>
      </x:c>
    </x:row>
    <x:row r="496" ht="20" customHeight="1">
      <x:c r="A496" t="str">
        <x:v>WO00483</x:v>
      </x:c>
      <x:c r="B496" t="str">
        <x:v>LOT00483</x:v>
      </x:c>
      <x:c r="C496" t="str">
        <x:v>MECH-CON-B</x:v>
      </x:c>
      <x:c r="D496" t="n">
        <x:v>20</x:v>
      </x:c>
      <x:c r="E496" t="n">
        <x:v>1553921.03</x:v>
      </x:c>
      <x:c r="F496" t="n">
        <x:v>1424.53</x:v>
      </x:c>
      <x:c r="G496" t="n">
        <x:v>4528.14</x:v>
      </x:c>
      <x:c r="H496" t="n">
        <x:v>3323.04</x:v>
      </x:c>
      <x:c r="I496" t="n">
        <x:v>2.66</x:v>
      </x:c>
      <x:c r="J496" t="n">
        <x:v>4875636.5</x:v>
      </x:c>
      <x:c r="K496" t="n">
        <x:v>140748.65</x:v>
      </x:c>
      <x:c r="L496" t="n">
        <x:v>1979433.8</x:v>
      </x:c>
      <x:c r="M496" t="n">
        <x:f>SUM(E496,J496:L496)</x:f>
        <x:v>8549739.98</x:v>
      </x:c>
      <x:c r="N496" t="n">
        <x:v>119000</x:v>
      </x:c>
      <x:c r="O496" t="n">
        <x:f>D496*N496</x:f>
        <x:v>2380000</x:v>
      </x:c>
      <x:c r="P496" s="22" t="n">
        <x:f>IF(O496=0,0,(M496-O496)/O496)</x:f>
        <x:v>2.5923277226890757</x:v>
      </x:c>
      <x:c r="Q496" s="20" t="n">
        <x:v>45763</x:v>
      </x:c>
    </x:row>
    <x:row r="497" ht="20" customHeight="1">
      <x:c r="A497" t="str">
        <x:v>WO00490</x:v>
      </x:c>
      <x:c r="B497" t="str">
        <x:v>LOT00490</x:v>
      </x:c>
      <x:c r="C497" t="str">
        <x:v>PM-SUS-B</x:v>
      </x:c>
      <x:c r="D497" t="n">
        <x:v>782</x:v>
      </x:c>
      <x:c r="E497" t="n">
        <x:v>5471619.34</x:v>
      </x:c>
      <x:c r="F497" t="n">
        <x:v>7.23</x:v>
      </x:c>
      <x:c r="G497" t="n">
        <x:v>0</x:v>
      </x:c>
      <x:c r="H497" t="n">
        <x:v>1.61</x:v>
      </x:c>
      <x:c r="I497" t="n">
        <x:v>1.68</x:v>
      </x:c>
      <x:c r="J497" t="n">
        <x:v>5472.3</x:v>
      </x:c>
      <x:c r="K497" t="n">
        <x:v>612618.59</x:v>
      </x:c>
      <x:c r="L497" t="n">
        <x:v>3509</x:v>
      </x:c>
      <x:c r="M497" t="n">
        <x:f>SUM(E497,J497:L497)</x:f>
        <x:v>6093219.2299999995</x:v>
      </x:c>
      <x:c r="N497" t="n">
        <x:v>11100</x:v>
      </x:c>
      <x:c r="O497" t="n">
        <x:f>D497*N497</x:f>
        <x:v>8680200</x:v>
      </x:c>
      <x:c r="P497" s="22" t="n">
        <x:f>IF(O497=0,0,(M497-O497)/O497)</x:f>
        <x:v>-0.2980323921107809</x:v>
      </x:c>
      <x:c r="Q497" s="20" t="n">
        <x:v>45749</x:v>
      </x:c>
    </x:row>
    <x:row r="498" ht="20" customHeight="1">
      <x:c r="A498" t="str">
        <x:v>WO00529</x:v>
      </x:c>
      <x:c r="B498" t="str">
        <x:v>LOT00529</x:v>
      </x:c>
      <x:c r="C498" t="str">
        <x:v>PM-BRG-B</x:v>
      </x:c>
      <x:c r="D498" t="n">
        <x:v>779</x:v>
      </x:c>
      <x:c r="E498" t="n">
        <x:v>2545082.35</x:v>
      </x:c>
      <x:c r="F498" t="n">
        <x:v>6.8</x:v>
      </x:c>
      <x:c r="G498" t="n">
        <x:v>0</x:v>
      </x:c>
      <x:c r="H498" t="n">
        <x:v>1.4</x:v>
      </x:c>
      <x:c r="I498" t="n">
        <x:v>1.6</x:v>
      </x:c>
      <x:c r="J498" t="n">
        <x:v>5092</x:v>
      </x:c>
      <x:c r="K498" t="n">
        <x:v>207028.97</x:v>
      </x:c>
      <x:c r="L498" t="n">
        <x:v>3288</x:v>
      </x:c>
      <x:c r="M498" t="n">
        <x:f>SUM(E498,J498:L498)</x:f>
        <x:v>2760491.3200000003</x:v>
      </x:c>
      <x:c r="N498" t="n">
        <x:v>5400</x:v>
      </x:c>
      <x:c r="O498" t="n">
        <x:f>D498*N498</x:f>
        <x:v>4206600</x:v>
      </x:c>
      <x:c r="P498" s="22" t="n">
        <x:f>IF(O498=0,0,(M498-O498)/O498)</x:f>
        <x:v>-0.34377137831027427</x:v>
      </x:c>
      <x:c r="Q498" s="20" t="n">
        <x:v>45748</x:v>
      </x:c>
    </x:row>
    <x:row r="499" ht="20" customHeight="1">
      <x:c r="A499" t="str">
        <x:v>WO00530</x:v>
      </x:c>
      <x:c r="B499" t="str">
        <x:v>LOT00530</x:v>
      </x:c>
      <x:c r="C499" t="str">
        <x:v>PM-BRG-B</x:v>
      </x:c>
      <x:c r="D499" t="n">
        <x:v>782</x:v>
      </x:c>
      <x:c r="E499" t="n">
        <x:v>2401655.06</x:v>
      </x:c>
      <x:c r="F499" t="n">
        <x:v>7.13</x:v>
      </x:c>
      <x:c r="G499" t="n">
        <x:v>0</x:v>
      </x:c>
      <x:c r="H499" t="n">
        <x:v>1.37</x:v>
      </x:c>
      <x:c r="I499" t="n">
        <x:v>1.44</x:v>
      </x:c>
      <x:c r="J499" t="n">
        <x:v>5292.1</x:v>
      </x:c>
      <x:c r="K499" t="n">
        <x:v>194061.05</x:v>
      </x:c>
      <x:c r="L499" t="n">
        <x:v>3360.6</x:v>
      </x:c>
      <x:c r="M499" t="n">
        <x:f>SUM(E499,J499:L499)</x:f>
        <x:v>2604368.81</x:v>
      </x:c>
      <x:c r="N499" t="n">
        <x:v>5400</x:v>
      </x:c>
      <x:c r="O499" t="n">
        <x:f>D499*N499</x:f>
        <x:v>4222800</x:v>
      </x:c>
      <x:c r="P499" s="22" t="n">
        <x:f>IF(O499=0,0,(M499-O499)/O499)</x:f>
        <x:v>-0.38326020412996115</x:v>
      </x:c>
      <x:c r="Q499" s="20" t="n">
        <x:v>45745</x:v>
      </x:c>
    </x:row>
    <x:row r="500" ht="20" customHeight="1">
      <x:c r="A500" t="str">
        <x:v>WO00498</x:v>
      </x:c>
      <x:c r="B500" t="str">
        <x:v>LOT00498</x:v>
      </x:c>
      <x:c r="C500" t="str">
        <x:v>PM-ALB-B</x:v>
      </x:c>
      <x:c r="D500" t="n">
        <x:v>295</x:v>
      </x:c>
      <x:c r="E500" t="n">
        <x:v>2458464.84</x:v>
      </x:c>
      <x:c r="F500" t="n">
        <x:v>2.54</x:v>
      </x:c>
      <x:c r="G500" t="n">
        <x:v>0</x:v>
      </x:c>
      <x:c r="H500" t="n">
        <x:v>0.49</x:v>
      </x:c>
      <x:c r="I500" t="n">
        <x:v>1.85</x:v>
      </x:c>
      <x:c r="J500" t="n">
        <x:v>1886.2</x:v>
      </x:c>
      <x:c r="K500" t="n">
        <x:v>140934.6</x:v>
      </x:c>
      <x:c r="L500" t="n">
        <x:v>1598.6</x:v>
      </x:c>
      <x:c r="M500" t="n">
        <x:f>SUM(E500,J500:L500)</x:f>
        <x:v>2602884.2399999998</x:v>
      </x:c>
      <x:c r="N500" t="n">
        <x:v>11750</x:v>
      </x:c>
      <x:c r="O500" t="n">
        <x:f>D500*N500</x:f>
        <x:v>3466250</x:v>
      </x:c>
      <x:c r="P500" s="22" t="n">
        <x:f>IF(O500=0,0,(M500-O500)/O500)</x:f>
        <x:v>-0.249077752614497</x:v>
      </x:c>
      <x:c r="Q500" s="20" t="n">
        <x:v>45752</x:v>
      </x:c>
    </x:row>
    <x:row r="501" ht="20" customHeight="1">
      <x:c r="A501" t="str">
        <x:v>WO00489</x:v>
      </x:c>
      <x:c r="B501" t="str">
        <x:v>LOT00489</x:v>
      </x:c>
      <x:c r="C501" t="str">
        <x:v>AUTO-LG-B</x:v>
      </x:c>
      <x:c r="D501" t="n">
        <x:v>6941</x:v>
      </x:c>
      <x:c r="E501" t="n">
        <x:v>4089545.9</x:v>
      </x:c>
      <x:c r="F501" t="n">
        <x:v>32.83</x:v>
      </x:c>
      <x:c r="G501" t="n">
        <x:v>0</x:v>
      </x:c>
      <x:c r="H501" t="n">
        <x:v>5.2</x:v>
      </x:c>
      <x:c r="I501" t="n">
        <x:v>1.25</x:v>
      </x:c>
      <x:c r="J501" t="n">
        <x:v>23835.5</x:v>
      </x:c>
      <x:c r="K501" t="n">
        <x:v>287845.78</x:v>
      </x:c>
      <x:c r="L501" t="n">
        <x:v>13682.4</x:v>
      </x:c>
      <x:c r="M501" t="n">
        <x:f>SUM(E501,J501:L501)</x:f>
        <x:v>4414909.58</x:v>
      </x:c>
      <x:c r="N501" t="n">
        <x:v>925</x:v>
      </x:c>
      <x:c r="O501" t="n">
        <x:f>D501*N501</x:f>
        <x:v>6420425</x:v>
      </x:c>
      <x:c r="P501" s="22" t="n">
        <x:f>IF(O501=0,0,(M501-O501)/O501)</x:f>
        <x:v>-0.3123649010774209</x:v>
      </x:c>
      <x:c r="Q501" s="20" t="n">
        <x:v>45743</x:v>
      </x:c>
    </x:row>
    <x:row r="502" ht="20" customHeight="1">
      <x:c r="A502" t="str">
        <x:v>WO00519</x:v>
      </x:c>
      <x:c r="B502" t="str">
        <x:v>LOT00519</x:v>
      </x:c>
      <x:c r="C502" t="str">
        <x:v>MECH-STG-A</x:v>
      </x:c>
      <x:c r="D502" t="n">
        <x:v>17</x:v>
      </x:c>
      <x:c r="E502" t="n">
        <x:v>1226565.68</x:v>
      </x:c>
      <x:c r="F502" t="n">
        <x:v>1226.36</x:v>
      </x:c>
      <x:c r="G502" t="n">
        <x:v>4764.45</x:v>
      </x:c>
      <x:c r="H502" t="n">
        <x:v>2875.55</x:v>
      </x:c>
      <x:c r="I502" t="n">
        <x:v>2.95</x:v>
      </x:c>
      <x:c r="J502" t="n">
        <x:v>4654912</x:v>
      </x:c>
      <x:c r="K502" t="n">
        <x:v>97761.28</x:v>
      </x:c>
      <x:c r="L502" t="n">
        <x:v>1879879.8</x:v>
      </x:c>
      <x:c r="M502" t="n">
        <x:f>SUM(E502,J502:L502)</x:f>
        <x:v>7859118.76</x:v>
      </x:c>
      <x:c r="N502" t="n">
        <x:v>104000</x:v>
      </x:c>
      <x:c r="O502" t="n">
        <x:f>D502*N502</x:f>
        <x:v>1768000</x:v>
      </x:c>
      <x:c r="P502" s="22" t="n">
        <x:f>IF(O502=0,0,(M502-O502)/O502)</x:f>
        <x:v>3.445202918552036</x:v>
      </x:c>
      <x:c r="Q502" s="20" t="n">
        <x:v>45772</x:v>
      </x:c>
    </x:row>
    <x:row r="503" ht="20" customHeight="1">
      <x:c r="A503" t="str">
        <x:v>WO00505</x:v>
      </x:c>
      <x:c r="B503" t="str">
        <x:v>LOT00505</x:v>
      </x:c>
      <x:c r="C503" t="str">
        <x:v>AUTO-FL-B</x:v>
      </x:c>
      <x:c r="D503" t="n">
        <x:v>6899</x:v>
      </x:c>
      <x:c r="E503" t="n">
        <x:v>5331571.41</x:v>
      </x:c>
      <x:c r="F503" t="n">
        <x:v>36.13</x:v>
      </x:c>
      <x:c r="G503" t="n">
        <x:v>0</x:v>
      </x:c>
      <x:c r="H503" t="n">
        <x:v>6.03</x:v>
      </x:c>
      <x:c r="I503" t="n">
        <x:v>1.24</x:v>
      </x:c>
      <x:c r="J503" t="n">
        <x:v>26378.9</x:v>
      </x:c>
      <x:c r="K503" t="n">
        <x:v>388293.05</x:v>
      </x:c>
      <x:c r="L503" t="n">
        <x:v>15066.2</x:v>
      </x:c>
      <x:c r="M503" t="n">
        <x:f>SUM(E503,J503:L503)</x:f>
        <x:v>5761309.5600000005</x:v>
      </x:c>
      <x:c r="N503" t="n">
        <x:v>1170</x:v>
      </x:c>
      <x:c r="O503" t="n">
        <x:f>D503*N503</x:f>
        <x:v>8071830</x:v>
      </x:c>
      <x:c r="P503" s="22" t="n">
        <x:f>IF(O503=0,0,(M503-O503)/O503)</x:f>
        <x:v>-0.2862449333050869</x:v>
      </x:c>
      <x:c r="Q503" s="20" t="n">
        <x:v>45746</x:v>
      </x:c>
    </x:row>
    <x:row r="504" ht="20" customHeight="1">
      <x:c r="A504" t="str">
        <x:v>WO00506</x:v>
      </x:c>
      <x:c r="B504" t="str">
        <x:v>LOT00506</x:v>
      </x:c>
      <x:c r="C504" t="str">
        <x:v>MECH-CON-A</x:v>
      </x:c>
      <x:c r="D504" t="n">
        <x:v>17</x:v>
      </x:c>
      <x:c r="E504" t="n">
        <x:v>942514.83</x:v>
      </x:c>
      <x:c r="F504" t="n">
        <x:v>1186.42</x:v>
      </x:c>
      <x:c r="G504" t="n">
        <x:v>4037.31</x:v>
      </x:c>
      <x:c r="H504" t="n">
        <x:v>3269.07</x:v>
      </x:c>
      <x:c r="I504" t="n">
        <x:v>3.15</x:v>
      </x:c>
      <x:c r="J504" t="n">
        <x:v>4439727.8</x:v>
      </x:c>
      <x:c r="K504" t="n">
        <x:v>90623.62</x:v>
      </x:c>
      <x:c r="L504" t="n">
        <x:v>1782297.8</x:v>
      </x:c>
      <x:c r="M504" t="n">
        <x:f>SUM(E504,J504:L504)</x:f>
        <x:v>7255164.05</x:v>
      </x:c>
      <x:c r="N504" t="n">
        <x:v>83000</x:v>
      </x:c>
      <x:c r="O504" t="n">
        <x:f>D504*N504</x:f>
        <x:v>1411000</x:v>
      </x:c>
      <x:c r="P504" s="22" t="n">
        <x:f>IF(O504=0,0,(M504-O504)/O504)</x:f>
        <x:v>4.141859709425939</x:v>
      </x:c>
      <x:c r="Q504" s="20" t="n">
        <x:v>45770</x:v>
      </x:c>
    </x:row>
    <x:row r="505" ht="20" customHeight="1">
      <x:c r="A505" t="str">
        <x:v>WO00507</x:v>
      </x:c>
      <x:c r="B505" t="str">
        <x:v>LOT00507</x:v>
      </x:c>
      <x:c r="C505" t="str">
        <x:v>MECH-CON-A</x:v>
      </x:c>
      <x:c r="D505" t="n">
        <x:v>17</x:v>
      </x:c>
      <x:c r="E505" t="n">
        <x:v>935221.3</x:v>
      </x:c>
      <x:c r="F505" t="n">
        <x:v>1137.08</x:v>
      </x:c>
      <x:c r="G505" t="n">
        <x:v>4566.86</x:v>
      </x:c>
      <x:c r="H505" t="n">
        <x:v>2956.05</x:v>
      </x:c>
      <x:c r="I505" t="n">
        <x:v>2.85</x:v>
      </x:c>
      <x:c r="J505" t="n">
        <x:v>4532773.2</x:v>
      </x:c>
      <x:c r="K505" t="n">
        <x:v>94906.43</x:v>
      </x:c>
      <x:c r="L505" t="n">
        <x:v>1819285.4</x:v>
      </x:c>
      <x:c r="M505" t="n">
        <x:f>SUM(E505,J505:L505)</x:f>
        <x:v>7382186.329999999</x:v>
      </x:c>
      <x:c r="N505" t="n">
        <x:v>83000</x:v>
      </x:c>
      <x:c r="O505" t="n">
        <x:f>D505*N505</x:f>
        <x:v>1411000</x:v>
      </x:c>
      <x:c r="P505" s="22" t="n">
        <x:f>IF(O505=0,0,(M505-O505)/O505)</x:f>
        <x:v>4.231882586817859</x:v>
      </x:c>
      <x:c r="Q505" s="20" t="n">
        <x:v>45765</x:v>
      </x:c>
    </x:row>
    <x:row r="506" ht="20" customHeight="1">
      <x:c r="A506" t="str">
        <x:v>WO00508</x:v>
      </x:c>
      <x:c r="B506" t="str">
        <x:v>LOT00508</x:v>
      </x:c>
      <x:c r="C506" t="str">
        <x:v>MECH-CON-A</x:v>
      </x:c>
      <x:c r="D506" t="n">
        <x:v>16</x:v>
      </x:c>
      <x:c r="E506" t="n">
        <x:v>805545.58</x:v>
      </x:c>
      <x:c r="F506" t="n">
        <x:v>1357.42</x:v>
      </x:c>
      <x:c r="G506" t="n">
        <x:v>3451.22</x:v>
      </x:c>
      <x:c r="H506" t="n">
        <x:v>2979.49</x:v>
      </x:c>
      <x:c r="I506" t="n">
        <x:v>2.95</x:v>
      </x:c>
      <x:c r="J506" t="n">
        <x:v>4107112.6</x:v>
      </x:c>
      <x:c r="K506" t="n">
        <x:v>74123.91</x:v>
      </x:c>
      <x:c r="L506" t="n">
        <x:v>1683667</x:v>
      </x:c>
      <x:c r="M506" t="n">
        <x:f>SUM(E506,J506:L506)</x:f>
        <x:v>6670449.09</x:v>
      </x:c>
      <x:c r="N506" t="n">
        <x:v>83000</x:v>
      </x:c>
      <x:c r="O506" t="n">
        <x:f>D506*N506</x:f>
        <x:v>1328000</x:v>
      </x:c>
      <x:c r="P506" s="22" t="n">
        <x:f>IF(O506=0,0,(M506-O506)/O506)</x:f>
        <x:v>4.022928531626506</x:v>
      </x:c>
      <x:c r="Q506" s="20" t="n">
        <x:v>45767</x:v>
      </x:c>
    </x:row>
    <x:row r="507" ht="20" customHeight="1">
      <x:c r="A507" t="str">
        <x:v>WO00518</x:v>
      </x:c>
      <x:c r="B507" t="str">
        <x:v>LOT00518</x:v>
      </x:c>
      <x:c r="C507" t="str">
        <x:v>MECH-STG-A</x:v>
      </x:c>
      <x:c r="D507" t="n">
        <x:v>17</x:v>
      </x:c>
      <x:c r="E507" t="n">
        <x:v>1204196.44</x:v>
      </x:c>
      <x:c r="F507" t="n">
        <x:v>1444.27</x:v>
      </x:c>
      <x:c r="G507" t="n">
        <x:v>4779.01</x:v>
      </x:c>
      <x:c r="H507" t="n">
        <x:v>2861</x:v>
      </x:c>
      <x:c r="I507" t="n">
        <x:v>2.8</x:v>
      </x:c>
      <x:c r="J507" t="n">
        <x:v>4797140.7</x:v>
      </x:c>
      <x:c r="K507" t="n">
        <x:v>102298.79</x:v>
      </x:c>
      <x:c r="L507" t="n">
        <x:v>1963224.6</x:v>
      </x:c>
      <x:c r="M507" t="n">
        <x:f>SUM(E507,J507:L507)</x:f>
        <x:v>8066860.529999999</x:v>
      </x:c>
      <x:c r="N507" t="n">
        <x:v>104000</x:v>
      </x:c>
      <x:c r="O507" t="n">
        <x:f>D507*N507</x:f>
        <x:v>1768000</x:v>
      </x:c>
      <x:c r="P507" s="22" t="n">
        <x:f>IF(O507=0,0,(M507-O507)/O507)</x:f>
        <x:v>3.5627039196832575</x:v>
      </x:c>
      <x:c r="Q507" s="20" t="n">
        <x:v>45773</x:v>
      </x:c>
    </x:row>
    <x:row r="508" ht="20" customHeight="1">
      <x:c r="A508" t="str">
        <x:v>WO00520</x:v>
      </x:c>
      <x:c r="B508" t="str">
        <x:v>LOT00520</x:v>
      </x:c>
      <x:c r="C508" t="str">
        <x:v>MECH-STG-A</x:v>
      </x:c>
      <x:c r="D508" t="n">
        <x:v>16</x:v>
      </x:c>
      <x:c r="E508" t="n">
        <x:v>1059016.51</x:v>
      </x:c>
      <x:c r="F508" t="n">
        <x:v>1184.33</x:v>
      </x:c>
      <x:c r="G508" t="n">
        <x:v>3552.1</x:v>
      </x:c>
      <x:c r="H508" t="n">
        <x:v>2883.07</x:v>
      </x:c>
      <x:c r="I508" t="n">
        <x:v>2.81</x:v>
      </x:c>
      <x:c r="J508" t="n">
        <x:v>4000780.1</x:v>
      </x:c>
      <x:c r="K508" t="n">
        <x:v>90186.9</x:v>
      </x:c>
      <x:c r="L508" t="n">
        <x:v>1622599.6</x:v>
      </x:c>
      <x:c r="M508" t="n">
        <x:f>SUM(E508,J508:L508)</x:f>
        <x:v>6772583.109999999</x:v>
      </x:c>
      <x:c r="N508" t="n">
        <x:v>104000</x:v>
      </x:c>
      <x:c r="O508" t="n">
        <x:f>D508*N508</x:f>
        <x:v>1664000</x:v>
      </x:c>
      <x:c r="P508" s="22" t="n">
        <x:f>IF(O508=0,0,(M508-O508)/O508)</x:f>
        <x:v>3.0700619651442302</x:v>
      </x:c>
      <x:c r="Q508" s="20" t="n">
        <x:v>45772</x:v>
      </x:c>
    </x:row>
    <x:row r="509" ht="20" customHeight="1">
      <x:c r="A509" t="str">
        <x:v>WO00533</x:v>
      </x:c>
      <x:c r="B509" t="str">
        <x:v>LOT00533</x:v>
      </x:c>
      <x:c r="C509" t="str">
        <x:v>AUTO-MH-A</x:v>
      </x:c>
      <x:c r="D509" t="n">
        <x:v>4924</x:v>
      </x:c>
      <x:c r="E509" t="n">
        <x:v>7153577.73</x:v>
      </x:c>
      <x:c r="F509" t="n">
        <x:v>25.22</x:v>
      </x:c>
      <x:c r="G509" t="n">
        <x:v>0</x:v>
      </x:c>
      <x:c r="H509" t="n">
        <x:v>4.51</x:v>
      </x:c>
      <x:c r="I509" t="n">
        <x:v>1.32</x:v>
      </x:c>
      <x:c r="J509" t="n">
        <x:v>18557.8</x:v>
      </x:c>
      <x:c r="K509" t="n">
        <x:v>375567.63</x:v>
      </x:c>
      <x:c r="L509" t="n">
        <x:v>10701.2</x:v>
      </x:c>
      <x:c r="M509" t="n">
        <x:f>SUM(E509,J509:L509)</x:f>
        <x:v>7558404.36</x:v>
      </x:c>
      <x:c r="N509" t="n">
        <x:v>1970</x:v>
      </x:c>
      <x:c r="O509" t="n">
        <x:f>D509*N509</x:f>
        <x:v>9700280</x:v>
      </x:c>
      <x:c r="P509" s="22" t="n">
        <x:f>IF(O509=0,0,(M509-O509)/O509)</x:f>
        <x:v>-0.22080554788109205</x:v>
      </x:c>
      <x:c r="Q509" s="20" t="n">
        <x:v>45746</x:v>
      </x:c>
    </x:row>
    <x:row r="510" ht="20" customHeight="1">
      <x:c r="A510" t="str">
        <x:v>WO00534</x:v>
      </x:c>
      <x:c r="B510" t="str">
        <x:v>LOT00534</x:v>
      </x:c>
      <x:c r="C510" t="str">
        <x:v>AUTO-MH-A</x:v>
      </x:c>
      <x:c r="D510" t="n">
        <x:v>4974</x:v>
      </x:c>
      <x:c r="E510" t="n">
        <x:v>6731794.98</x:v>
      </x:c>
      <x:c r="F510" t="n">
        <x:v>26.04</x:v>
      </x:c>
      <x:c r="G510" t="n">
        <x:v>0</x:v>
      </x:c>
      <x:c r="H510" t="n">
        <x:v>3.75</x:v>
      </x:c>
      <x:c r="I510" t="n">
        <x:v>1.3</x:v>
      </x:c>
      <x:c r="J510" t="n">
        <x:v>18726</x:v>
      </x:c>
      <x:c r="K510" t="n">
        <x:v>392793.36</x:v>
      </x:c>
      <x:c r="L510" t="n">
        <x:v>10885.2</x:v>
      </x:c>
      <x:c r="M510" t="n">
        <x:f>SUM(E510,J510:L510)</x:f>
        <x:v>7154199.54</x:v>
      </x:c>
      <x:c r="N510" t="n">
        <x:v>1970</x:v>
      </x:c>
      <x:c r="O510" t="n">
        <x:f>D510*N510</x:f>
        <x:v>9798780</x:v>
      </x:c>
      <x:c r="P510" s="22" t="n">
        <x:f>IF(O510=0,0,(M510-O510)/O510)</x:f>
        <x:v>-0.26988874737467317</x:v>
      </x:c>
      <x:c r="Q510" s="20" t="n">
        <x:v>45747</x:v>
      </x:c>
    </x:row>
    <x:row r="511" ht="20" customHeight="1">
      <x:c r="A511" t="str">
        <x:v>WO00536</x:v>
      </x:c>
      <x:c r="B511" t="str">
        <x:v>LOT00536</x:v>
      </x:c>
      <x:c r="C511" t="str">
        <x:v>AUTO-BS-A</x:v>
      </x:c>
      <x:c r="D511" t="n">
        <x:v>6956</x:v>
      </x:c>
      <x:c r="E511" t="n">
        <x:v>2329219.82</x:v>
      </x:c>
      <x:c r="F511" t="n">
        <x:v>36.87</x:v>
      </x:c>
      <x:c r="G511" t="n">
        <x:v>0</x:v>
      </x:c>
      <x:c r="H511" t="n">
        <x:v>6.05</x:v>
      </x:c>
      <x:c r="I511" t="n">
        <x:v>1.16</x:v>
      </x:c>
      <x:c r="J511" t="n">
        <x:v>26869.5</x:v>
      </x:c>
      <x:c r="K511" t="n">
        <x:v>201507.49</x:v>
      </x:c>
      <x:c r="L511" t="n">
        <x:v>15326.6</x:v>
      </x:c>
      <x:c r="M511" t="n">
        <x:f>SUM(E511,J511:L511)</x:f>
        <x:v>2572923.4099999997</x:v>
      </x:c>
      <x:c r="N511" t="n">
        <x:v>550</x:v>
      </x:c>
      <x:c r="O511" t="n">
        <x:f>D511*N511</x:f>
        <x:v>3825800</x:v>
      </x:c>
      <x:c r="P511" s="22" t="n">
        <x:f>IF(O511=0,0,(M511-O511)/O511)</x:f>
        <x:v>-0.3274809425479639</x:v>
      </x:c>
      <x:c r="Q511" s="20" t="n">
        <x:v>45740</x:v>
      </x:c>
    </x:row>
    <x:row r="512" ht="20" customHeight="1">
      <x:c r="A512" t="str">
        <x:v>WO00526</x:v>
      </x:c>
      <x:c r="B512" t="str">
        <x:v>LOT00526</x:v>
      </x:c>
      <x:c r="C512" t="str">
        <x:v>PM-SUS-A</x:v>
      </x:c>
      <x:c r="D512" t="n">
        <x:v>493</x:v>
      </x:c>
      <x:c r="E512" t="n">
        <x:v>2258160.47</x:v>
      </x:c>
      <x:c r="F512" t="n">
        <x:v>4.43</x:v>
      </x:c>
      <x:c r="G512" t="n">
        <x:v>0</x:v>
      </x:c>
      <x:c r="H512" t="n">
        <x:v>1.03</x:v>
      </x:c>
      <x:c r="I512" t="n">
        <x:v>1.73</x:v>
      </x:c>
      <x:c r="J512" t="n">
        <x:v>3373.9</x:v>
      </x:c>
      <x:c r="K512" t="n">
        <x:v>243049.22</x:v>
      </x:c>
      <x:c r="L512" t="n">
        <x:v>2367.2</x:v>
      </x:c>
      <x:c r="M512" t="n">
        <x:f>SUM(E512,J512:L512)</x:f>
        <x:v>2506950.79</x:v>
      </x:c>
      <x:c r="N512" t="n">
        <x:v>7500</x:v>
      </x:c>
      <x:c r="O512" t="n">
        <x:f>D512*N512</x:f>
        <x:v>3697500</x:v>
      </x:c>
      <x:c r="P512" s="22" t="n">
        <x:f>IF(O512=0,0,(M512-O512)/O512)</x:f>
        <x:v>-0.32198761595672754</x:v>
      </x:c>
      <x:c r="Q512" s="20" t="n">
        <x:v>45753</x:v>
      </x:c>
    </x:row>
    <x:row r="513" ht="20" customHeight="1">
      <x:c r="A513" t="str">
        <x:v>WO00535</x:v>
      </x:c>
      <x:c r="B513" t="str">
        <x:v>LOT00535</x:v>
      </x:c>
      <x:c r="C513" t="str">
        <x:v>AUTO-BRK-A</x:v>
      </x:c>
      <x:c r="D513" t="n">
        <x:v>4925</x:v>
      </x:c>
      <x:c r="E513" t="n">
        <x:v>4325870.94</x:v>
      </x:c>
      <x:c r="F513" t="n">
        <x:v>27.12</x:v>
      </x:c>
      <x:c r="G513" t="n">
        <x:v>0</x:v>
      </x:c>
      <x:c r="H513" t="n">
        <x:v>3.65</x:v>
      </x:c>
      <x:c r="I513" t="n">
        <x:v>1.28</x:v>
      </x:c>
      <x:c r="J513" t="n">
        <x:v>19380</x:v>
      </x:c>
      <x:c r="K513" t="n">
        <x:v>445335.35</x:v>
      </x:c>
      <x:c r="L513" t="n">
        <x:v>11273.6</x:v>
      </x:c>
      <x:c r="M513" t="n">
        <x:f>SUM(E513,J513:L513)</x:f>
        <x:v>4801859.890000001</x:v>
      </x:c>
      <x:c r="N513" t="n">
        <x:v>1380</x:v>
      </x:c>
      <x:c r="O513" t="n">
        <x:f>D513*N513</x:f>
        <x:v>6796500</x:v>
      </x:c>
      <x:c r="P513" s="22" t="n">
        <x:f>IF(O513=0,0,(M513-O513)/O513)</x:f>
        <x:v>-0.2934804840726844</x:v>
      </x:c>
      <x:c r="Q513" s="20" t="n">
        <x:v>45749</x:v>
      </x:c>
    </x:row>
    <x:row r="514" ht="20" customHeight="1">
      <x:c r="A514" t="str">
        <x:v>WO00509</x:v>
      </x:c>
      <x:c r="B514" t="str">
        <x:v>LOT00509</x:v>
      </x:c>
      <x:c r="C514" t="str">
        <x:v>AUTO-BS-A</x:v>
      </x:c>
      <x:c r="D514" t="n">
        <x:v>4913</x:v>
      </x:c>
      <x:c r="E514" t="n">
        <x:v>1618371.27</x:v>
      </x:c>
      <x:c r="F514" t="n">
        <x:v>23.02</x:v>
      </x:c>
      <x:c r="G514" t="n">
        <x:v>0</x:v>
      </x:c>
      <x:c r="H514" t="n">
        <x:v>3.67</x:v>
      </x:c>
      <x:c r="I514" t="n">
        <x:v>1.16</x:v>
      </x:c>
      <x:c r="J514" t="n">
        <x:v>16724.6</x:v>
      </x:c>
      <x:c r="K514" t="n">
        <x:v>146370.86</x:v>
      </x:c>
      <x:c r="L514" t="n">
        <x:v>9682.8</x:v>
      </x:c>
      <x:c r="M514" t="n">
        <x:f>SUM(E514,J514:L514)</x:f>
        <x:v>1791149.53</x:v>
      </x:c>
      <x:c r="N514" t="n">
        <x:v>550</x:v>
      </x:c>
      <x:c r="O514" t="n">
        <x:f>D514*N514</x:f>
        <x:v>2702150</x:v>
      </x:c>
      <x:c r="P514" s="22" t="n">
        <x:f>IF(O514=0,0,(M514-O514)/O514)</x:f>
        <x:v>-0.3371391188498048</x:v>
      </x:c>
      <x:c r="Q514" s="20" t="n">
        <x:v>45750</x:v>
      </x:c>
    </x:row>
    <x:row r="515" ht="20" customHeight="1">
      <x:c r="A515" t="str">
        <x:v>WO00510</x:v>
      </x:c>
      <x:c r="B515" t="str">
        <x:v>LOT00510</x:v>
      </x:c>
      <x:c r="C515" t="str">
        <x:v>AUTO-BS-A</x:v>
      </x:c>
      <x:c r="D515" t="n">
        <x:v>4949</x:v>
      </x:c>
      <x:c r="E515" t="n">
        <x:v>1593029.63</x:v>
      </x:c>
      <x:c r="F515" t="n">
        <x:v>26.87</x:v>
      </x:c>
      <x:c r="G515" t="n">
        <x:v>0</x:v>
      </x:c>
      <x:c r="H515" t="n">
        <x:v>3.96</x:v>
      </x:c>
      <x:c r="I515" t="n">
        <x:v>1.26</x:v>
      </x:c>
      <x:c r="J515" t="n">
        <x:v>19366.3</x:v>
      </x:c>
      <x:c r="K515" t="n">
        <x:v>145490.4</x:v>
      </x:c>
      <x:c r="L515" t="n">
        <x:v>11222.2</x:v>
      </x:c>
      <x:c r="M515" t="n">
        <x:f>SUM(E515,J515:L515)</x:f>
        <x:v>1769108.5299999998</x:v>
      </x:c>
      <x:c r="N515" t="n">
        <x:v>550</x:v>
      </x:c>
      <x:c r="O515" t="n">
        <x:f>D515*N515</x:f>
        <x:v>2721950</x:v>
      </x:c>
      <x:c r="P515" s="22" t="n">
        <x:f>IF(O515=0,0,(M515-O515)/O515)</x:f>
        <x:v>-0.35005840298315555</x:v>
      </x:c>
      <x:c r="Q515" s="20" t="n">
        <x:v>45747</x:v>
      </x:c>
    </x:row>
    <x:row r="516" ht="20" customHeight="1">
      <x:c r="A516" t="str">
        <x:v>WO00502</x:v>
      </x:c>
      <x:c r="B516" t="str">
        <x:v>LOT00502</x:v>
      </x:c>
      <x:c r="C516" t="str">
        <x:v>AUTO-LG-A</x:v>
      </x:c>
      <x:c r="D516" t="n">
        <x:v>6490</x:v>
      </x:c>
      <x:c r="E516" t="n">
        <x:v>3377882.72</x:v>
      </x:c>
      <x:c r="F516" t="n">
        <x:v>32.75</x:v>
      </x:c>
      <x:c r="G516" t="n">
        <x:v>0</x:v>
      </x:c>
      <x:c r="H516" t="n">
        <x:v>5.65</x:v>
      </x:c>
      <x:c r="I516" t="n">
        <x:v>1</x:v>
      </x:c>
      <x:c r="J516" t="n">
        <x:v>23999.5</x:v>
      </x:c>
      <x:c r="K516" t="n">
        <x:v>276699.89</x:v>
      </x:c>
      <x:c r="L516" t="n">
        <x:v>13649</x:v>
      </x:c>
      <x:c r="M516" t="n">
        <x:f>SUM(E516,J516:L516)</x:f>
        <x:v>3692231.1100000003</x:v>
      </x:c>
      <x:c r="N516" t="n">
        <x:v>840</x:v>
      </x:c>
      <x:c r="O516" t="n">
        <x:f>D516*N516</x:f>
        <x:v>5451600</x:v>
      </x:c>
      <x:c r="P516" s="22" t="n">
        <x:f>IF(O516=0,0,(M516-O516)/O516)</x:f>
        <x:v>-0.32272523479345505</x:v>
      </x:c>
      <x:c r="Q516" s="20" t="n">
        <x:v>45755</x:v>
      </x:c>
    </x:row>
    <x:row r="517" ht="20" customHeight="1">
      <x:c r="A517" t="str">
        <x:v>WO00503</x:v>
      </x:c>
      <x:c r="B517" t="str">
        <x:v>LOT00503</x:v>
      </x:c>
      <x:c r="C517" t="str">
        <x:v>AUTO-LG-A</x:v>
      </x:c>
      <x:c r="D517" t="n">
        <x:v>6450</x:v>
      </x:c>
      <x:c r="E517" t="n">
        <x:v>3390742.34</x:v>
      </x:c>
      <x:c r="F517" t="n">
        <x:v>34.01</x:v>
      </x:c>
      <x:c r="G517" t="n">
        <x:v>0</x:v>
      </x:c>
      <x:c r="H517" t="n">
        <x:v>5.35</x:v>
      </x:c>
      <x:c r="I517" t="n">
        <x:v>1.14</x:v>
      </x:c>
      <x:c r="J517" t="n">
        <x:v>24674.5</x:v>
      </x:c>
      <x:c r="K517" t="n">
        <x:v>235657.54</x:v>
      </x:c>
      <x:c r="L517" t="n">
        <x:v>14121.8</x:v>
      </x:c>
      <x:c r="M517" t="n">
        <x:f>SUM(E517,J517:L517)</x:f>
        <x:v>3665196.1799999997</x:v>
      </x:c>
      <x:c r="N517" t="n">
        <x:v>840</x:v>
      </x:c>
      <x:c r="O517" t="n">
        <x:f>D517*N517</x:f>
        <x:v>5418000</x:v>
      </x:c>
      <x:c r="P517" s="22" t="n">
        <x:f>IF(O517=0,0,(M517-O517)/O517)</x:f>
        <x:v>-0.32351491694352164</x:v>
      </x:c>
      <x:c r="Q517" s="20" t="n">
        <x:v>45754</x:v>
      </x:c>
    </x:row>
    <x:row r="518" ht="20" customHeight="1">
      <x:c r="A518" t="str">
        <x:v>WO00517</x:v>
      </x:c>
      <x:c r="B518" t="str">
        <x:v>LOT00517</x:v>
      </x:c>
      <x:c r="C518" t="str">
        <x:v>AUTO-FL-A</x:v>
      </x:c>
      <x:c r="D518" t="n">
        <x:v>6892</x:v>
      </x:c>
      <x:c r="E518" t="n">
        <x:v>4216233.5</x:v>
      </x:c>
      <x:c r="F518" t="n">
        <x:v>33.86</x:v>
      </x:c>
      <x:c r="G518" t="n">
        <x:v>0</x:v>
      </x:c>
      <x:c r="H518" t="n">
        <x:v>5.83</x:v>
      </x:c>
      <x:c r="I518" t="n">
        <x:v>1.19</x:v>
      </x:c>
      <x:c r="J518" t="n">
        <x:v>24807.4</x:v>
      </x:c>
      <x:c r="K518" t="n">
        <x:v>375184.36</x:v>
      </x:c>
      <x:c r="L518" t="n">
        <x:v>14156.6</x:v>
      </x:c>
      <x:c r="M518" t="n">
        <x:f>SUM(E518,J518:L518)</x:f>
        <x:v>4630381.86</x:v>
      </x:c>
      <x:c r="N518" t="n">
        <x:v>970</x:v>
      </x:c>
      <x:c r="O518" t="n">
        <x:f>D518*N518</x:f>
        <x:v>6685240</x:v>
      </x:c>
      <x:c r="P518" s="22" t="n">
        <x:f>IF(O518=0,0,(M518-O518)/O518)</x:f>
        <x:v>-0.30737238154501556</x:v>
      </x:c>
      <x:c r="Q518" s="20" t="n">
        <x:v>45757</x:v>
      </x:c>
    </x:row>
    <x:row r="519" ht="20" customHeight="1">
      <x:c r="A519" t="str">
        <x:v>WO00515</x:v>
      </x:c>
      <x:c r="B519" t="str">
        <x:v>LOT00515</x:v>
      </x:c>
      <x:c r="C519" t="str">
        <x:v>SEMI-WH-A</x:v>
      </x:c>
      <x:c r="D519" t="n">
        <x:v>78</x:v>
      </x:c>
      <x:c r="E519" t="n">
        <x:v>4130459.28</x:v>
      </x:c>
      <x:c r="F519" t="n">
        <x:v>1.95</x:v>
      </x:c>
      <x:c r="G519" t="n">
        <x:v>0</x:v>
      </x:c>
      <x:c r="H519" t="n">
        <x:v>0.81</x:v>
      </x:c>
      <x:c r="I519" t="n">
        <x:v>3.24</x:v>
      </x:c>
      <x:c r="J519" t="n">
        <x:v>1656.3</x:v>
      </x:c>
      <x:c r="K519" t="n">
        <x:v>590393</x:v>
      </x:c>
      <x:c r="L519" t="n">
        <x:v>1842.6</x:v>
      </x:c>
      <x:c r="M519" t="n">
        <x:f>SUM(E519,J519:L519)</x:f>
        <x:v>4724351.18</x:v>
      </x:c>
      <x:c r="N519" t="n">
        <x:v>88000</x:v>
      </x:c>
      <x:c r="O519" t="n">
        <x:f>D519*N519</x:f>
        <x:v>6864000</x:v>
      </x:c>
      <x:c r="P519" s="22" t="n">
        <x:f>IF(O519=0,0,(M519-O519)/O519)</x:f>
        <x:v>-0.31172039918414923</x:v>
      </x:c>
      <x:c r="Q519" s="20" t="n">
        <x:v>45797</x:v>
      </x:c>
    </x:row>
    <x:row r="520" ht="20" customHeight="1">
      <x:c r="A520" t="str">
        <x:v>WO00516</x:v>
      </x:c>
      <x:c r="B520" t="str">
        <x:v>LOT00516</x:v>
      </x:c>
      <x:c r="C520" t="str">
        <x:v>SEMI-WH-A</x:v>
      </x:c>
      <x:c r="D520" t="n">
        <x:v>78</x:v>
      </x:c>
      <x:c r="E520" t="n">
        <x:v>4409993.57</x:v>
      </x:c>
      <x:c r="F520" t="n">
        <x:v>2.04</x:v>
      </x:c>
      <x:c r="G520" t="n">
        <x:v>0</x:v>
      </x:c>
      <x:c r="H520" t="n">
        <x:v>0.76</x:v>
      </x:c>
      <x:c r="I520" t="n">
        <x:v>2.46</x:v>
      </x:c>
      <x:c r="J520" t="n">
        <x:v>1690.8</x:v>
      </x:c>
      <x:c r="K520" t="n">
        <x:v>616753.15</x:v>
      </x:c>
      <x:c r="L520" t="n">
        <x:v>1634.8</x:v>
      </x:c>
      <x:c r="M520" t="n">
        <x:f>SUM(E520,J520:L520)</x:f>
        <x:v>5030072.32</x:v>
      </x:c>
      <x:c r="N520" t="n">
        <x:v>88000</x:v>
      </x:c>
      <x:c r="O520" t="n">
        <x:f>D520*N520</x:f>
        <x:v>6864000</x:v>
      </x:c>
      <x:c r="P520" s="22" t="n">
        <x:f>IF(O520=0,0,(M520-O520)/O520)</x:f>
        <x:v>-0.267180606060606</x:v>
      </x:c>
      <x:c r="Q520" s="20" t="n">
        <x:v>45794</x:v>
      </x:c>
    </x:row>
    <x:row r="521" ht="20" customHeight="1">
      <x:c r="A521" t="str">
        <x:v>WO00511</x:v>
      </x:c>
      <x:c r="B521" t="str">
        <x:v>LOT00511</x:v>
      </x:c>
      <x:c r="C521" t="str">
        <x:v>PM-SUS-B</x:v>
      </x:c>
      <x:c r="D521" t="n">
        <x:v>789</x:v>
      </x:c>
      <x:c r="E521" t="n">
        <x:v>5245347.87</x:v>
      </x:c>
      <x:c r="F521" t="n">
        <x:v>7.37</x:v>
      </x:c>
      <x:c r="G521" t="n">
        <x:v>0</x:v>
      </x:c>
      <x:c r="H521" t="n">
        <x:v>1.66</x:v>
      </x:c>
      <x:c r="I521" t="n">
        <x:v>1.83</x:v>
      </x:c>
      <x:c r="J521" t="n">
        <x:v>5587.3</x:v>
      </x:c>
      <x:c r="K521" t="n">
        <x:v>512571.84</x:v>
      </x:c>
      <x:c r="L521" t="n">
        <x:v>3615.2</x:v>
      </x:c>
      <x:c r="M521" t="n">
        <x:f>SUM(E521,J521:L521)</x:f>
        <x:v>5767122.21</x:v>
      </x:c>
      <x:c r="N521" t="n">
        <x:v>11100</x:v>
      </x:c>
      <x:c r="O521" t="n">
        <x:f>D521*N521</x:f>
        <x:v>8757900</x:v>
      </x:c>
      <x:c r="P521" s="22" t="n">
        <x:f>IF(O521=0,0,(M521-O521)/O521)</x:f>
        <x:v>-0.3414948549309766</x:v>
      </x:c>
      <x:c r="Q521" s="20" t="n">
        <x:v>45775</x:v>
      </x:c>
    </x:row>
    <x:row r="522" ht="20" customHeight="1">
      <x:c r="A522" t="str">
        <x:v>WO00531</x:v>
      </x:c>
      <x:c r="B522" t="str">
        <x:v>LOT00531</x:v>
      </x:c>
      <x:c r="C522" t="str">
        <x:v>MECH-CON-B</x:v>
      </x:c>
      <x:c r="D522" t="n">
        <x:v>15</x:v>
      </x:c>
      <x:c r="E522" t="n">
        <x:v>1148297.12</x:v>
      </x:c>
      <x:c r="F522" t="n">
        <x:v>1167.69</x:v>
      </x:c>
      <x:c r="G522" t="n">
        <x:v>4039.58</x:v>
      </x:c>
      <x:c r="H522" t="n">
        <x:v>2619.42</x:v>
      </x:c>
      <x:c r="I522" t="n">
        <x:v>2.92</x:v>
      </x:c>
      <x:c r="J522" t="n">
        <x:v>4116901.7</x:v>
      </x:c>
      <x:c r="K522" t="n">
        <x:v>115334.08</x:v>
      </x:c>
      <x:c r="L522" t="n">
        <x:v>1671621.4</x:v>
      </x:c>
      <x:c r="M522" t="n">
        <x:f>SUM(E522,J522:L522)</x:f>
        <x:v>7052154.3</x:v>
      </x:c>
      <x:c r="N522" t="n">
        <x:v>119000</x:v>
      </x:c>
      <x:c r="O522" t="n">
        <x:f>D522*N522</x:f>
        <x:v>1785000</x:v>
      </x:c>
      <x:c r="P522" s="22" t="n">
        <x:f>IF(O522=0,0,(M522-O522)/O522)</x:f>
        <x:v>2.9507867226890756</x:v>
      </x:c>
      <x:c r="Q522" s="20" t="n">
        <x:v>45793</x:v>
      </x:c>
    </x:row>
    <x:row r="523" ht="20" customHeight="1">
      <x:c r="A523" t="str">
        <x:v>WO00512</x:v>
      </x:c>
      <x:c r="B523" t="str">
        <x:v>LOT00512</x:v>
      </x:c>
      <x:c r="C523" t="str">
        <x:v>PM-SUS-B</x:v>
      </x:c>
      <x:c r="D523" t="n">
        <x:v>782</x:v>
      </x:c>
      <x:c r="E523" t="n">
        <x:v>5764255.51</x:v>
      </x:c>
      <x:c r="F523" t="n">
        <x:v>6.44</x:v>
      </x:c>
      <x:c r="G523" t="n">
        <x:v>0</x:v>
      </x:c>
      <x:c r="H523" t="n">
        <x:v>1.69</x:v>
      </x:c>
      <x:c r="I523" t="n">
        <x:v>1.67</x:v>
      </x:c>
      <x:c r="J523" t="n">
        <x:v>4997.2</x:v>
      </x:c>
      <x:c r="K523" t="n">
        <x:v>596772.55</x:v>
      </x:c>
      <x:c r="L523" t="n">
        <x:v>3218.6</x:v>
      </x:c>
      <x:c r="M523" t="n">
        <x:f>SUM(E523,J523:L523)</x:f>
        <x:v>6369243.859999999</x:v>
      </x:c>
      <x:c r="N523" t="n">
        <x:v>11100</x:v>
      </x:c>
      <x:c r="O523" t="n">
        <x:f>D523*N523</x:f>
        <x:v>8680200</x:v>
      </x:c>
      <x:c r="P523" s="22" t="n">
        <x:f>IF(O523=0,0,(M523-O523)/O523)</x:f>
        <x:v>-0.26623305223381954</x:v>
      </x:c>
      <x:c r="Q523" s="20" t="n">
        <x:v>45775</x:v>
      </x:c>
    </x:row>
    <x:row r="524" ht="20" customHeight="1">
      <x:c r="A524" t="str">
        <x:v>WO00527</x:v>
      </x:c>
      <x:c r="B524" t="str">
        <x:v>LOT00527</x:v>
      </x:c>
      <x:c r="C524" t="str">
        <x:v>AUTO-KN-A</x:v>
      </x:c>
      <x:c r="D524" t="n">
        <x:v>6397</x:v>
      </x:c>
      <x:c r="E524" t="n">
        <x:v>9511587.59</x:v>
      </x:c>
      <x:c r="F524" t="n">
        <x:v>34.63</x:v>
      </x:c>
      <x:c r="G524" t="n">
        <x:v>0</x:v>
      </x:c>
      <x:c r="H524" t="n">
        <x:v>5.07</x:v>
      </x:c>
      <x:c r="I524" t="n">
        <x:v>1.17</x:v>
      </x:c>
      <x:c r="J524" t="n">
        <x:v>24943.1</x:v>
      </x:c>
      <x:c r="K524" t="n">
        <x:v>771023.49</x:v>
      </x:c>
      <x:c r="L524" t="n">
        <x:v>14321.6</x:v>
      </x:c>
      <x:c r="M524" t="n">
        <x:f>SUM(E524,J524:L524)</x:f>
        <x:v>10321875.78</x:v>
      </x:c>
      <x:c r="N524" t="n">
        <x:v>2210</x:v>
      </x:c>
      <x:c r="O524" t="n">
        <x:f>D524*N524</x:f>
        <x:v>14137370</x:v>
      </x:c>
      <x:c r="P524" s="22" t="n">
        <x:f>IF(O524=0,0,(M524-O524)/O524)</x:f>
        <x:v>-0.2698871303502703</x:v>
      </x:c>
      <x:c r="Q524" s="20" t="n">
        <x:v>45771</x:v>
      </x:c>
    </x:row>
    <x:row r="525" ht="20" customHeight="1">
      <x:c r="A525" t="str">
        <x:v>WO00528</x:v>
      </x:c>
      <x:c r="B525" t="str">
        <x:v>LOT00528</x:v>
      </x:c>
      <x:c r="C525" t="str">
        <x:v>AUTO-KN-A</x:v>
      </x:c>
      <x:c r="D525" t="n">
        <x:v>6384</x:v>
      </x:c>
      <x:c r="E525" t="n">
        <x:v>9884502.55</x:v>
      </x:c>
      <x:c r="F525" t="n">
        <x:v>33.39</x:v>
      </x:c>
      <x:c r="G525" t="n">
        <x:v>0</x:v>
      </x:c>
      <x:c r="H525" t="n">
        <x:v>5.6</x:v>
      </x:c>
      <x:c r="I525" t="n">
        <x:v>1</x:v>
      </x:c>
      <x:c r="J525" t="n">
        <x:v>24391.5</x:v>
      </x:c>
      <x:c r="K525" t="n">
        <x:v>870681.93</x:v>
      </x:c>
      <x:c r="L525" t="n">
        <x:v>13884.2</x:v>
      </x:c>
      <x:c r="M525" t="n">
        <x:f>SUM(E525,J525:L525)</x:f>
        <x:v>10793460.180000002</x:v>
      </x:c>
      <x:c r="N525" t="n">
        <x:v>2210</x:v>
      </x:c>
      <x:c r="O525" t="n">
        <x:f>D525*N525</x:f>
        <x:v>14108640</x:v>
      </x:c>
      <x:c r="P525" s="22" t="n">
        <x:f>IF(O525=0,0,(M525-O525)/O525)</x:f>
        <x:v>-0.23497515139659092</x:v>
      </x:c>
      <x:c r="Q525" s="20" t="n">
        <x:v>45772</x:v>
      </x:c>
    </x:row>
    <x:row r="526" ht="20" customHeight="1">
      <x:c r="A526" t="str">
        <x:v>WO00532</x:v>
      </x:c>
      <x:c r="B526" t="str">
        <x:v>LOT00532</x:v>
      </x:c>
      <x:c r="C526" t="str">
        <x:v>MECH-CON-B</x:v>
      </x:c>
      <x:c r="D526" t="n">
        <x:v>15</x:v>
      </x:c>
      <x:c r="E526" t="n">
        <x:v>1209862.26</x:v>
      </x:c>
      <x:c r="F526" t="n">
        <x:v>1120.25</x:v>
      </x:c>
      <x:c r="G526" t="n">
        <x:v>3673.84</x:v>
      </x:c>
      <x:c r="H526" t="n">
        <x:v>2719.28</x:v>
      </x:c>
      <x:c r="I526" t="n">
        <x:v>2.91</x:v>
      </x:c>
      <x:c r="J526" t="n">
        <x:v>3943813.7</x:v>
      </x:c>
      <x:c r="K526" t="n">
        <x:v>96002.35</x:v>
      </x:c>
      <x:c r="L526" t="n">
        <x:v>1596420.8</x:v>
      </x:c>
      <x:c r="M526" t="n">
        <x:f>SUM(E526,J526:L526)</x:f>
        <x:v>6846099.11</x:v>
      </x:c>
      <x:c r="N526" t="n">
        <x:v>119000</x:v>
      </x:c>
      <x:c r="O526" t="n">
        <x:f>D526*N526</x:f>
        <x:v>1785000</x:v>
      </x:c>
      <x:c r="P526" s="22" t="n">
        <x:f>IF(O526=0,0,(M526-O526)/O526)</x:f>
        <x:v>2.835349641456583</x:v>
      </x:c>
      <x:c r="Q526" s="20" t="n">
        <x:v>45793</x:v>
      </x:c>
    </x:row>
    <x:row r="527" ht="20" customHeight="1">
      <x:c r="A527" t="str">
        <x:v>WO00523</x:v>
      </x:c>
      <x:c r="B527" t="str">
        <x:v>LOT00523</x:v>
      </x:c>
      <x:c r="C527" t="str">
        <x:v>AUTO-FL-B</x:v>
      </x:c>
      <x:c r="D527" t="n">
        <x:v>2973</x:v>
      </x:c>
      <x:c r="E527" t="n">
        <x:v>2211526.16</x:v>
      </x:c>
      <x:c r="F527" t="n">
        <x:v>13.49</x:v>
      </x:c>
      <x:c r="G527" t="n">
        <x:v>0</x:v>
      </x:c>
      <x:c r="H527" t="n">
        <x:v>2.58</x:v>
      </x:c>
      <x:c r="I527" t="n">
        <x:v>1.1</x:v>
      </x:c>
      <x:c r="J527" t="n">
        <x:v>10006.9</x:v>
      </x:c>
      <x:c r="K527" t="n">
        <x:v>163722.02</x:v>
      </x:c>
      <x:c r="L527" t="n">
        <x:v>5869</x:v>
      </x:c>
      <x:c r="M527" t="n">
        <x:f>SUM(E527,J527:L527)</x:f>
        <x:v>2391124.08</x:v>
      </x:c>
      <x:c r="N527" t="n">
        <x:v>1170</x:v>
      </x:c>
      <x:c r="O527" t="n">
        <x:f>D527*N527</x:f>
        <x:v>3478410</x:v>
      </x:c>
      <x:c r="P527" s="22" t="n">
        <x:f>IF(O527=0,0,(M527-O527)/O527)</x:f>
        <x:v>-0.31258130007675916</x:v>
      </x:c>
      <x:c r="Q527" s="20" t="n">
        <x:v>45760</x:v>
      </x:c>
    </x:row>
    <x:row r="528" ht="20" customHeight="1">
      <x:c r="A528" t="str">
        <x:v>WO00514</x:v>
      </x:c>
      <x:c r="B528" t="str">
        <x:v>LOT00514</x:v>
      </x:c>
      <x:c r="C528" t="str">
        <x:v>AUTO-KN-B</x:v>
      </x:c>
      <x:c r="D528" t="n">
        <x:v>6424</x:v>
      </x:c>
      <x:c r="E528" t="n">
        <x:v>11057402.91</x:v>
      </x:c>
      <x:c r="F528" t="n">
        <x:v>31.27</x:v>
      </x:c>
      <x:c r="G528" t="n">
        <x:v>0</x:v>
      </x:c>
      <x:c r="H528" t="n">
        <x:v>5.15</x:v>
      </x:c>
      <x:c r="I528" t="n">
        <x:v>1.17</x:v>
      </x:c>
      <x:c r="J528" t="n">
        <x:v>22797.5</x:v>
      </x:c>
      <x:c r="K528" t="n">
        <x:v>941151.63</x:v>
      </x:c>
      <x:c r="L528" t="n">
        <x:v>13057.6</x:v>
      </x:c>
      <x:c r="M528" t="n">
        <x:f>SUM(E528,J528:L528)</x:f>
        <x:v>12034409.64</x:v>
      </x:c>
      <x:c r="N528" t="n">
        <x:v>2590</x:v>
      </x:c>
      <x:c r="O528" t="n">
        <x:f>D528*N528</x:f>
        <x:v>16638160</x:v>
      </x:c>
      <x:c r="P528" s="22" t="n">
        <x:f>IF(O528=0,0,(M528-O528)/O528)</x:f>
        <x:v>-0.27669828634897126</x:v>
      </x:c>
      <x:c r="Q528" s="20" t="n">
        <x:v>45772</x:v>
      </x:c>
    </x:row>
    <x:row r="529" ht="20" customHeight="1">
      <x:c r="A529" t="str">
        <x:v>WO00513</x:v>
      </x:c>
      <x:c r="B529" t="str">
        <x:v>LOT00513</x:v>
      </x:c>
      <x:c r="C529" t="str">
        <x:v>AUTO-KN-B</x:v>
      </x:c>
      <x:c r="D529" t="n">
        <x:v>6447</x:v>
      </x:c>
      <x:c r="E529" t="n">
        <x:v>11285103.49</x:v>
      </x:c>
      <x:c r="F529" t="n">
        <x:v>35.14</x:v>
      </x:c>
      <x:c r="G529" t="n">
        <x:v>0</x:v>
      </x:c>
      <x:c r="H529" t="n">
        <x:v>5.81</x:v>
      </x:c>
      <x:c r="I529" t="n">
        <x:v>1.32</x:v>
      </x:c>
      <x:c r="J529" t="n">
        <x:v>25629.8</x:v>
      </x:c>
      <x:c r="K529" t="n">
        <x:v>905977.6</x:v>
      </x:c>
      <x:c r="L529" t="n">
        <x:v>14678.8</x:v>
      </x:c>
      <x:c r="M529" t="n">
        <x:f>SUM(E529,J529:L529)</x:f>
        <x:v>12231389.69</x:v>
      </x:c>
      <x:c r="N529" t="n">
        <x:v>2590</x:v>
      </x:c>
      <x:c r="O529" t="n">
        <x:f>D529*N529</x:f>
        <x:v>16697730</x:v>
      </x:c>
      <x:c r="P529" s="22" t="n">
        <x:f>IF(O529=0,0,(M529-O529)/O529)</x:f>
        <x:v>-0.26748188586113203</x:v>
      </x:c>
      <x:c r="Q529" s="20" t="n">
        <x:v>45772</x:v>
      </x:c>
    </x:row>
    <x:row r="530" ht="20" customHeight="1">
      <x:c r="A530" t="str">
        <x:v>WO00504</x:v>
      </x:c>
      <x:c r="B530" t="str">
        <x:v>LOT00504</x:v>
      </x:c>
      <x:c r="C530" t="str">
        <x:v>AUTO-KN-B</x:v>
      </x:c>
      <x:c r="D530" t="n">
        <x:v>4979</x:v>
      </x:c>
      <x:c r="E530" t="n">
        <x:v>8570041.77</x:v>
      </x:c>
      <x:c r="F530" t="n">
        <x:v>22.93</x:v>
      </x:c>
      <x:c r="G530" t="n">
        <x:v>0</x:v>
      </x:c>
      <x:c r="H530" t="n">
        <x:v>3.6</x:v>
      </x:c>
      <x:c r="I530" t="n">
        <x:v>0.94</x:v>
      </x:c>
      <x:c r="J530" t="n">
        <x:v>16632.5</x:v>
      </x:c>
      <x:c r="K530" t="n">
        <x:v>669775.67</x:v>
      </x:c>
      <x:c r="L530" t="n">
        <x:v>9571.4</x:v>
      </x:c>
      <x:c r="M530" t="n">
        <x:f>SUM(E530,J530:L530)</x:f>
        <x:v>9266021.34</x:v>
      </x:c>
      <x:c r="N530" t="n">
        <x:v>2590</x:v>
      </x:c>
      <x:c r="O530" t="n">
        <x:f>D530*N530</x:f>
        <x:v>12895610</x:v>
      </x:c>
      <x:c r="P530" s="22" t="n">
        <x:f>IF(O530=0,0,(M530-O530)/O530)</x:f>
        <x:v>-0.2814592454331358</x:v>
      </x:c>
      <x:c r="Q530" s="20" t="n">
        <x:v>45775</x:v>
      </x:c>
    </x:row>
    <x:row r="531" ht="20" customHeight="1">
      <x:c r="A531" t="str">
        <x:v>WO00521</x:v>
      </x:c>
      <x:c r="B531" t="str">
        <x:v>LOT00521</x:v>
      </x:c>
      <x:c r="C531" t="str">
        <x:v>AUTO-BS-B</x:v>
      </x:c>
      <x:c r="D531" t="n">
        <x:v>6471</x:v>
      </x:c>
      <x:c r="E531" t="n">
        <x:v>2459192.84</x:v>
      </x:c>
      <x:c r="F531" t="n">
        <x:v>34.45</x:v>
      </x:c>
      <x:c r="G531" t="n">
        <x:v>0</x:v>
      </x:c>
      <x:c r="H531" t="n">
        <x:v>4.77</x:v>
      </x:c>
      <x:c r="I531" t="n">
        <x:v>1.18</x:v>
      </x:c>
      <x:c r="J531" t="n">
        <x:v>24682.1</x:v>
      </x:c>
      <x:c r="K531" t="n">
        <x:v>228075.42</x:v>
      </x:c>
      <x:c r="L531" t="n">
        <x:v>14208.2</x:v>
      </x:c>
      <x:c r="M531" t="n">
        <x:f>SUM(E531,J531:L531)</x:f>
        <x:v>2726158.56</x:v>
      </x:c>
      <x:c r="N531" t="n">
        <x:v>650</x:v>
      </x:c>
      <x:c r="O531" t="n">
        <x:f>D531*N531</x:f>
        <x:v>4206150</x:v>
      </x:c>
      <x:c r="P531" s="22" t="n">
        <x:f>IF(O531=0,0,(M531-O531)/O531)</x:f>
        <x:v>-0.35186368531792733</x:v>
      </x:c>
      <x:c r="Q531" s="20" t="n">
        <x:v>45762</x:v>
      </x:c>
    </x:row>
    <x:row r="532" ht="20" customHeight="1">
      <x:c r="A532" t="str">
        <x:v>WO00524</x:v>
      </x:c>
      <x:c r="B532" t="str">
        <x:v>LOT00524</x:v>
      </x:c>
      <x:c r="C532" t="str">
        <x:v>PM-SUS-B</x:v>
      </x:c>
      <x:c r="D532" t="n">
        <x:v>784</x:v>
      </x:c>
      <x:c r="E532" t="n">
        <x:v>5513284.13</x:v>
      </x:c>
      <x:c r="F532" t="n">
        <x:v>7.16</x:v>
      </x:c>
      <x:c r="G532" t="n">
        <x:v>0</x:v>
      </x:c>
      <x:c r="H532" t="n">
        <x:v>1.51</x:v>
      </x:c>
      <x:c r="I532" t="n">
        <x:v>1.83</x:v>
      </x:c>
      <x:c r="J532" t="n">
        <x:v>5378.8</x:v>
      </x:c>
      <x:c r="K532" t="n">
        <x:v>546426.25</x:v>
      </x:c>
      <x:c r="L532" t="n">
        <x:v>3511.4</x:v>
      </x:c>
      <x:c r="M532" t="n">
        <x:f>SUM(E532,J532:L532)</x:f>
        <x:v>6068600.58</x:v>
      </x:c>
      <x:c r="N532" t="n">
        <x:v>11100</x:v>
      </x:c>
      <x:c r="O532" t="n">
        <x:f>D532*N532</x:f>
        <x:v>8702400</x:v>
      </x:c>
      <x:c r="P532" s="22" t="n">
        <x:f>IF(O532=0,0,(M532-O532)/O532)</x:f>
        <x:v>-0.3026520752895753</x:v>
      </x:c>
      <x:c r="Q532" s="20" t="n">
        <x:v>45777</x:v>
      </x:c>
    </x:row>
    <x:row r="533" ht="20" customHeight="1">
      <x:c r="A533" t="str">
        <x:v>WO00525</x:v>
      </x:c>
      <x:c r="B533" t="str">
        <x:v>LOT00525</x:v>
      </x:c>
      <x:c r="C533" t="str">
        <x:v>PM-SUS-B</x:v>
      </x:c>
      <x:c r="D533" t="n">
        <x:v>784</x:v>
      </x:c>
      <x:c r="E533" t="n">
        <x:v>5265236.37</x:v>
      </x:c>
      <x:c r="F533" t="n">
        <x:v>6.74</x:v>
      </x:c>
      <x:c r="G533" t="n">
        <x:v>0</x:v>
      </x:c>
      <x:c r="H533" t="n">
        <x:v>1.59</x:v>
      </x:c>
      <x:c r="I533" t="n">
        <x:v>1.76</x:v>
      </x:c>
      <x:c r="J533" t="n">
        <x:v>5144.2</x:v>
      </x:c>
      <x:c r="K533" t="n">
        <x:v>546622.8</x:v>
      </x:c>
      <x:c r="L533" t="n">
        <x:v>3343.6</x:v>
      </x:c>
      <x:c r="M533" t="n">
        <x:f>SUM(E533,J533:L533)</x:f>
        <x:v>5820346.97</x:v>
      </x:c>
      <x:c r="N533" t="n">
        <x:v>11100</x:v>
      </x:c>
      <x:c r="O533" t="n">
        <x:f>D533*N533</x:f>
        <x:v>8702400</x:v>
      </x:c>
      <x:c r="P533" s="22" t="n">
        <x:f>IF(O533=0,0,(M533-O533)/O533)</x:f>
        <x:v>-0.3311791034657106</x:v>
      </x:c>
      <x:c r="Q533" s="20" t="n">
        <x:v>45774</x:v>
      </x:c>
    </x:row>
    <x:row r="534" ht="20" customHeight="1">
      <x:c r="A534" t="str">
        <x:v>WO00499</x:v>
      </x:c>
      <x:c r="B534" t="str">
        <x:v>LOT00499</x:v>
      </x:c>
      <x:c r="C534" t="str">
        <x:v>AUTO-FL-B</x:v>
      </x:c>
      <x:c r="D534" t="n">
        <x:v>6442</x:v>
      </x:c>
      <x:c r="E534" t="n">
        <x:v>4949803.51</x:v>
      </x:c>
      <x:c r="F534" t="n">
        <x:v>31.81</x:v>
      </x:c>
      <x:c r="G534" t="n">
        <x:v>0</x:v>
      </x:c>
      <x:c r="H534" t="n">
        <x:v>4.69</x:v>
      </x:c>
      <x:c r="I534" t="n">
        <x:v>1.18</x:v>
      </x:c>
      <x:c r="J534" t="n">
        <x:v>22927.7</x:v>
      </x:c>
      <x:c r="K534" t="n">
        <x:v>383258.54</x:v>
      </x:c>
      <x:c r="L534" t="n">
        <x:v>13192.2</x:v>
      </x:c>
      <x:c r="M534" t="n">
        <x:f>SUM(E534,J534:L534)</x:f>
        <x:v>5369181.95</x:v>
      </x:c>
      <x:c r="N534" t="n">
        <x:v>1170</x:v>
      </x:c>
      <x:c r="O534" t="n">
        <x:f>D534*N534</x:f>
        <x:v>7537140</x:v>
      </x:c>
      <x:c r="P534" s="22" t="n">
        <x:f>IF(O534=0,0,(M534-O534)/O534)</x:f>
        <x:v>-0.2876366964126976</x:v>
      </x:c>
      <x:c r="Q534" s="20" t="n">
        <x:v>45770</x:v>
      </x:c>
    </x:row>
    <x:row r="535" ht="20" customHeight="1">
      <x:c r="A535" t="str">
        <x:v>WO00500</x:v>
      </x:c>
      <x:c r="B535" t="str">
        <x:v>LOT00500</x:v>
      </x:c>
      <x:c r="C535" t="str">
        <x:v>AUTO-FL-B</x:v>
      </x:c>
      <x:c r="D535" t="n">
        <x:v>6302</x:v>
      </x:c>
      <x:c r="E535" t="n">
        <x:v>4918101.87</x:v>
      </x:c>
      <x:c r="F535" t="n">
        <x:v>35.61</x:v>
      </x:c>
      <x:c r="G535" t="n">
        <x:v>0</x:v>
      </x:c>
      <x:c r="H535" t="n">
        <x:v>5.07</x:v>
      </x:c>
      <x:c r="I535" t="n">
        <x:v>1.29</x:v>
      </x:c>
      <x:c r="J535" t="n">
        <x:v>25580.1</x:v>
      </x:c>
      <x:c r="K535" t="n">
        <x:v>431824</x:v>
      </x:c>
      <x:c r="L535" t="n">
        <x:v>14730</x:v>
      </x:c>
      <x:c r="M535" t="n">
        <x:f>SUM(E535,J535:L535)</x:f>
        <x:v>5390235.97</x:v>
      </x:c>
      <x:c r="N535" t="n">
        <x:v>1170</x:v>
      </x:c>
      <x:c r="O535" t="n">
        <x:f>D535*N535</x:f>
        <x:v>7373340</x:v>
      </x:c>
      <x:c r="P535" s="22" t="n">
        <x:f>IF(O535=0,0,(M535-O535)/O535)</x:f>
        <x:v>-0.26895599958770383</x:v>
      </x:c>
      <x:c r="Q535" s="20" t="n">
        <x:v>45768</x:v>
      </x:c>
    </x:row>
    <x:row r="536" ht="20" customHeight="1">
      <x:c r="A536" t="str">
        <x:v>WO00522</x:v>
      </x:c>
      <x:c r="B536" t="str">
        <x:v>LOT00522</x:v>
      </x:c>
      <x:c r="C536" t="str">
        <x:v>AUTO-BS-B</x:v>
      </x:c>
      <x:c r="D536" t="n">
        <x:v>6497</x:v>
      </x:c>
      <x:c r="E536" t="n">
        <x:v>2495872.55</x:v>
      </x:c>
      <x:c r="F536" t="n">
        <x:v>34.08</x:v>
      </x:c>
      <x:c r="G536" t="n">
        <x:v>0</x:v>
      </x:c>
      <x:c r="H536" t="n">
        <x:v>5.29</x:v>
      </x:c>
      <x:c r="I536" t="n">
        <x:v>1.25</x:v>
      </x:c>
      <x:c r="J536" t="n">
        <x:v>24691.2</x:v>
      </x:c>
      <x:c r="K536" t="n">
        <x:v>236608.92</x:v>
      </x:c>
      <x:c r="L536" t="n">
        <x:v>14171.8</x:v>
      </x:c>
      <x:c r="M536" t="n">
        <x:f>SUM(E536,J536:L536)</x:f>
        <x:v>2771344.4699999997</x:v>
      </x:c>
      <x:c r="N536" t="n">
        <x:v>650</x:v>
      </x:c>
      <x:c r="O536" t="n">
        <x:f>D536*N536</x:f>
        <x:v>4223050</x:v>
      </x:c>
      <x:c r="P536" s="22" t="n">
        <x:f>IF(O536=0,0,(M536-O536)/O536)</x:f>
        <x:v>-0.34375759936538763</x:v>
      </x:c>
      <x:c r="Q536" s="20" t="n">
        <x:v>45763</x:v>
      </x:c>
    </x:row>
    <x:row r="537" ht="20" customHeight="1">
      <x:c r="A537" t="str">
        <x:v>WO00501</x:v>
      </x:c>
      <x:c r="B537" t="str">
        <x:v>LOT00501</x:v>
      </x:c>
      <x:c r="C537" t="str">
        <x:v>PM-BRG-A</x:v>
      </x:c>
      <x:c r="D537" t="n">
        <x:v>484</x:v>
      </x:c>
      <x:c r="E537" t="n">
        <x:v>1223707.52</x:v>
      </x:c>
      <x:c r="F537" t="n">
        <x:v>4.5</x:v>
      </x:c>
      <x:c r="G537" t="n">
        <x:v>0</x:v>
      </x:c>
      <x:c r="H537" t="n">
        <x:v>0.88</x:v>
      </x:c>
      <x:c r="I537" t="n">
        <x:v>1.75</x:v>
      </x:c>
      <x:c r="J537" t="n">
        <x:v>3347.4</x:v>
      </x:c>
      <x:c r="K537" t="n">
        <x:v>90842.48</x:v>
      </x:c>
      <x:c r="L537" t="n">
        <x:v>2375.8</x:v>
      </x:c>
      <x:c r="M537" t="n">
        <x:f>SUM(E537,J537:L537)</x:f>
        <x:v>1320273.2</x:v>
      </x:c>
      <x:c r="N537" t="n">
        <x:v>4450</x:v>
      </x:c>
      <x:c r="O537" t="n">
        <x:f>D537*N537</x:f>
        <x:v>2153800</x:v>
      </x:c>
      <x:c r="P537" s="22" t="n">
        <x:f>IF(O537=0,0,(M537-O537)/O537)</x:f>
        <x:v>-0.3870028786331136</x:v>
      </x:c>
      <x:c r="Q537" s="20" t="n">
        <x:v>45770</x:v>
      </x:c>
    </x:row>
    <x:row r="538" ht="20" customHeight="1">
      <x:c r="A538" t="str">
        <x:v>WO00537</x:v>
      </x:c>
      <x:c r="B538" t="str">
        <x:v>LOT00537</x:v>
      </x:c>
      <x:c r="C538" t="str">
        <x:v>AUTO-LG-A</x:v>
      </x:c>
      <x:c r="D538" t="n">
        <x:v>6496</x:v>
      </x:c>
      <x:c r="E538" t="n">
        <x:v>3375994.9</x:v>
      </x:c>
      <x:c r="F538" t="n">
        <x:v>32.01</x:v>
      </x:c>
      <x:c r="G538" t="n">
        <x:v>0</x:v>
      </x:c>
      <x:c r="H538" t="n">
        <x:v>5.89</x:v>
      </x:c>
      <x:c r="I538" t="n">
        <x:v>1.18</x:v>
      </x:c>
      <x:c r="J538" t="n">
        <x:v>23633.7</x:v>
      </x:c>
      <x:c r="K538" t="n">
        <x:v>275174.12</x:v>
      </x:c>
      <x:c r="L538" t="n">
        <x:v>13460.2</x:v>
      </x:c>
      <x:c r="M538" t="n">
        <x:f>SUM(E538,J538:L538)</x:f>
        <x:v>3688262.92</x:v>
      </x:c>
      <x:c r="N538" t="n">
        <x:v>840</x:v>
      </x:c>
      <x:c r="O538" t="n">
        <x:f>D538*N538</x:f>
        <x:v>5456640</x:v>
      </x:c>
      <x:c r="P538" s="22" t="n">
        <x:f>IF(O538=0,0,(M538-O538)/O538)</x:f>
        <x:v>-0.324078018707483</x:v>
      </x:c>
      <x:c r="Q538" s="20" t="n">
        <x:v>45775</x:v>
      </x:c>
    </x:row>
    <x:row r="539" ht="20" customHeight="1">
      <x:c r="A539" t="str">
        <x:v>WO00555</x:v>
      </x:c>
      <x:c r="B539" t="str">
        <x:v>LOT00555</x:v>
      </x:c>
      <x:c r="C539" t="str">
        <x:v>AUTO-LG-A</x:v>
      </x:c>
      <x:c r="D539" t="n">
        <x:v>4911</x:v>
      </x:c>
      <x:c r="E539" t="n">
        <x:v>2636324.49</x:v>
      </x:c>
      <x:c r="F539" t="n">
        <x:v>25.54</x:v>
      </x:c>
      <x:c r="G539" t="n">
        <x:v>0</x:v>
      </x:c>
      <x:c r="H539" t="n">
        <x:v>3.67</x:v>
      </x:c>
      <x:c r="I539" t="n">
        <x:v>1.2</x:v>
      </x:c>
      <x:c r="J539" t="n">
        <x:v>18362.6</x:v>
      </x:c>
      <x:c r="K539" t="n">
        <x:v>181242.11</x:v>
      </x:c>
      <x:c r="L539" t="n">
        <x:v>10652.4</x:v>
      </x:c>
      <x:c r="M539" t="n">
        <x:f>SUM(E539,J539:L539)</x:f>
        <x:v>2846581.6</x:v>
      </x:c>
      <x:c r="N539" t="n">
        <x:v>840</x:v>
      </x:c>
      <x:c r="O539" t="n">
        <x:f>D539*N539</x:f>
        <x:v>4125240</x:v>
      </x:c>
      <x:c r="P539" s="22" t="n">
        <x:f>IF(O539=0,0,(M539-O539)/O539)</x:f>
        <x:v>-0.30995975991699876</x:v>
      </x:c>
      <x:c r="Q539" s="20" t="n">
        <x:v>45771</x:v>
      </x:c>
    </x:row>
    <x:row r="540" ht="20" customHeight="1">
      <x:c r="A540" t="str">
        <x:v>WO00538</x:v>
      </x:c>
      <x:c r="B540" t="str">
        <x:v>LOT00538</x:v>
      </x:c>
      <x:c r="C540" t="str">
        <x:v>AUTO-LG-A</x:v>
      </x:c>
      <x:c r="D540" t="n">
        <x:v>6370</x:v>
      </x:c>
      <x:c r="E540" t="n">
        <x:v>3443383.5</x:v>
      </x:c>
      <x:c r="F540" t="n">
        <x:v>29.72</x:v>
      </x:c>
      <x:c r="G540" t="n">
        <x:v>0</x:v>
      </x:c>
      <x:c r="H540" t="n">
        <x:v>5.68</x:v>
      </x:c>
      <x:c r="I540" t="n">
        <x:v>1.18</x:v>
      </x:c>
      <x:c r="J540" t="n">
        <x:v>22044.4</x:v>
      </x:c>
      <x:c r="K540" t="n">
        <x:v>249820.14</x:v>
      </x:c>
      <x:c r="L540" t="n">
        <x:v>12556.4</x:v>
      </x:c>
      <x:c r="M540" t="n">
        <x:f>SUM(E540,J540:L540)</x:f>
        <x:v>3727804.44</x:v>
      </x:c>
      <x:c r="N540" t="n">
        <x:v>840</x:v>
      </x:c>
      <x:c r="O540" t="n">
        <x:f>D540*N540</x:f>
        <x:v>5350800</x:v>
      </x:c>
      <x:c r="P540" s="22" t="n">
        <x:f>IF(O540=0,0,(M540-O540)/O540)</x:f>
        <x:v>-0.30331830006727967</x:v>
      </x:c>
      <x:c r="Q540" s="20" t="n">
        <x:v>45775</x:v>
      </x:c>
    </x:row>
    <x:row r="541" ht="20" customHeight="1">
      <x:c r="A541" t="str">
        <x:v>WO00554</x:v>
      </x:c>
      <x:c r="B541" t="str">
        <x:v>LOT00554</x:v>
      </x:c>
      <x:c r="C541" t="str">
        <x:v>AUTO-BS-B</x:v>
      </x:c>
      <x:c r="D541" t="n">
        <x:v>4942</x:v>
      </x:c>
      <x:c r="E541" t="n">
        <x:v>1891760.49</x:v>
      </x:c>
      <x:c r="F541" t="n">
        <x:v>26.82</x:v>
      </x:c>
      <x:c r="G541" t="n">
        <x:v>0</x:v>
      </x:c>
      <x:c r="H541" t="n">
        <x:v>3.67</x:v>
      </x:c>
      <x:c r="I541" t="n">
        <x:v>1.04</x:v>
      </x:c>
      <x:c r="J541" t="n">
        <x:v>19194.6</x:v>
      </x:c>
      <x:c r="K541" t="n">
        <x:v>165190.27</x:v>
      </x:c>
      <x:c r="L541" t="n">
        <x:v>11090.8</x:v>
      </x:c>
      <x:c r="M541" t="n">
        <x:f>SUM(E541,J541:L541)</x:f>
        <x:v>2087236.16</x:v>
      </x:c>
      <x:c r="N541" t="n">
        <x:v>650</x:v>
      </x:c>
      <x:c r="O541" t="n">
        <x:f>D541*N541</x:f>
        <x:v>3212300</x:v>
      </x:c>
      <x:c r="P541" s="22" t="n">
        <x:f>IF(O541=0,0,(M541-O541)/O541)</x:f>
        <x:v>-0.35023622949288674</x:v>
      </x:c>
      <x:c r="Q541" s="20" t="n">
        <x:v>45773</x:v>
      </x:c>
    </x:row>
    <x:row r="542" ht="20" customHeight="1">
      <x:c r="A542" t="str">
        <x:v>WO00557</x:v>
      </x:c>
      <x:c r="B542" t="str">
        <x:v>LOT00557</x:v>
      </x:c>
      <x:c r="C542" t="str">
        <x:v>SEMI-CHB-B</x:v>
      </x:c>
      <x:c r="D542" t="n">
        <x:v>39</x:v>
      </x:c>
      <x:c r="E542" t="n">
        <x:v>2789314.46</x:v>
      </x:c>
      <x:c r="F542" t="n">
        <x:v>1.01</x:v>
      </x:c>
      <x:c r="G542" t="n">
        <x:v>0</x:v>
      </x:c>
      <x:c r="H542" t="n">
        <x:v>0.34</x:v>
      </x:c>
      <x:c r="I542" t="n">
        <x:v>2.83</x:v>
      </x:c>
      <x:c r="J542" t="n">
        <x:v>819.7</x:v>
      </x:c>
      <x:c r="K542" t="n">
        <x:v>328351.36</x:v>
      </x:c>
      <x:c r="L542" t="n">
        <x:v>1287.2</x:v>
      </x:c>
      <x:c r="M542" t="n">
        <x:f>SUM(E542,J542:L542)</x:f>
        <x:v>3119772.7199999997</x:v>
      </x:c>
      <x:c r="N542" t="n">
        <x:v>111000</x:v>
      </x:c>
      <x:c r="O542" t="n">
        <x:f>D542*N542</x:f>
        <x:v>4329000</x:v>
      </x:c>
      <x:c r="P542" s="22" t="n">
        <x:f>IF(O542=0,0,(M542-O542)/O542)</x:f>
        <x:v>-0.2793317810117811</x:v>
      </x:c>
      <x:c r="Q542" s="20" t="n">
        <x:v>45826</x:v>
      </x:c>
    </x:row>
    <x:row r="543" ht="20" customHeight="1">
      <x:c r="A543" t="str">
        <x:v>WO00552</x:v>
      </x:c>
      <x:c r="B543" t="str">
        <x:v>LOT00552</x:v>
      </x:c>
      <x:c r="C543" t="str">
        <x:v>AUTO-KN-B</x:v>
      </x:c>
      <x:c r="D543" t="n">
        <x:v>2965</x:v>
      </x:c>
      <x:c r="E543" t="n">
        <x:v>5496094.67</x:v>
      </x:c>
      <x:c r="F543" t="n">
        <x:v>16.21</x:v>
      </x:c>
      <x:c r="G543" t="n">
        <x:v>0</x:v>
      </x:c>
      <x:c r="H543" t="n">
        <x:v>2.64</x:v>
      </x:c>
      <x:c r="I543" t="n">
        <x:v>1.17</x:v>
      </x:c>
      <x:c r="J543" t="n">
        <x:v>11803.7</x:v>
      </x:c>
      <x:c r="K543" t="n">
        <x:v>429814.96</x:v>
      </x:c>
      <x:c r="L543" t="n">
        <x:v>6933.2</x:v>
      </x:c>
      <x:c r="M543" t="n">
        <x:f>SUM(E543,J543:L543)</x:f>
        <x:v>5944646.53</x:v>
      </x:c>
      <x:c r="N543" t="n">
        <x:v>2590</x:v>
      </x:c>
      <x:c r="O543" t="n">
        <x:f>D543*N543</x:f>
        <x:v>7679350</x:v>
      </x:c>
      <x:c r="P543" s="22" t="n">
        <x:f>IF(O543=0,0,(M543-O543)/O543)</x:f>
        <x:v>-0.22589196611692391</x:v>
      </x:c>
      <x:c r="Q543" s="20" t="n">
        <x:v>45785</x:v>
      </x:c>
    </x:row>
    <x:row r="544" ht="20" customHeight="1">
      <x:c r="A544" t="str">
        <x:v>WO00546</x:v>
      </x:c>
      <x:c r="B544" t="str">
        <x:v>LOT00546</x:v>
      </x:c>
      <x:c r="C544" t="str">
        <x:v>AUTO-LG-B</x:v>
      </x:c>
      <x:c r="D544" t="n">
        <x:v>4927</x:v>
      </x:c>
      <x:c r="E544" t="n">
        <x:v>3098094.44</x:v>
      </x:c>
      <x:c r="F544" t="n">
        <x:v>26.54</x:v>
      </x:c>
      <x:c r="G544" t="n">
        <x:v>0</x:v>
      </x:c>
      <x:c r="H544" t="n">
        <x:v>4.6</x:v>
      </x:c>
      <x:c r="I544" t="n">
        <x:v>1.27</x:v>
      </x:c>
      <x:c r="J544" t="n">
        <x:v>19459</x:v>
      </x:c>
      <x:c r="K544" t="n">
        <x:v>239240.16</x:v>
      </x:c>
      <x:c r="L544" t="n">
        <x:v>11202.2</x:v>
      </x:c>
      <x:c r="M544" t="n">
        <x:f>SUM(E544,J544:L544)</x:f>
        <x:v>3367995.8</x:v>
      </x:c>
      <x:c r="N544" t="n">
        <x:v>925</x:v>
      </x:c>
      <x:c r="O544" t="n">
        <x:f>D544*N544</x:f>
        <x:v>4557475</x:v>
      </x:c>
      <x:c r="P544" s="22" t="n">
        <x:f>IF(O544=0,0,(M544-O544)/O544)</x:f>
        <x:v>-0.2609952221350639</x:v>
      </x:c>
      <x:c r="Q544" s="20" t="n">
        <x:v>45788</x:v>
      </x:c>
    </x:row>
    <x:row r="545" ht="20" customHeight="1">
      <x:c r="A545" t="str">
        <x:v>WO00547</x:v>
      </x:c>
      <x:c r="B545" t="str">
        <x:v>LOT00547</x:v>
      </x:c>
      <x:c r="C545" t="str">
        <x:v>AUTO-LG-B</x:v>
      </x:c>
      <x:c r="D545" t="n">
        <x:v>4940</x:v>
      </x:c>
      <x:c r="E545" t="n">
        <x:v>2933349.57</x:v>
      </x:c>
      <x:c r="F545" t="n">
        <x:v>24.05</x:v>
      </x:c>
      <x:c r="G545" t="n">
        <x:v>0</x:v>
      </x:c>
      <x:c r="H545" t="n">
        <x:v>4.14</x:v>
      </x:c>
      <x:c r="I545" t="n">
        <x:v>1.29</x:v>
      </x:c>
      <x:c r="J545" t="n">
        <x:v>17619.7</x:v>
      </x:c>
      <x:c r="K545" t="n">
        <x:v>234126.72</x:v>
      </x:c>
      <x:c r="L545" t="n">
        <x:v>10188.4</x:v>
      </x:c>
      <x:c r="M545" t="n">
        <x:f>SUM(E545,J545:L545)</x:f>
        <x:v>3195284.3899999997</x:v>
      </x:c>
      <x:c r="N545" t="n">
        <x:v>925</x:v>
      </x:c>
      <x:c r="O545" t="n">
        <x:f>D545*N545</x:f>
        <x:v>4569500</x:v>
      </x:c>
      <x:c r="P545" s="22" t="n">
        <x:f>IF(O545=0,0,(M545-O545)/O545)</x:f>
        <x:v>-0.3007365379144327</x:v>
      </x:c>
      <x:c r="Q545" s="20" t="n">
        <x:v>45783</x:v>
      </x:c>
    </x:row>
    <x:row r="546" ht="20" customHeight="1">
      <x:c r="A546" t="str">
        <x:v>WO00556</x:v>
      </x:c>
      <x:c r="B546" t="str">
        <x:v>LOT00556</x:v>
      </x:c>
      <x:c r="C546" t="str">
        <x:v>PM-SUS-A</x:v>
      </x:c>
      <x:c r="D546" t="n">
        <x:v>777</x:v>
      </x:c>
      <x:c r="E546" t="n">
        <x:v>3383803.86</x:v>
      </x:c>
      <x:c r="F546" t="n">
        <x:v>6.18</x:v>
      </x:c>
      <x:c r="G546" t="n">
        <x:v>0</x:v>
      </x:c>
      <x:c r="H546" t="n">
        <x:v>1.47</x:v>
      </x:c>
      <x:c r="I546" t="n">
        <x:v>1.47</x:v>
      </x:c>
      <x:c r="J546" t="n">
        <x:v>4722.6</x:v>
      </x:c>
      <x:c r="K546" t="n">
        <x:v>419015.7</x:v>
      </x:c>
      <x:c r="L546" t="n">
        <x:v>3024.6</x:v>
      </x:c>
      <x:c r="M546" t="n">
        <x:f>SUM(E546,J546:L546)</x:f>
        <x:v>3810566.76</x:v>
      </x:c>
      <x:c r="N546" t="n">
        <x:v>7500</x:v>
      </x:c>
      <x:c r="O546" t="n">
        <x:f>D546*N546</x:f>
        <x:v>5827500</x:v>
      </x:c>
      <x:c r="P546" s="22" t="n">
        <x:f>IF(O546=0,0,(M546-O546)/O546)</x:f>
        <x:v>-0.34610609009009013</x:v>
      </x:c>
      <x:c r="Q546" s="20" t="n">
        <x:v>45791</x:v>
      </x:c>
    </x:row>
    <x:row r="547" ht="20" customHeight="1">
      <x:c r="A547" t="str">
        <x:v>WO00539</x:v>
      </x:c>
      <x:c r="B547" t="str">
        <x:v>LOT00539</x:v>
      </x:c>
      <x:c r="C547" t="str">
        <x:v>AUTO-LG-A</x:v>
      </x:c>
      <x:c r="D547" t="n">
        <x:v>6442</x:v>
      </x:c>
      <x:c r="E547" t="n">
        <x:v>3590321.89</x:v>
      </x:c>
      <x:c r="F547" t="n">
        <x:v>30.31</x:v>
      </x:c>
      <x:c r="G547" t="n">
        <x:v>0</x:v>
      </x:c>
      <x:c r="H547" t="n">
        <x:v>6.13</x:v>
      </x:c>
      <x:c r="I547" t="n">
        <x:v>1.36</x:v>
      </x:c>
      <x:c r="J547" t="n">
        <x:v>22643.9</x:v>
      </x:c>
      <x:c r="K547" t="n">
        <x:v>285528.41</x:v>
      </x:c>
      <x:c r="L547" t="n">
        <x:v>12906.6</x:v>
      </x:c>
      <x:c r="M547" t="n">
        <x:f>SUM(E547,J547:L547)</x:f>
        <x:v>3911400.8000000003</x:v>
      </x:c>
      <x:c r="N547" t="n">
        <x:v>840</x:v>
      </x:c>
      <x:c r="O547" t="n">
        <x:f>D547*N547</x:f>
        <x:v>5411280</x:v>
      </x:c>
      <x:c r="P547" s="22" t="n">
        <x:f>IF(O547=0,0,(M547-O547)/O547)</x:f>
        <x:v>-0.2771764166703626</x:v>
      </x:c>
      <x:c r="Q547" s="20" t="n">
        <x:v>45786</x:v>
      </x:c>
    </x:row>
    <x:row r="548" ht="20" customHeight="1">
      <x:c r="A548" t="str">
        <x:v>WO00540</x:v>
      </x:c>
      <x:c r="B548" t="str">
        <x:v>LOT00540</x:v>
      </x:c>
      <x:c r="C548" t="str">
        <x:v>AUTO-LG-A</x:v>
      </x:c>
      <x:c r="D548" t="n">
        <x:v>6487</x:v>
      </x:c>
      <x:c r="E548" t="n">
        <x:v>3615687.98</x:v>
      </x:c>
      <x:c r="F548" t="n">
        <x:v>32.24</x:v>
      </x:c>
      <x:c r="G548" t="n">
        <x:v>0</x:v>
      </x:c>
      <x:c r="H548" t="n">
        <x:v>5.56</x:v>
      </x:c>
      <x:c r="I548" t="n">
        <x:v>1.21</x:v>
      </x:c>
      <x:c r="J548" t="n">
        <x:v>23624.8</x:v>
      </x:c>
      <x:c r="K548" t="n">
        <x:v>251319.77</x:v>
      </x:c>
      <x:c r="L548" t="n">
        <x:v>13503.8</x:v>
      </x:c>
      <x:c r="M548" t="n">
        <x:f>SUM(E548,J548:L548)</x:f>
        <x:v>3904136.35</x:v>
      </x:c>
      <x:c r="N548" t="n">
        <x:v>840</x:v>
      </x:c>
      <x:c r="O548" t="n">
        <x:f>D548*N548</x:f>
        <x:v>5449080</x:v>
      </x:c>
      <x:c r="P548" s="22" t="n">
        <x:f>IF(O548=0,0,(M548-O548)/O548)</x:f>
        <x:v>-0.28352375997416074</x:v>
      </x:c>
      <x:c r="Q548" s="20" t="n">
        <x:v>45789</x:v>
      </x:c>
    </x:row>
    <x:row r="549" ht="20" customHeight="1">
      <x:c r="A549" t="str">
        <x:v>WO00550</x:v>
      </x:c>
      <x:c r="B549" t="str">
        <x:v>LOT00550</x:v>
      </x:c>
      <x:c r="C549" t="str">
        <x:v>AUTO-BS-A</x:v>
      </x:c>
      <x:c r="D549" t="n">
        <x:v>4935</x:v>
      </x:c>
      <x:c r="E549" t="n">
        <x:v>1675268.51</x:v>
      </x:c>
      <x:c r="F549" t="n">
        <x:v>27.25</x:v>
      </x:c>
      <x:c r="G549" t="n">
        <x:v>0</x:v>
      </x:c>
      <x:c r="H549" t="n">
        <x:v>4.48</x:v>
      </x:c>
      <x:c r="I549" t="n">
        <x:v>1.13</x:v>
      </x:c>
      <x:c r="J549" t="n">
        <x:v>19862.9</x:v>
      </x:c>
      <x:c r="K549" t="n">
        <x:v>144947.27</x:v>
      </x:c>
      <x:c r="L549" t="n">
        <x:v>11410.8</x:v>
      </x:c>
      <x:c r="M549" t="n">
        <x:f>SUM(E549,J549:L549)</x:f>
        <x:v>1851489.48</x:v>
      </x:c>
      <x:c r="N549" t="n">
        <x:v>550</x:v>
      </x:c>
      <x:c r="O549" t="n">
        <x:f>D549*N549</x:f>
        <x:v>2714250</x:v>
      </x:c>
      <x:c r="P549" s="22" t="n">
        <x:f>IF(O549=0,0,(M549-O549)/O549)</x:f>
        <x:v>-0.3178633213594916</x:v>
      </x:c>
      <x:c r="Q549" s="20" t="n">
        <x:v>45789</x:v>
      </x:c>
    </x:row>
    <x:row r="550" ht="20" customHeight="1">
      <x:c r="A550" t="str">
        <x:v>WO00551</x:v>
      </x:c>
      <x:c r="B550" t="str">
        <x:v>LOT00551</x:v>
      </x:c>
      <x:c r="C550" t="str">
        <x:v>AUTO-BS-A</x:v>
      </x:c>
      <x:c r="D550" t="n">
        <x:v>4938</x:v>
      </x:c>
      <x:c r="E550" t="n">
        <x:v>1631573.04</x:v>
      </x:c>
      <x:c r="F550" t="n">
        <x:v>27.51</x:v>
      </x:c>
      <x:c r="G550" t="n">
        <x:v>0</x:v>
      </x:c>
      <x:c r="H550" t="n">
        <x:v>4.69</x:v>
      </x:c>
      <x:c r="I550" t="n">
        <x:v>1.11</x:v>
      </x:c>
      <x:c r="J550" t="n">
        <x:v>20132.7</x:v>
      </x:c>
      <x:c r="K550" t="n">
        <x:v>142747.81</x:v>
      </x:c>
      <x:c r="L550" t="n">
        <x:v>11537.2</x:v>
      </x:c>
      <x:c r="M550" t="n">
        <x:f>SUM(E550,J550:L550)</x:f>
        <x:v>1805990.75</x:v>
      </x:c>
      <x:c r="N550" t="n">
        <x:v>550</x:v>
      </x:c>
      <x:c r="O550" t="n">
        <x:f>D550*N550</x:f>
        <x:v>2715900</x:v>
      </x:c>
      <x:c r="P550" s="22" t="n">
        <x:f>IF(O550=0,0,(M550-O550)/O550)</x:f>
        <x:v>-0.3350304687212342</x:v>
      </x:c>
      <x:c r="Q550" s="20" t="n">
        <x:v>45786</x:v>
      </x:c>
    </x:row>
    <x:row r="551" ht="20" customHeight="1">
      <x:c r="A551" t="str">
        <x:v>WO00544</x:v>
      </x:c>
      <x:c r="B551" t="str">
        <x:v>LOT00544</x:v>
      </x:c>
      <x:c r="C551" t="str">
        <x:v>PM-BRG-B</x:v>
      </x:c>
      <x:c r="D551" t="n">
        <x:v>787</x:v>
      </x:c>
      <x:c r="E551" t="n">
        <x:v>2481038.83</x:v>
      </x:c>
      <x:c r="F551" t="n">
        <x:v>7.3</x:v>
      </x:c>
      <x:c r="G551" t="n">
        <x:v>0</x:v>
      </x:c>
      <x:c r="H551" t="n">
        <x:v>1.43</x:v>
      </x:c>
      <x:c r="I551" t="n">
        <x:v>1.55</x:v>
      </x:c>
      <x:c r="J551" t="n">
        <x:v>5431.4</x:v>
      </x:c>
      <x:c r="K551" t="n">
        <x:v>201848.2</x:v>
      </x:c>
      <x:c r="L551" t="n">
        <x:v>3467.8</x:v>
      </x:c>
      <x:c r="M551" t="n">
        <x:f>SUM(E551,J551:L551)</x:f>
        <x:v>2691786.23</x:v>
      </x:c>
      <x:c r="N551" t="n">
        <x:v>5400</x:v>
      </x:c>
      <x:c r="O551" t="n">
        <x:f>D551*N551</x:f>
        <x:v>4249800</x:v>
      </x:c>
      <x:c r="P551" s="22" t="n">
        <x:f>IF(O551=0,0,(M551-O551)/O551)</x:f>
        <x:v>-0.366608727469528</x:v>
      </x:c>
      <x:c r="Q551" s="20" t="n">
        <x:v>45799</x:v>
      </x:c>
    </x:row>
    <x:row r="552" ht="20" customHeight="1">
      <x:c r="A552" t="str">
        <x:v>WO00545</x:v>
      </x:c>
      <x:c r="B552" t="str">
        <x:v>LOT00545</x:v>
      </x:c>
      <x:c r="C552" t="str">
        <x:v>PM-BRG-B</x:v>
      </x:c>
      <x:c r="D552" t="n">
        <x:v>776</x:v>
      </x:c>
      <x:c r="E552" t="n">
        <x:v>2501986.85</x:v>
      </x:c>
      <x:c r="F552" t="n">
        <x:v>7</x:v>
      </x:c>
      <x:c r="G552" t="n">
        <x:v>0</x:v>
      </x:c>
      <x:c r="H552" t="n">
        <x:v>1.6</x:v>
      </x:c>
      <x:c r="I552" t="n">
        <x:v>1.73</x:v>
      </x:c>
      <x:c r="J552" t="n">
        <x:v>5318</x:v>
      </x:c>
      <x:c r="K552" t="n">
        <x:v>188845.51</x:v>
      </x:c>
      <x:c r="L552" t="n">
        <x:v>3435</x:v>
      </x:c>
      <x:c r="M552" t="n">
        <x:f>SUM(E552,J552:L552)</x:f>
        <x:v>2699585.3600000003</x:v>
      </x:c>
      <x:c r="N552" t="n">
        <x:v>5400</x:v>
      </x:c>
      <x:c r="O552" t="n">
        <x:f>D552*N552</x:f>
        <x:v>4190400</x:v>
      </x:c>
      <x:c r="P552" s="22" t="n">
        <x:f>IF(O552=0,0,(M552-O552)/O552)</x:f>
        <x:v>-0.35576905307369217</x:v>
      </x:c>
      <x:c r="Q552" s="20" t="n">
        <x:v>45796</x:v>
      </x:c>
    </x:row>
    <x:row r="553" ht="20" customHeight="1">
      <x:c r="A553" t="str">
        <x:v>WO00541</x:v>
      </x:c>
      <x:c r="B553" t="str">
        <x:v>LOT00541</x:v>
      </x:c>
      <x:c r="C553" t="str">
        <x:v>AUTO-KN-A</x:v>
      </x:c>
      <x:c r="D553" t="n">
        <x:v>4898</x:v>
      </x:c>
      <x:c r="E553" t="n">
        <x:v>7303508.74</x:v>
      </x:c>
      <x:c r="F553" t="n">
        <x:v>23.65</x:v>
      </x:c>
      <x:c r="G553" t="n">
        <x:v>0</x:v>
      </x:c>
      <x:c r="H553" t="n">
        <x:v>3.93</x:v>
      </x:c>
      <x:c r="I553" t="n">
        <x:v>1</x:v>
      </x:c>
      <x:c r="J553" t="n">
        <x:v>17258.9</x:v>
      </x:c>
      <x:c r="K553" t="n">
        <x:v>546430.55</x:v>
      </x:c>
      <x:c r="L553" t="n">
        <x:v>9915.8</x:v>
      </x:c>
      <x:c r="M553" t="n">
        <x:f>SUM(E553,J553:L553)</x:f>
        <x:v>7877113.99</x:v>
      </x:c>
      <x:c r="N553" t="n">
        <x:v>2210</x:v>
      </x:c>
      <x:c r="O553" t="n">
        <x:f>D553*N553</x:f>
        <x:v>10824580</x:v>
      </x:c>
      <x:c r="P553" s="22" t="n">
        <x:f>IF(O553=0,0,(M553-O553)/O553)</x:f>
        <x:v>-0.2722937989279953</x:v>
      </x:c>
      <x:c r="Q553" s="20" t="n">
        <x:v>45808</x:v>
      </x:c>
    </x:row>
    <x:row r="554" ht="20" customHeight="1">
      <x:c r="A554" t="str">
        <x:v>WO00542</x:v>
      </x:c>
      <x:c r="B554" t="str">
        <x:v>LOT00542</x:v>
      </x:c>
      <x:c r="C554" t="str">
        <x:v>AUTO-BS-B</x:v>
      </x:c>
      <x:c r="D554" t="n">
        <x:v>6921</x:v>
      </x:c>
      <x:c r="E554" t="n">
        <x:v>2854065.07</x:v>
      </x:c>
      <x:c r="F554" t="n">
        <x:v>37.31</x:v>
      </x:c>
      <x:c r="G554" t="n">
        <x:v>0</x:v>
      </x:c>
      <x:c r="H554" t="n">
        <x:v>5.64</x:v>
      </x:c>
      <x:c r="I554" t="n">
        <x:v>1.17</x:v>
      </x:c>
      <x:c r="J554" t="n">
        <x:v>26958.7</x:v>
      </x:c>
      <x:c r="K554" t="n">
        <x:v>270007.33</x:v>
      </x:c>
      <x:c r="L554" t="n">
        <x:v>15431.2</x:v>
      </x:c>
      <x:c r="M554" t="n">
        <x:f>SUM(E554,J554:L554)</x:f>
        <x:v>3166462.3</x:v>
      </x:c>
      <x:c r="N554" t="n">
        <x:v>650</x:v>
      </x:c>
      <x:c r="O554" t="n">
        <x:f>D554*N554</x:f>
        <x:v>4498650</x:v>
      </x:c>
      <x:c r="P554" s="22" t="n">
        <x:f>IF(O554=0,0,(M554-O554)/O554)</x:f>
        <x:v>-0.296130550276194</x:v>
      </x:c>
      <x:c r="Q554" s="20" t="n">
        <x:v>45789</x:v>
      </x:c>
    </x:row>
    <x:row r="555" ht="20" customHeight="1">
      <x:c r="A555" t="str">
        <x:v>WO00543</x:v>
      </x:c>
      <x:c r="B555" t="str">
        <x:v>LOT00543</x:v>
      </x:c>
      <x:c r="C555" t="str">
        <x:v>AUTO-LG-B</x:v>
      </x:c>
      <x:c r="D555" t="n">
        <x:v>6953</x:v>
      </x:c>
      <x:c r="E555" t="n">
        <x:v>4066889.87</x:v>
      </x:c>
      <x:c r="F555" t="n">
        <x:v>37.74</x:v>
      </x:c>
      <x:c r="G555" t="n">
        <x:v>0</x:v>
      </x:c>
      <x:c r="H555" t="n">
        <x:v>5.78</x:v>
      </x:c>
      <x:c r="I555" t="n">
        <x:v>1.09</x:v>
      </x:c>
      <x:c r="J555" t="n">
        <x:v>27305.4</x:v>
      </x:c>
      <x:c r="K555" t="n">
        <x:v>295731.15</x:v>
      </x:c>
      <x:c r="L555" t="n">
        <x:v>15593</x:v>
      </x:c>
      <x:c r="M555" t="n">
        <x:f>SUM(E555,J555:L555)</x:f>
        <x:v>4405519.42</x:v>
      </x:c>
      <x:c r="N555" t="n">
        <x:v>925</x:v>
      </x:c>
      <x:c r="O555" t="n">
        <x:f>D555*N555</x:f>
        <x:v>6431525</x:v>
      </x:c>
      <x:c r="P555" s="22" t="n">
        <x:f>IF(O555=0,0,(M555-O555)/O555)</x:f>
        <x:v>-0.3150116931831875</x:v>
      </x:c>
      <x:c r="Q555" s="20" t="n">
        <x:v>45800</x:v>
      </x:c>
    </x:row>
    <x:row r="556" ht="20" customHeight="1">
      <x:c r="A556" t="str">
        <x:v>WO00548</x:v>
      </x:c>
      <x:c r="B556" t="str">
        <x:v>LOT00548</x:v>
      </x:c>
      <x:c r="C556" t="str">
        <x:v>SEMI-WH-A</x:v>
      </x:c>
      <x:c r="D556" t="n">
        <x:v>78</x:v>
      </x:c>
      <x:c r="E556" t="n">
        <x:v>4213503.2</x:v>
      </x:c>
      <x:c r="F556" t="n">
        <x:v>2.07</x:v>
      </x:c>
      <x:c r="G556" t="n">
        <x:v>0</x:v>
      </x:c>
      <x:c r="H556" t="n">
        <x:v>0.68</x:v>
      </x:c>
      <x:c r="I556" t="n">
        <x:v>2.55</x:v>
      </x:c>
      <x:c r="J556" t="n">
        <x:v>1671.9</x:v>
      </x:c>
      <x:c r="K556" t="n">
        <x:v>574487.78</x:v>
      </x:c>
      <x:c r="L556" t="n">
        <x:v>1660.4</x:v>
      </x:c>
      <x:c r="M556" t="n">
        <x:f>SUM(E556,J556:L556)</x:f>
        <x:v>4791323.28</x:v>
      </x:c>
      <x:c r="N556" t="n">
        <x:v>88000</x:v>
      </x:c>
      <x:c r="O556" t="n">
        <x:f>D556*N556</x:f>
        <x:v>6864000</x:v>
      </x:c>
      <x:c r="P556" s="22" t="n">
        <x:f>IF(O556=0,0,(M556-O556)/O556)</x:f>
        <x:v>-0.3019633916083916</x:v>
      </x:c>
      <x:c r="Q556" s="20" t="n">
        <x:v>45833</x:v>
      </x:c>
    </x:row>
    <x:row r="557" ht="20" customHeight="1">
      <x:c r="A557" t="str">
        <x:v>WO00549</x:v>
      </x:c>
      <x:c r="B557" t="str">
        <x:v>LOT00549</x:v>
      </x:c>
      <x:c r="C557" t="str">
        <x:v>SEMI-WH-A</x:v>
      </x:c>
      <x:c r="D557" t="n">
        <x:v>79</x:v>
      </x:c>
      <x:c r="E557" t="n">
        <x:v>4191262.1</x:v>
      </x:c>
      <x:c r="F557" t="n">
        <x:v>1.95</x:v>
      </x:c>
      <x:c r="G557" t="n">
        <x:v>0</x:v>
      </x:c>
      <x:c r="H557" t="n">
        <x:v>0.77</x:v>
      </x:c>
      <x:c r="I557" t="n">
        <x:v>2.81</x:v>
      </x:c>
      <x:c r="J557" t="n">
        <x:v>1637.1</x:v>
      </x:c>
      <x:c r="K557" t="n">
        <x:v>600530.75</x:v>
      </x:c>
      <x:c r="L557" t="n">
        <x:v>1707.2</x:v>
      </x:c>
      <x:c r="M557" t="n">
        <x:f>SUM(E557,J557:L557)</x:f>
        <x:v>4795137.15</x:v>
      </x:c>
      <x:c r="N557" t="n">
        <x:v>88000</x:v>
      </x:c>
      <x:c r="O557" t="n">
        <x:f>D557*N557</x:f>
        <x:v>6952000</x:v>
      </x:c>
      <x:c r="P557" s="22" t="n">
        <x:f>IF(O557=0,0,(M557-O557)/O557)</x:f>
        <x:v>-0.3102506976409666</x:v>
      </x:c>
      <x:c r="Q557" s="20" t="n">
        <x:v>45832</x:v>
      </x:c>
    </x:row>
    <x:row r="558" ht="20" customHeight="1">
      <x:c r="A558" t="str">
        <x:v>WO00563</x:v>
      </x:c>
      <x:c r="B558" t="str">
        <x:v>LOT00563</x:v>
      </x:c>
      <x:c r="C558" t="str">
        <x:v>PM-BRG-B</x:v>
      </x:c>
      <x:c r="D558" t="n">
        <x:v>791</x:v>
      </x:c>
      <x:c r="E558" t="n">
        <x:v>2528561.77</x:v>
      </x:c>
      <x:c r="F558" t="n">
        <x:v>6.97</x:v>
      </x:c>
      <x:c r="G558" t="n">
        <x:v>0</x:v>
      </x:c>
      <x:c r="H558" t="n">
        <x:v>1.55</x:v>
      </x:c>
      <x:c r="I558" t="n">
        <x:v>1.74</x:v>
      </x:c>
      <x:c r="J558" t="n">
        <x:v>5274.5</x:v>
      </x:c>
      <x:c r="K558" t="n">
        <x:v>205969.6</x:v>
      </x:c>
      <x:c r="L558" t="n">
        <x:v>3418.6</x:v>
      </x:c>
      <x:c r="M558" t="n">
        <x:f>SUM(E558,J558:L558)</x:f>
        <x:v>2743224.47</x:v>
      </x:c>
      <x:c r="N558" t="n">
        <x:v>5400</x:v>
      </x:c>
      <x:c r="O558" t="n">
        <x:f>D558*N558</x:f>
        <x:v>4271400</x:v>
      </x:c>
      <x:c r="P558" s="22" t="n">
        <x:f>IF(O558=0,0,(M558-O558)/O558)</x:f>
        <x:v>-0.3577692395935758</x:v>
      </x:c>
      <x:c r="Q558" s="20" t="n">
        <x:v>45808</x:v>
      </x:c>
    </x:row>
    <x:row r="559" ht="20" customHeight="1">
      <x:c r="A559" t="str">
        <x:v>WO00564</x:v>
      </x:c>
      <x:c r="B559" t="str">
        <x:v>LOT00564</x:v>
      </x:c>
      <x:c r="C559" t="str">
        <x:v>PM-BRG-B</x:v>
      </x:c>
      <x:c r="D559" t="n">
        <x:v>786</x:v>
      </x:c>
      <x:c r="E559" t="n">
        <x:v>2616732.7</x:v>
      </x:c>
      <x:c r="F559" t="n">
        <x:v>6.93</x:v>
      </x:c>
      <x:c r="G559" t="n">
        <x:v>0</x:v>
      </x:c>
      <x:c r="H559" t="n">
        <x:v>1.44</x:v>
      </x:c>
      <x:c r="I559" t="n">
        <x:v>1.55</x:v>
      </x:c>
      <x:c r="J559" t="n">
        <x:v>5195.7</x:v>
      </x:c>
      <x:c r="K559" t="n">
        <x:v>205552.61</x:v>
      </x:c>
      <x:c r="L559" t="n">
        <x:v>3328.8</x:v>
      </x:c>
      <x:c r="M559" t="n">
        <x:f>SUM(E559,J559:L559)</x:f>
        <x:v>2830809.81</x:v>
      </x:c>
      <x:c r="N559" t="n">
        <x:v>5400</x:v>
      </x:c>
      <x:c r="O559" t="n">
        <x:f>D559*N559</x:f>
        <x:v>4244400</x:v>
      </x:c>
      <x:c r="P559" s="22" t="n">
        <x:f>IF(O559=0,0,(M559-O559)/O559)</x:f>
        <x:v>-0.33304829657902174</x:v>
      </x:c>
      <x:c r="Q559" s="20" t="n">
        <x:v>45809</x:v>
      </x:c>
    </x:row>
    <x:row r="560" ht="20" customHeight="1">
      <x:c r="A560" t="str">
        <x:v>WO00553</x:v>
      </x:c>
      <x:c r="B560" t="str">
        <x:v>LOT00553</x:v>
      </x:c>
      <x:c r="C560" t="str">
        <x:v>AUTO-BS-B</x:v>
      </x:c>
      <x:c r="D560" t="n">
        <x:v>6993</x:v>
      </x:c>
      <x:c r="E560" t="n">
        <x:v>2806312.67</x:v>
      </x:c>
      <x:c r="F560" t="n">
        <x:v>37.07</x:v>
      </x:c>
      <x:c r="G560" t="n">
        <x:v>0</x:v>
      </x:c>
      <x:c r="H560" t="n">
        <x:v>5.39</x:v>
      </x:c>
      <x:c r="I560" t="n">
        <x:v>1.35</x:v>
      </x:c>
      <x:c r="J560" t="n">
        <x:v>26682.7</x:v>
      </x:c>
      <x:c r="K560" t="n">
        <x:v>221161.36</x:v>
      </x:c>
      <x:c r="L560" t="n">
        <x:v>15354</x:v>
      </x:c>
      <x:c r="M560" t="n">
        <x:f>SUM(E560,J560:L560)</x:f>
        <x:v>3069510.73</x:v>
      </x:c>
      <x:c r="N560" t="n">
        <x:v>650</x:v>
      </x:c>
      <x:c r="O560" t="n">
        <x:f>D560*N560</x:f>
        <x:v>4545450</x:v>
      </x:c>
      <x:c r="P560" s="22" t="n">
        <x:f>IF(O560=0,0,(M560-O560)/O560)</x:f>
        <x:v>-0.3247069641069641</x:v>
      </x:c>
      <x:c r="Q560" s="20" t="n">
        <x:v>45810</x:v>
      </x:c>
    </x:row>
    <x:row r="561" ht="20" customHeight="1">
      <x:c r="A561" t="str">
        <x:v>WO00565</x:v>
      </x:c>
      <x:c r="B561" t="str">
        <x:v>LOT00565</x:v>
      </x:c>
      <x:c r="C561" t="str">
        <x:v>AUTO-FL-A</x:v>
      </x:c>
      <x:c r="D561" t="n">
        <x:v>4961</x:v>
      </x:c>
      <x:c r="E561" t="n">
        <x:v>3093661</x:v>
      </x:c>
      <x:c r="F561" t="n">
        <x:v>23.9</x:v>
      </x:c>
      <x:c r="G561" t="n">
        <x:v>0</x:v>
      </x:c>
      <x:c r="H561" t="n">
        <x:v>3.7</x:v>
      </x:c>
      <x:c r="I561" t="n">
        <x:v>1.32</x:v>
      </x:c>
      <x:c r="J561" t="n">
        <x:v>17311</x:v>
      </x:c>
      <x:c r="K561" t="n">
        <x:v>235808.69</x:v>
      </x:c>
      <x:c r="L561" t="n">
        <x:v>10070</x:v>
      </x:c>
      <x:c r="M561" t="n">
        <x:f>SUM(E561,J561:L561)</x:f>
        <x:v>3356850.69</x:v>
      </x:c>
      <x:c r="N561" t="n">
        <x:v>970</x:v>
      </x:c>
      <x:c r="O561" t="n">
        <x:f>D561*N561</x:f>
        <x:v>4812170</x:v>
      </x:c>
      <x:c r="P561" s="22" t="n">
        <x:f>IF(O561=0,0,(M561-O561)/O561)</x:f>
        <x:v>-0.3024247501646866</x:v>
      </x:c>
      <x:c r="Q561" s="20" t="n">
        <x:v>45802</x:v>
      </x:c>
    </x:row>
    <x:row r="562" ht="20" customHeight="1">
      <x:c r="A562" t="str">
        <x:v>WO00569</x:v>
      </x:c>
      <x:c r="B562" t="str">
        <x:v>LOT00569</x:v>
      </x:c>
      <x:c r="C562" t="str">
        <x:v>AUTO-KN-A</x:v>
      </x:c>
      <x:c r="D562" t="n">
        <x:v>6995</x:v>
      </x:c>
      <x:c r="E562" t="n">
        <x:v>10120099.33</x:v>
      </x:c>
      <x:c r="F562" t="n">
        <x:v>33.18</x:v>
      </x:c>
      <x:c r="G562" t="n">
        <x:v>0</x:v>
      </x:c>
      <x:c r="H562" t="n">
        <x:v>5.99</x:v>
      </x:c>
      <x:c r="I562" t="n">
        <x:v>1.06</x:v>
      </x:c>
      <x:c r="J562" t="n">
        <x:v>24442.2</x:v>
      </x:c>
      <x:c r="K562" t="n">
        <x:v>934340.32</x:v>
      </x:c>
      <x:c r="L562" t="n">
        <x:v>13884.8</x:v>
      </x:c>
      <x:c r="M562" t="n">
        <x:f>SUM(E562,J562:L562)</x:f>
        <x:v>11092766.65</x:v>
      </x:c>
      <x:c r="N562" t="n">
        <x:v>2210</x:v>
      </x:c>
      <x:c r="O562" t="n">
        <x:f>D562*N562</x:f>
        <x:v>15458950</x:v>
      </x:c>
      <x:c r="P562" s="22" t="n">
        <x:f>IF(O562=0,0,(M562-O562)/O562)</x:f>
        <x:v>-0.282437251559776</x:v>
      </x:c>
      <x:c r="Q562" s="20" t="n">
        <x:v>45818</x:v>
      </x:c>
    </x:row>
    <x:row r="563" ht="20" customHeight="1">
      <x:c r="A563" t="str">
        <x:v>WO00579</x:v>
      </x:c>
      <x:c r="B563" t="str">
        <x:v>LOT00579</x:v>
      </x:c>
      <x:c r="C563" t="str">
        <x:v>PM-VAC-B</x:v>
      </x:c>
      <x:c r="D563" t="n">
        <x:v>792</x:v>
      </x:c>
      <x:c r="E563" t="n">
        <x:v>7688238.49</x:v>
      </x:c>
      <x:c r="F563" t="n">
        <x:v>7.45</x:v>
      </x:c>
      <x:c r="G563" t="n">
        <x:v>0</x:v>
      </x:c>
      <x:c r="H563" t="n">
        <x:v>1.36</x:v>
      </x:c>
      <x:c r="I563" t="n">
        <x:v>1.81</x:v>
      </x:c>
      <x:c r="J563" t="n">
        <x:v>5495.3</x:v>
      </x:c>
      <x:c r="K563" t="n">
        <x:v>936516.93</x:v>
      </x:c>
      <x:c r="L563" t="n">
        <x:v>3591.6</x:v>
      </x:c>
      <x:c r="M563" t="n">
        <x:f>SUM(E563,J563:L563)</x:f>
        <x:v>8633842.32</x:v>
      </x:c>
      <x:c r="N563" t="n">
        <x:v>15500</x:v>
      </x:c>
      <x:c r="O563" t="n">
        <x:f>D563*N563</x:f>
        <x:v>12276000</x:v>
      </x:c>
      <x:c r="P563" s="22" t="n">
        <x:f>IF(O563=0,0,(M563-O563)/O563)</x:f>
        <x:v>-0.2966892864125122</x:v>
      </x:c>
      <x:c r="Q563" s="20" t="n">
        <x:v>45816</x:v>
      </x:c>
    </x:row>
    <x:row r="564" ht="20" customHeight="1">
      <x:c r="A564" t="str">
        <x:v>WO00580</x:v>
      </x:c>
      <x:c r="B564" t="str">
        <x:v>LOT00580</x:v>
      </x:c>
      <x:c r="C564" t="str">
        <x:v>PM-VAC-B</x:v>
      </x:c>
      <x:c r="D564" t="n">
        <x:v>789</x:v>
      </x:c>
      <x:c r="E564" t="n">
        <x:v>7822017.17</x:v>
      </x:c>
      <x:c r="F564" t="n">
        <x:v>6.89</x:v>
      </x:c>
      <x:c r="G564" t="n">
        <x:v>0</x:v>
      </x:c>
      <x:c r="H564" t="n">
        <x:v>1.61</x:v>
      </x:c>
      <x:c r="I564" t="n">
        <x:v>1.58</x:v>
      </x:c>
      <x:c r="J564" t="n">
        <x:v>5251.3</x:v>
      </x:c>
      <x:c r="K564" t="n">
        <x:v>923288.47</x:v>
      </x:c>
      <x:c r="L564" t="n">
        <x:v>3349.8</x:v>
      </x:c>
      <x:c r="M564" t="n">
        <x:f>SUM(E564,J564:L564)</x:f>
        <x:v>8753906.74</x:v>
      </x:c>
      <x:c r="N564" t="n">
        <x:v>15500</x:v>
      </x:c>
      <x:c r="O564" t="n">
        <x:f>D564*N564</x:f>
        <x:v>12229500</x:v>
      </x:c>
      <x:c r="P564" s="22" t="n">
        <x:f>IF(O564=0,0,(M564-O564)/O564)</x:f>
        <x:v>-0.28419749458277116</x:v>
      </x:c>
      <x:c r="Q564" s="20" t="n">
        <x:v>45818</x:v>
      </x:c>
    </x:row>
    <x:row r="565" ht="20" customHeight="1">
      <x:c r="A565" t="str">
        <x:v>WO00581</x:v>
      </x:c>
      <x:c r="B565" t="str">
        <x:v>LOT00581</x:v>
      </x:c>
      <x:c r="C565" t="str">
        <x:v>AUTO-KN-A</x:v>
      </x:c>
      <x:c r="D565" t="n">
        <x:v>4929</x:v>
      </x:c>
      <x:c r="E565" t="n">
        <x:v>7272948.22</x:v>
      </x:c>
      <x:c r="F565" t="n">
        <x:v>25.61</x:v>
      </x:c>
      <x:c r="G565" t="n">
        <x:v>0</x:v>
      </x:c>
      <x:c r="H565" t="n">
        <x:v>4.65</x:v>
      </x:c>
      <x:c r="I565" t="n">
        <x:v>1.1</x:v>
      </x:c>
      <x:c r="J565" t="n">
        <x:v>18878.5</x:v>
      </x:c>
      <x:c r="K565" t="n">
        <x:v>610711.97</x:v>
      </x:c>
      <x:c r="L565" t="n">
        <x:v>10805.8</x:v>
      </x:c>
      <x:c r="M565" t="n">
        <x:f>SUM(E565,J565:L565)</x:f>
        <x:v>7913344.49</x:v>
      </x:c>
      <x:c r="N565" t="n">
        <x:v>2210</x:v>
      </x:c>
      <x:c r="O565" t="n">
        <x:f>D565*N565</x:f>
        <x:v>10893090</x:v>
      </x:c>
      <x:c r="P565" s="22" t="n">
        <x:f>IF(O565=0,0,(M565-O565)/O565)</x:f>
        <x:v>-0.27354455989989984</x:v>
      </x:c>
      <x:c r="Q565" s="20" t="n">
        <x:v>45812</x:v>
      </x:c>
    </x:row>
    <x:row r="566" ht="20" customHeight="1">
      <x:c r="A566" t="str">
        <x:v>WO00582</x:v>
      </x:c>
      <x:c r="B566" t="str">
        <x:v>LOT00582</x:v>
      </x:c>
      <x:c r="C566" t="str">
        <x:v>AUTO-KN-A</x:v>
      </x:c>
      <x:c r="D566" t="n">
        <x:v>4963</x:v>
      </x:c>
      <x:c r="E566" t="n">
        <x:v>7065900.74</x:v>
      </x:c>
      <x:c r="F566" t="n">
        <x:v>25</x:v>
      </x:c>
      <x:c r="G566" t="n">
        <x:v>0</x:v>
      </x:c>
      <x:c r="H566" t="n">
        <x:v>4.04</x:v>
      </x:c>
      <x:c r="I566" t="n">
        <x:v>1.16</x:v>
      </x:c>
      <x:c r="J566" t="n">
        <x:v>18189.2</x:v>
      </x:c>
      <x:c r="K566" t="n">
        <x:v>639002.33</x:v>
      </x:c>
      <x:c r="L566" t="n">
        <x:v>10494.4</x:v>
      </x:c>
      <x:c r="M566" t="n">
        <x:f>SUM(E566,J566:L566)</x:f>
        <x:v>7733586.67</x:v>
      </x:c>
      <x:c r="N566" t="n">
        <x:v>2210</x:v>
      </x:c>
      <x:c r="O566" t="n">
        <x:f>D566*N566</x:f>
        <x:v>10968230</x:v>
      </x:c>
      <x:c r="P566" s="22" t="n">
        <x:f>IF(O566=0,0,(M566-O566)/O566)</x:f>
        <x:v>-0.29491023893554386</x:v>
      </x:c>
      <x:c r="Q566" s="20" t="n">
        <x:v>45810</x:v>
      </x:c>
    </x:row>
    <x:row r="567" ht="20" customHeight="1">
      <x:c r="A567" t="str">
        <x:v>WO00568</x:v>
      </x:c>
      <x:c r="B567" t="str">
        <x:v>LOT00568</x:v>
      </x:c>
      <x:c r="C567" t="str">
        <x:v>AUTO-MH-A</x:v>
      </x:c>
      <x:c r="D567" t="n">
        <x:v>4961</x:v>
      </x:c>
      <x:c r="E567" t="n">
        <x:v>6992949.59</x:v>
      </x:c>
      <x:c r="F567" t="n">
        <x:v>26.6</x:v>
      </x:c>
      <x:c r="G567" t="n">
        <x:v>0</x:v>
      </x:c>
      <x:c r="H567" t="n">
        <x:v>4.56</x:v>
      </x:c>
      <x:c r="I567" t="n">
        <x:v>1.32</x:v>
      </x:c>
      <x:c r="J567" t="n">
        <x:v>19478.8</x:v>
      </x:c>
      <x:c r="K567" t="n">
        <x:v>426691.23</x:v>
      </x:c>
      <x:c r="L567" t="n">
        <x:v>11233.6</x:v>
      </x:c>
      <x:c r="M567" t="n">
        <x:f>SUM(E567,J567:L567)</x:f>
        <x:v>7450353.22</x:v>
      </x:c>
      <x:c r="N567" t="n">
        <x:v>1970</x:v>
      </x:c>
      <x:c r="O567" t="n">
        <x:f>D567*N567</x:f>
        <x:v>9773170</x:v>
      </x:c>
      <x:c r="P567" s="22" t="n">
        <x:f>IF(O567=0,0,(M567-O567)/O567)</x:f>
        <x:v>-0.23767281035733548</x:v>
      </x:c>
      <x:c r="Q567" s="20" t="n">
        <x:v>45813</x:v>
      </x:c>
    </x:row>
    <x:row r="568" ht="20" customHeight="1">
      <x:c r="A568" t="str">
        <x:v>WO00567</x:v>
      </x:c>
      <x:c r="B568" t="str">
        <x:v>LOT00567</x:v>
      </x:c>
      <x:c r="C568" t="str">
        <x:v>AUTO-MH-A</x:v>
      </x:c>
      <x:c r="D568" t="n">
        <x:v>4893</x:v>
      </x:c>
      <x:c r="E568" t="n">
        <x:v>7118419.13</x:v>
      </x:c>
      <x:c r="F568" t="n">
        <x:v>26.92</x:v>
      </x:c>
      <x:c r="G568" t="n">
        <x:v>0</x:v>
      </x:c>
      <x:c r="H568" t="n">
        <x:v>3.95</x:v>
      </x:c>
      <x:c r="I568" t="n">
        <x:v>1.19</x:v>
      </x:c>
      <x:c r="J568" t="n">
        <x:v>19394</x:v>
      </x:c>
      <x:c r="K568" t="n">
        <x:v>370917.53</x:v>
      </x:c>
      <x:c r="L568" t="n">
        <x:v>11218.6</x:v>
      </x:c>
      <x:c r="M568" t="n">
        <x:f>SUM(E568,J568:L568)</x:f>
        <x:v>7519949.26</x:v>
      </x:c>
      <x:c r="N568" t="n">
        <x:v>1970</x:v>
      </x:c>
      <x:c r="O568" t="n">
        <x:f>D568*N568</x:f>
        <x:v>9639210</x:v>
      </x:c>
      <x:c r="P568" s="22" t="n">
        <x:f>IF(O568=0,0,(M568-O568)/O568)</x:f>
        <x:v>-0.21985834316297706</x:v>
      </x:c>
      <x:c r="Q568" s="20" t="n">
        <x:v>45817</x:v>
      </x:c>
    </x:row>
    <x:row r="569" ht="20" customHeight="1">
      <x:c r="A569" t="str">
        <x:v>WO00574</x:v>
      </x:c>
      <x:c r="B569" t="str">
        <x:v>LOT00574</x:v>
      </x:c>
      <x:c r="C569" t="str">
        <x:v>PM-SUS-B</x:v>
      </x:c>
      <x:c r="D569" t="n">
        <x:v>587</x:v>
      </x:c>
      <x:c r="E569" t="n">
        <x:v>4129755.6</x:v>
      </x:c>
      <x:c r="F569" t="n">
        <x:v>5.83</x:v>
      </x:c>
      <x:c r="G569" t="n">
        <x:v>0</x:v>
      </x:c>
      <x:c r="H569" t="n">
        <x:v>1.02</x:v>
      </x:c>
      <x:c r="I569" t="n">
        <x:v>1.61</x:v>
      </x:c>
      <x:c r="J569" t="n">
        <x:v>4279.1</x:v>
      </x:c>
      <x:c r="K569" t="n">
        <x:v>389706.36</x:v>
      </x:c>
      <x:c r="L569" t="n">
        <x:v>2861.6</x:v>
      </x:c>
      <x:c r="M569" t="n">
        <x:f>SUM(E569,J569:L569)</x:f>
        <x:v>4526602.66</x:v>
      </x:c>
      <x:c r="N569" t="n">
        <x:v>11100</x:v>
      </x:c>
      <x:c r="O569" t="n">
        <x:f>D569*N569</x:f>
        <x:v>6515700</x:v>
      </x:c>
      <x:c r="P569" s="22" t="n">
        <x:f>IF(O569=0,0,(M569-O569)/O569)</x:f>
        <x:v>-0.3052776125358749</x:v>
      </x:c>
      <x:c r="Q569" s="20" t="n">
        <x:v>45815</x:v>
      </x:c>
    </x:row>
    <x:row r="570" ht="20" customHeight="1">
      <x:c r="A570" t="str">
        <x:v>WO00575</x:v>
      </x:c>
      <x:c r="B570" t="str">
        <x:v>LOT00575</x:v>
      </x:c>
      <x:c r="C570" t="str">
        <x:v>PM-SUS-B</x:v>
      </x:c>
      <x:c r="D570" t="n">
        <x:v>588</x:v>
      </x:c>
      <x:c r="E570" t="n">
        <x:v>3938757.48</x:v>
      </x:c>
      <x:c r="F570" t="n">
        <x:v>4.66</x:v>
      </x:c>
      <x:c r="G570" t="n">
        <x:v>0</x:v>
      </x:c>
      <x:c r="H570" t="n">
        <x:v>1.05</x:v>
      </x:c>
      <x:c r="I570" t="n">
        <x:v>1.81</x:v>
      </x:c>
      <x:c r="J570" t="n">
        <x:v>3533</x:v>
      </x:c>
      <x:c r="K570" t="n">
        <x:v>454424.86</x:v>
      </x:c>
      <x:c r="L570" t="n">
        <x:v>2481.8</x:v>
      </x:c>
      <x:c r="M570" t="n">
        <x:f>SUM(E570,J570:L570)</x:f>
        <x:v>4399197.14</x:v>
      </x:c>
      <x:c r="N570" t="n">
        <x:v>11100</x:v>
      </x:c>
      <x:c r="O570" t="n">
        <x:f>D570*N570</x:f>
        <x:v>6526800</x:v>
      </x:c>
      <x:c r="P570" s="22" t="n">
        <x:f>IF(O570=0,0,(M570-O570)/O570)</x:f>
        <x:v>-0.3259794784580499</x:v>
      </x:c>
      <x:c r="Q570" s="20" t="n">
        <x:v>45818</x:v>
      </x:c>
    </x:row>
    <x:row r="571" ht="20" customHeight="1">
      <x:c r="A571" t="str">
        <x:v>WO00559</x:v>
      </x:c>
      <x:c r="B571" t="str">
        <x:v>LOT00559</x:v>
      </x:c>
      <x:c r="C571" t="str">
        <x:v>SEMI-WH-B</x:v>
      </x:c>
      <x:c r="D571" t="n">
        <x:v>59</x:v>
      </x:c>
      <x:c r="E571" t="n">
        <x:v>4831486.32</x:v>
      </x:c>
      <x:c r="F571" t="n">
        <x:v>1.52</x:v>
      </x:c>
      <x:c r="G571" t="n">
        <x:v>0</x:v>
      </x:c>
      <x:c r="H571" t="n">
        <x:v>0.59</x:v>
      </x:c>
      <x:c r="I571" t="n">
        <x:v>2.82</x:v>
      </x:c>
      <x:c r="J571" t="n">
        <x:v>1271.2</x:v>
      </x:c>
      <x:c r="K571" t="n">
        <x:v>551343.5</x:v>
      </x:c>
      <x:c r="L571" t="n">
        <x:v>1518</x:v>
      </x:c>
      <x:c r="M571" t="n">
        <x:f>SUM(E571,J571:L571)</x:f>
        <x:v>5385619.0200000005</x:v>
      </x:c>
      <x:c r="N571" t="n">
        <x:v>130000</x:v>
      </x:c>
      <x:c r="O571" t="n">
        <x:f>D571*N571</x:f>
        <x:v>7670000</x:v>
      </x:c>
      <x:c r="P571" s="22" t="n">
        <x:f>IF(O571=0,0,(M571-O571)/O571)</x:f>
        <x:v>-0.29783324380704035</x:v>
      </x:c>
      <x:c r="Q571" s="20" t="n">
        <x:v>45850</x:v>
      </x:c>
    </x:row>
    <x:row r="572" ht="20" customHeight="1">
      <x:c r="A572" t="str">
        <x:v>WO00560</x:v>
      </x:c>
      <x:c r="B572" t="str">
        <x:v>LOT00560</x:v>
      </x:c>
      <x:c r="C572" t="str">
        <x:v>SEMI-WH-B</x:v>
      </x:c>
      <x:c r="D572" t="n">
        <x:v>58</x:v>
      </x:c>
      <x:c r="E572" t="n">
        <x:v>4566718.02</x:v>
      </x:c>
      <x:c r="F572" t="n">
        <x:v>1.58</x:v>
      </x:c>
      <x:c r="G572" t="n">
        <x:v>0</x:v>
      </x:c>
      <x:c r="H572" t="n">
        <x:v>0.63</x:v>
      </x:c>
      <x:c r="I572" t="n">
        <x:v>2.82</x:v>
      </x:c>
      <x:c r="J572" t="n">
        <x:v>1329.4</x:v>
      </x:c>
      <x:c r="K572" t="n">
        <x:v>552505.42</x:v>
      </x:c>
      <x:c r="L572" t="n">
        <x:v>1547.2</x:v>
      </x:c>
      <x:c r="M572" t="n">
        <x:f>SUM(E572,J572:L572)</x:f>
        <x:v>5122100.039999999</x:v>
      </x:c>
      <x:c r="N572" t="n">
        <x:v>130000</x:v>
      </x:c>
      <x:c r="O572" t="n">
        <x:f>D572*N572</x:f>
        <x:v>7540000</x:v>
      </x:c>
      <x:c r="P572" s="22" t="n">
        <x:f>IF(O572=0,0,(M572-O572)/O572)</x:f>
        <x:v>-0.32067638726790465</x:v>
      </x:c>
      <x:c r="Q572" s="20" t="n">
        <x:v>45852</x:v>
      </x:c>
    </x:row>
    <x:row r="573" ht="20" customHeight="1">
      <x:c r="A573" t="str">
        <x:v>WO00585</x:v>
      </x:c>
      <x:c r="B573" t="str">
        <x:v>LOT00585</x:v>
      </x:c>
      <x:c r="C573" t="str">
        <x:v>AUTO-KN-A</x:v>
      </x:c>
      <x:c r="D573" t="n">
        <x:v>2969</x:v>
      </x:c>
      <x:c r="E573" t="n">
        <x:v>4503437.08</x:v>
      </x:c>
      <x:c r="F573" t="n">
        <x:v>15.83</x:v>
      </x:c>
      <x:c r="G573" t="n">
        <x:v>0</x:v>
      </x:c>
      <x:c r="H573" t="n">
        <x:v>2.61</x:v>
      </x:c>
      <x:c r="I573" t="n">
        <x:v>1.17</x:v>
      </x:c>
      <x:c r="J573" t="n">
        <x:v>11542.3</x:v>
      </x:c>
      <x:c r="K573" t="n">
        <x:v>328434.68</x:v>
      </x:c>
      <x:c r="L573" t="n">
        <x:v>6784</x:v>
      </x:c>
      <x:c r="M573" t="n">
        <x:f>SUM(E573,J573:L573)</x:f>
        <x:v>4850198.0600000005</x:v>
      </x:c>
      <x:c r="N573" t="n">
        <x:v>2210</x:v>
      </x:c>
      <x:c r="O573" t="n">
        <x:f>D573*N573</x:f>
        <x:v>6561490</x:v>
      </x:c>
      <x:c r="P573" s="22" t="n">
        <x:f>IF(O573=0,0,(M573-O573)/O573)</x:f>
        <x:v>-0.26080843527918196</x:v>
      </x:c>
      <x:c r="Q573" s="20" t="n">
        <x:v>45817</x:v>
      </x:c>
    </x:row>
    <x:row r="574" ht="20" customHeight="1">
      <x:c r="A574" t="str">
        <x:v>WO00590</x:v>
      </x:c>
      <x:c r="B574" t="str">
        <x:v>LOT00590</x:v>
      </x:c>
      <x:c r="C574" t="str">
        <x:v>PM-SUS-B</x:v>
      </x:c>
      <x:c r="D574" t="n">
        <x:v>776</x:v>
      </x:c>
      <x:c r="E574" t="n">
        <x:v>5720911.91</x:v>
      </x:c>
      <x:c r="F574" t="n">
        <x:v>6.57</x:v>
      </x:c>
      <x:c r="G574" t="n">
        <x:v>0</x:v>
      </x:c>
      <x:c r="H574" t="n">
        <x:v>1.39</x:v>
      </x:c>
      <x:c r="I574" t="n">
        <x:v>1.68</x:v>
      </x:c>
      <x:c r="J574" t="n">
        <x:v>4937.7</x:v>
      </x:c>
      <x:c r="K574" t="n">
        <x:v>618823.41</x:v>
      </x:c>
      <x:c r="L574" t="n">
        <x:v>3223</x:v>
      </x:c>
      <x:c r="M574" t="n">
        <x:f>SUM(E574,J574:L574)</x:f>
        <x:v>6347896.0200000005</x:v>
      </x:c>
      <x:c r="N574" t="n">
        <x:v>11100</x:v>
      </x:c>
      <x:c r="O574" t="n">
        <x:f>D574*N574</x:f>
        <x:v>8613600</x:v>
      </x:c>
      <x:c r="P574" s="22" t="n">
        <x:f>IF(O574=0,0,(M574-O574)/O574)</x:f>
        <x:v>-0.2630379841181387</x:v>
      </x:c>
      <x:c r="Q574" s="20" t="n">
        <x:v>45822</x:v>
      </x:c>
    </x:row>
    <x:row r="575" ht="20" customHeight="1">
      <x:c r="A575" t="str">
        <x:v>WO00558</x:v>
      </x:c>
      <x:c r="B575" t="str">
        <x:v>LOT00558</x:v>
      </x:c>
      <x:c r="C575" t="str">
        <x:v>MECH-CON-A</x:v>
      </x:c>
      <x:c r="D575" t="n">
        <x:v>19</x:v>
      </x:c>
      <x:c r="E575" t="n">
        <x:v>1072793.02</x:v>
      </x:c>
      <x:c r="F575" t="n">
        <x:v>1491.67</x:v>
      </x:c>
      <x:c r="G575" t="n">
        <x:v>5231.78</x:v>
      </x:c>
      <x:c r="H575" t="n">
        <x:v>3817.76</x:v>
      </x:c>
      <x:c r="I575" t="n">
        <x:v>3.46</x:v>
      </x:c>
      <x:c r="J575" t="n">
        <x:v>5522635.9</x:v>
      </x:c>
      <x:c r="K575" t="n">
        <x:v>101477.96</x:v>
      </x:c>
      <x:c r="L575" t="n">
        <x:v>2225070.2</x:v>
      </x:c>
      <x:c r="M575" t="n">
        <x:f>SUM(E575,J575:L575)</x:f>
        <x:v>8921977.08</x:v>
      </x:c>
      <x:c r="N575" t="n">
        <x:v>83000</x:v>
      </x:c>
      <x:c r="O575" t="n">
        <x:f>D575*N575</x:f>
        <x:v>1577000</x:v>
      </x:c>
      <x:c r="P575" s="22" t="n">
        <x:f>IF(O575=0,0,(M575-O575)/O575)</x:f>
        <x:v>4.657563145212428</x:v>
      </x:c>
      <x:c r="Q575" s="20" t="n">
        <x:v>45826</x:v>
      </x:c>
    </x:row>
    <x:row r="576" ht="20" customHeight="1">
      <x:c r="A576" t="str">
        <x:v>WO00573</x:v>
      </x:c>
      <x:c r="B576" t="str">
        <x:v>LOT00573</x:v>
      </x:c>
      <x:c r="C576" t="str">
        <x:v>PM-VAC-A</x:v>
      </x:c>
      <x:c r="D576" t="n">
        <x:v>488</x:v>
      </x:c>
      <x:c r="E576" t="n">
        <x:v>3190608.33</x:v>
      </x:c>
      <x:c r="F576" t="n">
        <x:v>4.42</x:v>
      </x:c>
      <x:c r="G576" t="n">
        <x:v>0</x:v>
      </x:c>
      <x:c r="H576" t="n">
        <x:v>0.99</x:v>
      </x:c>
      <x:c r="I576" t="n">
        <x:v>1.89</x:v>
      </x:c>
      <x:c r="J576" t="n">
        <x:v>3348.2</x:v>
      </x:c>
      <x:c r="K576" t="n">
        <x:v>444981.9</x:v>
      </x:c>
      <x:c r="L576" t="n">
        <x:v>2405</x:v>
      </x:c>
      <x:c r="M576" t="n">
        <x:f>SUM(E576,J576:L576)</x:f>
        <x:v>3641343.43</x:v>
      </x:c>
      <x:c r="N576" t="n">
        <x:v>10800</x:v>
      </x:c>
      <x:c r="O576" t="n">
        <x:f>D576*N576</x:f>
        <x:v>5270400</x:v>
      </x:c>
      <x:c r="P576" s="22" t="n">
        <x:f>IF(O576=0,0,(M576-O576)/O576)</x:f>
        <x:v>-0.3090954329842137</x:v>
      </x:c>
      <x:c r="Q576" s="20" t="n">
        <x:v>45830</x:v>
      </x:c>
    </x:row>
    <x:row r="577" ht="20" customHeight="1">
      <x:c r="A577" t="str">
        <x:v>WO00588</x:v>
      </x:c>
      <x:c r="B577" t="str">
        <x:v>LOT00588</x:v>
      </x:c>
      <x:c r="C577" t="str">
        <x:v>MECH-CON-A</x:v>
      </x:c>
      <x:c r="D577" t="n">
        <x:v>17</x:v>
      </x:c>
      <x:c r="E577" t="n">
        <x:v>942108.32</x:v>
      </x:c>
      <x:c r="F577" t="n">
        <x:v>1125.06</x:v>
      </x:c>
      <x:c r="G577" t="n">
        <x:v>4310.26</x:v>
      </x:c>
      <x:c r="H577" t="n">
        <x:v>3085.56</x:v>
      </x:c>
      <x:c r="I577" t="n">
        <x:v>2.94</x:v>
      </x:c>
      <x:c r="J577" t="n">
        <x:v>4453693</x:v>
      </x:c>
      <x:c r="K577" t="n">
        <x:v>92126.02</x:v>
      </x:c>
      <x:c r="L577" t="n">
        <x:v>1784146.4</x:v>
      </x:c>
      <x:c r="M577" t="n">
        <x:f>SUM(E577,J577:L577)</x:f>
        <x:v>7272073.74</x:v>
      </x:c>
      <x:c r="N577" t="n">
        <x:v>83000</x:v>
      </x:c>
      <x:c r="O577" t="n">
        <x:f>D577*N577</x:f>
        <x:v>1411000</x:v>
      </x:c>
      <x:c r="P577" s="22" t="n">
        <x:f>IF(O577=0,0,(M577-O577)/O577)</x:f>
        <x:v>4.1538438979447205</x:v>
      </x:c>
      <x:c r="Q577" s="20" t="n">
        <x:v>45835</x:v>
      </x:c>
    </x:row>
    <x:row r="578" ht="20" customHeight="1">
      <x:c r="A578" t="str">
        <x:v>WO00587</x:v>
      </x:c>
      <x:c r="B578" t="str">
        <x:v>LOT00587</x:v>
      </x:c>
      <x:c r="C578" t="str">
        <x:v>MECH-CON-A</x:v>
      </x:c>
      <x:c r="D578" t="n">
        <x:v>17</x:v>
      </x:c>
      <x:c r="E578" t="n">
        <x:v>934363.65</x:v>
      </x:c>
      <x:c r="F578" t="n">
        <x:v>1442</x:v>
      </x:c>
      <x:c r="G578" t="n">
        <x:v>4694.23</x:v>
      </x:c>
      <x:c r="H578" t="n">
        <x:v>2599.99</x:v>
      </x:c>
      <x:c r="I578" t="n">
        <x:v>3.3</x:v>
      </x:c>
      <x:c r="J578" t="n">
        <x:v>4626294.8</x:v>
      </x:c>
      <x:c r="K578" t="n">
        <x:v>77193.22</x:v>
      </x:c>
      <x:c r="L578" t="n">
        <x:v>1903794.4</x:v>
      </x:c>
      <x:c r="M578" t="n">
        <x:f>SUM(E578,J578:L578)</x:f>
        <x:v>7541646.07</x:v>
      </x:c>
      <x:c r="N578" t="n">
        <x:v>83000</x:v>
      </x:c>
      <x:c r="O578" t="n">
        <x:f>D578*N578</x:f>
        <x:v>1411000</x:v>
      </x:c>
      <x:c r="P578" s="22" t="n">
        <x:f>IF(O578=0,0,(M578-O578)/O578)</x:f>
        <x:v>4.344894450744153</x:v>
      </x:c>
      <x:c r="Q578" s="20" t="n">
        <x:v>45832</x:v>
      </x:c>
    </x:row>
    <x:row r="579" ht="20" customHeight="1">
      <x:c r="A579" t="str">
        <x:v>WO00578</x:v>
      </x:c>
      <x:c r="B579" t="str">
        <x:v>LOT00578</x:v>
      </x:c>
      <x:c r="C579" t="str">
        <x:v>AUTO-MH-B</x:v>
      </x:c>
      <x:c r="D579" t="n">
        <x:v>6951</x:v>
      </x:c>
      <x:c r="E579" t="n">
        <x:v>10790385.64</x:v>
      </x:c>
      <x:c r="F579" t="n">
        <x:v>38.4</x:v>
      </x:c>
      <x:c r="G579" t="n">
        <x:v>0</x:v>
      </x:c>
      <x:c r="H579" t="n">
        <x:v>6.27</x:v>
      </x:c>
      <x:c r="I579" t="n">
        <x:v>1.36</x:v>
      </x:c>
      <x:c r="J579" t="n">
        <x:v>27969.6</x:v>
      </x:c>
      <x:c r="K579" t="n">
        <x:v>658958.57</x:v>
      </x:c>
      <x:c r="L579" t="n">
        <x:v>16003.2</x:v>
      </x:c>
      <x:c r="M579" t="n">
        <x:f>SUM(E579,J579:L579)</x:f>
        <x:v>11493317.01</x:v>
      </x:c>
      <x:c r="N579" t="n">
        <x:v>2320</x:v>
      </x:c>
      <x:c r="O579" t="n">
        <x:f>D579*N579</x:f>
        <x:v>16126320</x:v>
      </x:c>
      <x:c r="P579" s="22" t="n">
        <x:f>IF(O579=0,0,(M579-O579)/O579)</x:f>
        <x:v>-0.2872944968225857</x:v>
      </x:c>
      <x:c r="Q579" s="20" t="n">
        <x:v>45822</x:v>
      </x:c>
    </x:row>
    <x:row r="580" ht="20" customHeight="1">
      <x:c r="A580" t="str">
        <x:v>WO00586</x:v>
      </x:c>
      <x:c r="B580" t="str">
        <x:v>LOT00586</x:v>
      </x:c>
      <x:c r="C580" t="str">
        <x:v>PM-SUS-B</x:v>
      </x:c>
      <x:c r="D580" t="n">
        <x:v>779</x:v>
      </x:c>
      <x:c r="E580" t="n">
        <x:v>5671451.46</x:v>
      </x:c>
      <x:c r="F580" t="n">
        <x:v>6.55</x:v>
      </x:c>
      <x:c r="G580" t="n">
        <x:v>0</x:v>
      </x:c>
      <x:c r="H580" t="n">
        <x:v>1.6</x:v>
      </x:c>
      <x:c r="I580" t="n">
        <x:v>1.55</x:v>
      </x:c>
      <x:c r="J580" t="n">
        <x:v>5025.5</x:v>
      </x:c>
      <x:c r="K580" t="n">
        <x:v>605967.15</x:v>
      </x:c>
      <x:c r="L580" t="n">
        <x:v>3210</x:v>
      </x:c>
      <x:c r="M580" t="n">
        <x:f>SUM(E580,J580:L580)</x:f>
        <x:v>6285654.11</x:v>
      </x:c>
      <x:c r="N580" t="n">
        <x:v>11100</x:v>
      </x:c>
      <x:c r="O580" t="n">
        <x:f>D580*N580</x:f>
        <x:v>8646900</x:v>
      </x:c>
      <x:c r="P580" s="22" t="n">
        <x:f>IF(O580=0,0,(M580-O580)/O580)</x:f>
        <x:v>-0.2730742682348587</x:v>
      </x:c>
      <x:c r="Q580" s="20" t="n">
        <x:v>45829</x:v>
      </x:c>
    </x:row>
    <x:row r="581" ht="20" customHeight="1">
      <x:c r="A581" t="str">
        <x:v>WO00589</x:v>
      </x:c>
      <x:c r="B581" t="str">
        <x:v>LOT00589</x:v>
      </x:c>
      <x:c r="C581" t="str">
        <x:v>MECH-CON-A</x:v>
      </x:c>
      <x:c r="D581" t="n">
        <x:v>16</x:v>
      </x:c>
      <x:c r="E581" t="n">
        <x:v>846850.54</x:v>
      </x:c>
      <x:c r="F581" t="n">
        <x:v>1334.94</x:v>
      </x:c>
      <x:c r="G581" t="n">
        <x:v>4191.65</x:v>
      </x:c>
      <x:c r="H581" t="n">
        <x:v>2910.98</x:v>
      </x:c>
      <x:c r="I581" t="n">
        <x:v>2.87</x:v>
      </x:c>
      <x:c r="J581" t="n">
        <x:v>4444639.4</x:v>
      </x:c>
      <x:c r="K581" t="n">
        <x:v>87752.3</x:v>
      </x:c>
      <x:c r="L581" t="n">
        <x:v>1812225</x:v>
      </x:c>
      <x:c r="M581" t="n">
        <x:f>SUM(E581,J581:L581)</x:f>
        <x:v>7191467.24</x:v>
      </x:c>
      <x:c r="N581" t="n">
        <x:v>83000</x:v>
      </x:c>
      <x:c r="O581" t="n">
        <x:f>D581*N581</x:f>
        <x:v>1328000</x:v>
      </x:c>
      <x:c r="P581" s="22" t="n">
        <x:f>IF(O581=0,0,(M581-O581)/O581)</x:f>
        <x:v>4.415261475903614</x:v>
      </x:c>
      <x:c r="Q581" s="20" t="n">
        <x:v>45833</x:v>
      </x:c>
    </x:row>
    <x:row r="582" ht="20" customHeight="1">
      <x:c r="A582" t="str">
        <x:v>WO00584</x:v>
      </x:c>
      <x:c r="B582" t="str">
        <x:v>LOT00584</x:v>
      </x:c>
      <x:c r="C582" t="str">
        <x:v>MECH-CON-A</x:v>
      </x:c>
      <x:c r="D582" t="n">
        <x:v>15</x:v>
      </x:c>
      <x:c r="E582" t="n">
        <x:v>789011.33</x:v>
      </x:c>
      <x:c r="F582" t="n">
        <x:v>1317.53</x:v>
      </x:c>
      <x:c r="G582" t="n">
        <x:v>3652.49</x:v>
      </x:c>
      <x:c r="H582" t="n">
        <x:v>2542.78</x:v>
      </x:c>
      <x:c r="I582" t="n">
        <x:v>3.03</x:v>
      </x:c>
      <x:c r="J582" t="n">
        <x:v>3976223.7</x:v>
      </x:c>
      <x:c r="K582" t="n">
        <x:v>68904.47</x:v>
      </x:c>
      <x:c r="L582" t="n">
        <x:v>1638913.2</x:v>
      </x:c>
      <x:c r="M582" t="n">
        <x:f>SUM(E582,J582:L582)</x:f>
        <x:v>6473052.7</x:v>
      </x:c>
      <x:c r="N582" t="n">
        <x:v>83000</x:v>
      </x:c>
      <x:c r="O582" t="n">
        <x:f>D582*N582</x:f>
        <x:v>1245000</x:v>
      </x:c>
      <x:c r="P582" s="22" t="n">
        <x:f>IF(O582=0,0,(M582-O582)/O582)</x:f>
        <x:v>4.199239116465864</x:v>
      </x:c>
      <x:c r="Q582" s="20" t="n">
        <x:v>45833</x:v>
      </x:c>
    </x:row>
    <x:row r="583" ht="20" customHeight="1">
      <x:c r="A583" t="str">
        <x:v>WO00583</x:v>
      </x:c>
      <x:c r="B583" t="str">
        <x:v>LOT00583</x:v>
      </x:c>
      <x:c r="C583" t="str">
        <x:v>MECH-CON-A</x:v>
      </x:c>
      <x:c r="D583" t="n">
        <x:v>15</x:v>
      </x:c>
      <x:c r="E583" t="n">
        <x:v>761272.07</x:v>
      </x:c>
      <x:c r="F583" t="n">
        <x:v>1229.59</x:v>
      </x:c>
      <x:c r="G583" t="n">
        <x:v>4052.48</x:v>
      </x:c>
      <x:c r="H583" t="n">
        <x:v>2669.33</x:v>
      </x:c>
      <x:c r="I583" t="n">
        <x:v>2.85</x:v>
      </x:c>
      <x:c r="J583" t="n">
        <x:v>4187801.5</x:v>
      </x:c>
      <x:c r="K583" t="n">
        <x:v>80526.58</x:v>
      </x:c>
      <x:c r="L583" t="n">
        <x:v>1705688</x:v>
      </x:c>
      <x:c r="M583" t="n">
        <x:f>SUM(E583,J583:L583)</x:f>
        <x:v>6735288.15</x:v>
      </x:c>
      <x:c r="N583" t="n">
        <x:v>83000</x:v>
      </x:c>
      <x:c r="O583" t="n">
        <x:f>D583*N583</x:f>
        <x:v>1245000</x:v>
      </x:c>
      <x:c r="P583" s="22" t="n">
        <x:f>IF(O583=0,0,(M583-O583)/O583)</x:f>
        <x:v>4.409870000000001</x:v>
      </x:c>
      <x:c r="Q583" s="20" t="n">
        <x:v>45835</x:v>
      </x:c>
    </x:row>
    <x:row r="584" ht="20" customHeight="1">
      <x:c r="A584" t="str">
        <x:v>WO00561</x:v>
      </x:c>
      <x:c r="B584" t="str">
        <x:v>LOT00561</x:v>
      </x:c>
      <x:c r="C584" t="str">
        <x:v>AUTO-FL-A</x:v>
      </x:c>
      <x:c r="D584" t="n">
        <x:v>6500</x:v>
      </x:c>
      <x:c r="E584" t="n">
        <x:v>3902498.83</x:v>
      </x:c>
      <x:c r="F584" t="n">
        <x:v>31.85</x:v>
      </x:c>
      <x:c r="G584" t="n">
        <x:v>0</x:v>
      </x:c>
      <x:c r="H584" t="n">
        <x:v>4.73</x:v>
      </x:c>
      <x:c r="I584" t="n">
        <x:v>1.08</x:v>
      </x:c>
      <x:c r="J584" t="n">
        <x:v>22972.9</x:v>
      </x:c>
      <x:c r="K584" t="n">
        <x:v>305071.25</x:v>
      </x:c>
      <x:c r="L584" t="n">
        <x:v>13183.8</x:v>
      </x:c>
      <x:c r="M584" t="n">
        <x:f>SUM(E584,J584:L584)</x:f>
        <x:v>4243726.78</x:v>
      </x:c>
      <x:c r="N584" t="n">
        <x:v>970</x:v>
      </x:c>
      <x:c r="O584" t="n">
        <x:f>D584*N584</x:f>
        <x:v>6305000</x:v>
      </x:c>
      <x:c r="P584" s="22" t="n">
        <x:f>IF(O584=0,0,(M584-O584)/O584)</x:f>
        <x:v>-0.32692675971451224</x:v>
      </x:c>
      <x:c r="Q584" s="20" t="n">
        <x:v>45820</x:v>
      </x:c>
    </x:row>
    <x:row r="585" ht="20" customHeight="1">
      <x:c r="A585" t="str">
        <x:v>WO00562</x:v>
      </x:c>
      <x:c r="B585" t="str">
        <x:v>LOT00562</x:v>
      </x:c>
      <x:c r="C585" t="str">
        <x:v>AUTO-FL-A</x:v>
      </x:c>
      <x:c r="D585" t="n">
        <x:v>6452</x:v>
      </x:c>
      <x:c r="E585" t="n">
        <x:v>4005133.56</x:v>
      </x:c>
      <x:c r="F585" t="n">
        <x:v>35.87</x:v>
      </x:c>
      <x:c r="G585" t="n">
        <x:v>0</x:v>
      </x:c>
      <x:c r="H585" t="n">
        <x:v>5.07</x:v>
      </x:c>
      <x:c r="I585" t="n">
        <x:v>1.13</x:v>
      </x:c>
      <x:c r="J585" t="n">
        <x:v>25749.1</x:v>
      </x:c>
      <x:c r="K585" t="n">
        <x:v>318589.84</x:v>
      </x:c>
      <x:c r="L585" t="n">
        <x:v>14780.8</x:v>
      </x:c>
      <x:c r="M585" t="n">
        <x:f>SUM(E585,J585:L585)</x:f>
        <x:v>4364253.3</x:v>
      </x:c>
      <x:c r="N585" t="n">
        <x:v>970</x:v>
      </x:c>
      <x:c r="O585" t="n">
        <x:f>D585*N585</x:f>
        <x:v>6258440</x:v>
      </x:c>
      <x:c r="P585" s="22" t="n">
        <x:f>IF(O585=0,0,(M585-O585)/O585)</x:f>
        <x:v>-0.30266115837173485</x:v>
      </x:c>
      <x:c r="Q585" s="20" t="n">
        <x:v>45819</x:v>
      </x:c>
    </x:row>
    <x:row r="586" ht="20" customHeight="1">
      <x:c r="A586" t="str">
        <x:v>WO00566</x:v>
      </x:c>
      <x:c r="B586" t="str">
        <x:v>LOT00566</x:v>
      </x:c>
      <x:c r="C586" t="str">
        <x:v>AUTO-MH-A</x:v>
      </x:c>
      <x:c r="D586" t="n">
        <x:v>6947</x:v>
      </x:c>
      <x:c r="E586" t="n">
        <x:v>9481940.07</x:v>
      </x:c>
      <x:c r="F586" t="n">
        <x:v>34.16</x:v>
      </x:c>
      <x:c r="G586" t="n">
        <x:v>0</x:v>
      </x:c>
      <x:c r="H586" t="n">
        <x:v>5.49</x:v>
      </x:c>
      <x:c r="I586" t="n">
        <x:v>1.22</x:v>
      </x:c>
      <x:c r="J586" t="n">
        <x:v>24839.2</x:v>
      </x:c>
      <x:c r="K586" t="n">
        <x:v>529409.02</x:v>
      </x:c>
      <x:c r="L586" t="n">
        <x:v>14225.2</x:v>
      </x:c>
      <x:c r="M586" t="n">
        <x:f>SUM(E586,J586:L586)</x:f>
        <x:v>10050413.49</x:v>
      </x:c>
      <x:c r="N586" t="n">
        <x:v>1970</x:v>
      </x:c>
      <x:c r="O586" t="n">
        <x:f>D586*N586</x:f>
        <x:v>13685590</x:v>
      </x:c>
      <x:c r="P586" s="22" t="n">
        <x:f>IF(O586=0,0,(M586-O586)/O586)</x:f>
        <x:v>-0.2656207375787233</x:v>
      </x:c>
      <x:c r="Q586" s="20" t="n">
        <x:v>45824</x:v>
      </x:c>
    </x:row>
    <x:row r="587" ht="20" customHeight="1">
      <x:c r="A587" t="str">
        <x:v>WO00570</x:v>
      </x:c>
      <x:c r="B587" t="str">
        <x:v>LOT00570</x:v>
      </x:c>
      <x:c r="C587" t="str">
        <x:v>AUTO-FL-A</x:v>
      </x:c>
      <x:c r="D587" t="n">
        <x:v>4925</x:v>
      </x:c>
      <x:c r="E587" t="n">
        <x:v>3007582.57</x:v>
      </x:c>
      <x:c r="F587" t="n">
        <x:v>26.15</x:v>
      </x:c>
      <x:c r="G587" t="n">
        <x:v>0</x:v>
      </x:c>
      <x:c r="H587" t="n">
        <x:v>4.18</x:v>
      </x:c>
      <x:c r="I587" t="n">
        <x:v>1.17</x:v>
      </x:c>
      <x:c r="J587" t="n">
        <x:v>19003.9</x:v>
      </x:c>
      <x:c r="K587" t="n">
        <x:v>265528.79</x:v>
      </x:c>
      <x:c r="L587" t="n">
        <x:v>10956.8</x:v>
      </x:c>
      <x:c r="M587" t="n">
        <x:f>SUM(E587,J587:L587)</x:f>
        <x:v>3303072.0599999996</x:v>
      </x:c>
      <x:c r="N587" t="n">
        <x:v>970</x:v>
      </x:c>
      <x:c r="O587" t="n">
        <x:f>D587*N587</x:f>
        <x:v>4777250</x:v>
      </x:c>
      <x:c r="P587" s="22" t="n">
        <x:f>IF(O587=0,0,(M587-O587)/O587)</x:f>
        <x:v>-0.308582958815218</x:v>
      </x:c>
      <x:c r="Q587" s="20" t="n">
        <x:v>45817</x:v>
      </x:c>
    </x:row>
    <x:row r="588" ht="20" customHeight="1">
      <x:c r="A588" t="str">
        <x:v>WO00571</x:v>
      </x:c>
      <x:c r="B588" t="str">
        <x:v>LOT00571</x:v>
      </x:c>
      <x:c r="C588" t="str">
        <x:v>PM-BRG-A</x:v>
      </x:c>
      <x:c r="D588" t="n">
        <x:v>788</x:v>
      </x:c>
      <x:c r="E588" t="n">
        <x:v>2119055.73</x:v>
      </x:c>
      <x:c r="F588" t="n">
        <x:v>6.6</x:v>
      </x:c>
      <x:c r="G588" t="n">
        <x:v>0</x:v>
      </x:c>
      <x:c r="H588" t="n">
        <x:v>1.56</x:v>
      </x:c>
      <x:c r="I588" t="n">
        <x:v>1.86</x:v>
      </x:c>
      <x:c r="J588" t="n">
        <x:v>5038.8</x:v>
      </x:c>
      <x:c r="K588" t="n">
        <x:v>173973.62</x:v>
      </x:c>
      <x:c r="L588" t="n">
        <x:v>3315.6</x:v>
      </x:c>
      <x:c r="M588" t="n">
        <x:f>SUM(E588,J588:L588)</x:f>
        <x:v>2301383.75</x:v>
      </x:c>
      <x:c r="N588" t="n">
        <x:v>4450</x:v>
      </x:c>
      <x:c r="O588" t="n">
        <x:f>D588*N588</x:f>
        <x:v>3506600</x:v>
      </x:c>
      <x:c r="P588" s="22" t="n">
        <x:f>IF(O588=0,0,(M588-O588)/O588)</x:f>
        <x:v>-0.3436993811669423</x:v>
      </x:c>
      <x:c r="Q588" s="20" t="n">
        <x:v>45830</x:v>
      </x:c>
    </x:row>
    <x:row r="589" ht="20" customHeight="1">
      <x:c r="A589" t="str">
        <x:v>WO00572</x:v>
      </x:c>
      <x:c r="B589" t="str">
        <x:v>LOT00572</x:v>
      </x:c>
      <x:c r="C589" t="str">
        <x:v>PM-BRG-A</x:v>
      </x:c>
      <x:c r="D589" t="n">
        <x:v>783</x:v>
      </x:c>
      <x:c r="E589" t="n">
        <x:v>2062762.92</x:v>
      </x:c>
      <x:c r="F589" t="n">
        <x:v>7.52</x:v>
      </x:c>
      <x:c r="G589" t="n">
        <x:v>0</x:v>
      </x:c>
      <x:c r="H589" t="n">
        <x:v>1.35</x:v>
      </x:c>
      <x:c r="I589" t="n">
        <x:v>1.74</x:v>
      </x:c>
      <x:c r="J589" t="n">
        <x:v>5536</x:v>
      </x:c>
      <x:c r="K589" t="n">
        <x:v>170854.59</x:v>
      </x:c>
      <x:c r="L589" t="n">
        <x:v>3595.6</x:v>
      </x:c>
      <x:c r="M589" t="n">
        <x:f>SUM(E589,J589:L589)</x:f>
        <x:v>2242749.11</x:v>
      </x:c>
      <x:c r="N589" t="n">
        <x:v>4450</x:v>
      </x:c>
      <x:c r="O589" t="n">
        <x:f>D589*N589</x:f>
        <x:v>3484350</x:v>
      </x:c>
      <x:c r="P589" s="22" t="n">
        <x:f>IF(O589=0,0,(M589-O589)/O589)</x:f>
        <x:v>-0.356336444387045</x:v>
      </x:c>
      <x:c r="Q589" s="20" t="n">
        <x:v>45831</x:v>
      </x:c>
    </x:row>
    <x:row r="590" ht="20" customHeight="1">
      <x:c r="A590" t="str">
        <x:v>WO00576</x:v>
      </x:c>
      <x:c r="B590" t="str">
        <x:v>LOT00576</x:v>
      </x:c>
      <x:c r="C590" t="str">
        <x:v>PM-ALB-A</x:v>
      </x:c>
      <x:c r="D590" t="n">
        <x:v>785</x:v>
      </x:c>
      <x:c r="E590" t="n">
        <x:v>4354303.64</x:v>
      </x:c>
      <x:c r="F590" t="n">
        <x:v>7.01</x:v>
      </x:c>
      <x:c r="G590" t="n">
        <x:v>0</x:v>
      </x:c>
      <x:c r="H590" t="n">
        <x:v>1.44</x:v>
      </x:c>
      <x:c r="I590" t="n">
        <x:v>1.38</x:v>
      </x:c>
      <x:c r="J590" t="n">
        <x:v>5247.7</x:v>
      </x:c>
      <x:c r="K590" t="n">
        <x:v>239655.16</x:v>
      </x:c>
      <x:c r="L590" t="n">
        <x:v>3308.2</x:v>
      </x:c>
      <x:c r="M590" t="n">
        <x:f>SUM(E590,J590:L590)</x:f>
        <x:v>4602514.699999999</x:v>
      </x:c>
      <x:c r="N590" t="n">
        <x:v>8100</x:v>
      </x:c>
      <x:c r="O590" t="n">
        <x:f>D590*N590</x:f>
        <x:v>6358500</x:v>
      </x:c>
      <x:c r="P590" s="22" t="n">
        <x:f>IF(O590=0,0,(M590-O590)/O590)</x:f>
        <x:v>-0.2761634504993317</x:v>
      </x:c>
      <x:c r="Q590" s="20" t="n">
        <x:v>45838</x:v>
      </x:c>
    </x:row>
    <x:row r="591" ht="20" customHeight="1">
      <x:c r="A591" t="str">
        <x:v>WO00577</x:v>
      </x:c>
      <x:c r="B591" t="str">
        <x:v>LOT00577</x:v>
      </x:c>
      <x:c r="C591" t="str">
        <x:v>PM-ALB-A</x:v>
      </x:c>
      <x:c r="D591" t="n">
        <x:v>786</x:v>
      </x:c>
      <x:c r="E591" t="n">
        <x:v>4318354.9</x:v>
      </x:c>
      <x:c r="F591" t="n">
        <x:v>6.74</x:v>
      </x:c>
      <x:c r="G591" t="n">
        <x:v>0</x:v>
      </x:c>
      <x:c r="H591" t="n">
        <x:v>1.34</x:v>
      </x:c>
      <x:c r="I591" t="n">
        <x:v>1.92</x:v>
      </x:c>
      <x:c r="J591" t="n">
        <x:v>5024.2</x:v>
      </x:c>
      <x:c r="K591" t="n">
        <x:v>216089.38</x:v>
      </x:c>
      <x:c r="L591" t="n">
        <x:v>3351.6</x:v>
      </x:c>
      <x:c r="M591" t="n">
        <x:f>SUM(E591,J591:L591)</x:f>
        <x:v>4542820.08</x:v>
      </x:c>
      <x:c r="N591" t="n">
        <x:v>8100</x:v>
      </x:c>
      <x:c r="O591" t="n">
        <x:f>D591*N591</x:f>
        <x:v>6366600</x:v>
      </x:c>
      <x:c r="P591" s="22" t="n">
        <x:f>IF(O591=0,0,(M591-O591)/O591)</x:f>
        <x:v>-0.28646057864480257</x:v>
      </x:c>
      <x:c r="Q591" s="20" t="n">
        <x:v>45839</x:v>
      </x:c>
    </x:row>
    <x:row r="592" ht="20" customHeight="1">
      <x:c r="A592" t="str">
        <x:v>WO00595</x:v>
      </x:c>
      <x:c r="B592" t="str">
        <x:v>LOT00595</x:v>
      </x:c>
      <x:c r="C592" t="str">
        <x:v>AUTO-BRK-A</x:v>
      </x:c>
      <x:c r="D592" t="n">
        <x:v>4940</x:v>
      </x:c>
      <x:c r="E592" t="n">
        <x:v>4337606.82</x:v>
      </x:c>
      <x:c r="F592" t="n">
        <x:v>25.71</x:v>
      </x:c>
      <x:c r="G592" t="n">
        <x:v>0</x:v>
      </x:c>
      <x:c r="H592" t="n">
        <x:v>4.04</x:v>
      </x:c>
      <x:c r="I592" t="n">
        <x:v>1.4</x:v>
      </x:c>
      <x:c r="J592" t="n">
        <x:v>18650.7</x:v>
      </x:c>
      <x:c r="K592" t="n">
        <x:v>427405.76</x:v>
      </x:c>
      <x:c r="L592" t="n">
        <x:v>10836.2</x:v>
      </x:c>
      <x:c r="M592" t="n">
        <x:f>SUM(E592,J592:L592)</x:f>
        <x:v>4794499.48</x:v>
      </x:c>
      <x:c r="N592" t="n">
        <x:v>1380</x:v>
      </x:c>
      <x:c r="O592" t="n">
        <x:f>D592*N592</x:f>
        <x:v>6817200</x:v>
      </x:c>
      <x:c r="P592" s="22" t="n">
        <x:f>IF(O592=0,0,(M592-O592)/O592)</x:f>
        <x:v>-0.29670546852080026</x:v>
      </x:c>
      <x:c r="Q592" s="20" t="n">
        <x:v>45829</x:v>
      </x:c>
    </x:row>
    <x:row r="593" ht="20" customHeight="1">
      <x:c r="A593" t="str">
        <x:v>WO00609</x:v>
      </x:c>
      <x:c r="B593" t="str">
        <x:v>LOT00609</x:v>
      </x:c>
      <x:c r="C593" t="str">
        <x:v>AUTO-KN-A</x:v>
      </x:c>
      <x:c r="D593" t="n">
        <x:v>4888</x:v>
      </x:c>
      <x:c r="E593" t="n">
        <x:v>7670126.71</x:v>
      </x:c>
      <x:c r="F593" t="n">
        <x:v>28.45</x:v>
      </x:c>
      <x:c r="G593" t="n">
        <x:v>0</x:v>
      </x:c>
      <x:c r="H593" t="n">
        <x:v>4.33</x:v>
      </x:c>
      <x:c r="I593" t="n">
        <x:v>1.16</x:v>
      </x:c>
      <x:c r="J593" t="n">
        <x:v>20570.9</x:v>
      </x:c>
      <x:c r="K593" t="n">
        <x:v>667309.01</x:v>
      </x:c>
      <x:c r="L593" t="n">
        <x:v>11851.8</x:v>
      </x:c>
      <x:c r="M593" t="n">
        <x:f>SUM(E593,J593:L593)</x:f>
        <x:v>8369858.42</x:v>
      </x:c>
      <x:c r="N593" t="n">
        <x:v>2210</x:v>
      </x:c>
      <x:c r="O593" t="n">
        <x:f>D593*N593</x:f>
        <x:v>10802480</x:v>
      </x:c>
      <x:c r="P593" s="22" t="n">
        <x:f>IF(O593=0,0,(M593-O593)/O593)</x:f>
        <x:v>-0.2251910283564515</x:v>
      </x:c>
      <x:c r="Q593" s="20" t="n">
        <x:v>45839</x:v>
      </x:c>
    </x:row>
    <x:row r="594" ht="20" customHeight="1">
      <x:c r="A594" t="str">
        <x:v>WO00612</x:v>
      </x:c>
      <x:c r="B594" t="str">
        <x:v>LOT00612</x:v>
      </x:c>
      <x:c r="C594" t="str">
        <x:v>MECH-CON-A</x:v>
      </x:c>
      <x:c r="D594" t="n">
        <x:v>16</x:v>
      </x:c>
      <x:c r="E594" t="n">
        <x:v>845864.16</x:v>
      </x:c>
      <x:c r="F594" t="n">
        <x:v>1261.22</x:v>
      </x:c>
      <x:c r="G594" t="n">
        <x:v>3624.97</x:v>
      </x:c>
      <x:c r="H594" t="n">
        <x:v>2532.97</x:v>
      </x:c>
      <x:c r="I594" t="n">
        <x:v>3.01</x:v>
      </x:c>
      <x:c r="J594" t="n">
        <x:v>3920603</x:v>
      </x:c>
      <x:c r="K594" t="n">
        <x:v>77309.72</x:v>
      </x:c>
      <x:c r="L594" t="n">
        <x:v>1610435.8</x:v>
      </x:c>
      <x:c r="M594" t="n">
        <x:f>SUM(E594,J594:L594)</x:f>
        <x:v>6454212.680000001</x:v>
      </x:c>
      <x:c r="N594" t="n">
        <x:v>83000</x:v>
      </x:c>
      <x:c r="O594" t="n">
        <x:f>D594*N594</x:f>
        <x:v>1328000</x:v>
      </x:c>
      <x:c r="P594" s="22" t="n">
        <x:f>IF(O594=0,0,(M594-O594)/O594)</x:f>
        <x:v>3.8600999096385546</x:v>
      </x:c>
      <x:c r="Q594" s="20" t="n">
        <x:v>45854</x:v>
      </x:c>
    </x:row>
    <x:row r="595" ht="20" customHeight="1">
      <x:c r="A595" t="str">
        <x:v>WO00594</x:v>
      </x:c>
      <x:c r="B595" t="str">
        <x:v>LOT00594</x:v>
      </x:c>
      <x:c r="C595" t="str">
        <x:v>PM-ALB-A</x:v>
      </x:c>
      <x:c r="D595" t="n">
        <x:v>495</x:v>
      </x:c>
      <x:c r="E595" t="n">
        <x:v>2588949.35</x:v>
      </x:c>
      <x:c r="F595" t="n">
        <x:v>4.51</x:v>
      </x:c>
      <x:c r="G595" t="n">
        <x:v>0</x:v>
      </x:c>
      <x:c r="H595" t="n">
        <x:v>0.86</x:v>
      </x:c>
      <x:c r="I595" t="n">
        <x:v>1.55</x:v>
      </x:c>
      <x:c r="J595" t="n">
        <x:v>3344.3</x:v>
      </x:c>
      <x:c r="K595" t="n">
        <x:v>139724.76</x:v>
      </x:c>
      <x:c r="L595" t="n">
        <x:v>2316.4</x:v>
      </x:c>
      <x:c r="M595" t="n">
        <x:f>SUM(E595,J595:L595)</x:f>
        <x:v>2734334.81</x:v>
      </x:c>
      <x:c r="N595" t="n">
        <x:v>8100</x:v>
      </x:c>
      <x:c r="O595" t="n">
        <x:f>D595*N595</x:f>
        <x:v>4009500</x:v>
      </x:c>
      <x:c r="P595" s="22" t="n">
        <x:f>IF(O595=0,0,(M595-O595)/O595)</x:f>
        <x:v>-0.31803596209003615</x:v>
      </x:c>
      <x:c r="Q595" s="20" t="n">
        <x:v>45848</x:v>
      </x:c>
    </x:row>
    <x:row r="596" ht="20" customHeight="1">
      <x:c r="A596" t="str">
        <x:v>WO00608</x:v>
      </x:c>
      <x:c r="B596" t="str">
        <x:v>LOT00608</x:v>
      </x:c>
      <x:c r="C596" t="str">
        <x:v>AUTO-KN-A</x:v>
      </x:c>
      <x:c r="D596" t="n">
        <x:v>4941</x:v>
      </x:c>
      <x:c r="E596" t="n">
        <x:v>6996149.06</x:v>
      </x:c>
      <x:c r="F596" t="n">
        <x:v>22.74</x:v>
      </x:c>
      <x:c r="G596" t="n">
        <x:v>0</x:v>
      </x:c>
      <x:c r="H596" t="n">
        <x:v>3.91</x:v>
      </x:c>
      <x:c r="I596" t="n">
        <x:v>1.19</x:v>
      </x:c>
      <x:c r="J596" t="n">
        <x:v>16657.8</x:v>
      </x:c>
      <x:c r="K596" t="n">
        <x:v>666578.82</x:v>
      </x:c>
      <x:c r="L596" t="n">
        <x:v>9623.8</x:v>
      </x:c>
      <x:c r="M596" t="n">
        <x:f>SUM(E596,J596:L596)</x:f>
        <x:v>7689009.4799999995</x:v>
      </x:c>
      <x:c r="N596" t="n">
        <x:v>2210</x:v>
      </x:c>
      <x:c r="O596" t="n">
        <x:f>D596*N596</x:f>
        <x:v>10919610</x:v>
      </x:c>
      <x:c r="P596" s="22" t="n">
        <x:f>IF(O596=0,0,(M596-O596)/O596)</x:f>
        <x:v>-0.29585310464384723</x:v>
      </x:c>
      <x:c r="Q596" s="20" t="n">
        <x:v>45836</x:v>
      </x:c>
    </x:row>
    <x:row r="597" ht="20" customHeight="1">
      <x:c r="A597" t="str">
        <x:v>WO00611</x:v>
      </x:c>
      <x:c r="B597" t="str">
        <x:v>LOT00611</x:v>
      </x:c>
      <x:c r="C597" t="str">
        <x:v>MECH-CON-A</x:v>
      </x:c>
      <x:c r="D597" t="n">
        <x:v>17</x:v>
      </x:c>
      <x:c r="E597" t="n">
        <x:v>918135.65</x:v>
      </x:c>
      <x:c r="F597" t="n">
        <x:v>1269.32</x:v>
      </x:c>
      <x:c r="G597" t="n">
        <x:v>4242.03</x:v>
      </x:c>
      <x:c r="H597" t="n">
        <x:v>2822.63</x:v>
      </x:c>
      <x:c r="I597" t="n">
        <x:v>3</x:v>
      </x:c>
      <x:c r="J597" t="n">
        <x:v>4385776</x:v>
      </x:c>
      <x:c r="K597" t="n">
        <x:v>88900.42</x:v>
      </x:c>
      <x:c r="L597" t="n">
        <x:v>1783268.4</x:v>
      </x:c>
      <x:c r="M597" t="n">
        <x:f>SUM(E597,J597:L597)</x:f>
        <x:v>7176080.470000001</x:v>
      </x:c>
      <x:c r="N597" t="n">
        <x:v>83000</x:v>
      </x:c>
      <x:c r="O597" t="n">
        <x:f>D597*N597</x:f>
        <x:v>1411000</x:v>
      </x:c>
      <x:c r="P597" s="22" t="n">
        <x:f>IF(O597=0,0,(M597-O597)/O597)</x:f>
        <x:v>4.085811814316088</x:v>
      </x:c>
      <x:c r="Q597" s="20" t="n">
        <x:v>45856</x:v>
      </x:c>
    </x:row>
    <x:row r="598" ht="20" customHeight="1">
      <x:c r="A598" t="str">
        <x:v>WO00610</x:v>
      </x:c>
      <x:c r="B598" t="str">
        <x:v>LOT00610</x:v>
      </x:c>
      <x:c r="C598" t="str">
        <x:v>MECH-CON-A</x:v>
      </x:c>
      <x:c r="D598" t="n">
        <x:v>17</x:v>
      </x:c>
      <x:c r="E598" t="n">
        <x:v>888329.63</x:v>
      </x:c>
      <x:c r="F598" t="n">
        <x:v>1188.66</x:v>
      </x:c>
      <x:c r="G598" t="n">
        <x:v>4406.89</x:v>
      </x:c>
      <x:c r="H598" t="n">
        <x:v>3134.82</x:v>
      </x:c>
      <x:c r="I598" t="n">
        <x:v>2.82</x:v>
      </x:c>
      <x:c r="J598" t="n">
        <x:v>4568925.4</x:v>
      </x:c>
      <x:c r="K598" t="n">
        <x:v>90633.49</x:v>
      </x:c>
      <x:c r="L598" t="n">
        <x:v>1835486</x:v>
      </x:c>
      <x:c r="M598" t="n">
        <x:f>SUM(E598,J598:L598)</x:f>
        <x:v>7383374.5200000005</x:v>
      </x:c>
      <x:c r="N598" t="n">
        <x:v>83000</x:v>
      </x:c>
      <x:c r="O598" t="n">
        <x:f>D598*N598</x:f>
        <x:v>1411000</x:v>
      </x:c>
      <x:c r="P598" s="22" t="n">
        <x:f>IF(O598=0,0,(M598-O598)/O598)</x:f>
        <x:v>4.232724677533664</x:v>
      </x:c>
      <x:c r="Q598" s="20" t="n">
        <x:v>45858</x:v>
      </x:c>
    </x:row>
    <x:row r="599" ht="20" customHeight="1">
      <x:c r="A599" t="str">
        <x:v>WO00592</x:v>
      </x:c>
      <x:c r="B599" t="str">
        <x:v>LOT00592</x:v>
      </x:c>
      <x:c r="C599" t="str">
        <x:v>MECH-STG-B</x:v>
      </x:c>
      <x:c r="D599" t="n">
        <x:v>15</x:v>
      </x:c>
      <x:c r="E599" t="n">
        <x:v>1433008.58</x:v>
      </x:c>
      <x:c r="F599" t="n">
        <x:v>1318.2</x:v>
      </x:c>
      <x:c r="G599" t="n">
        <x:v>3426.96</x:v>
      </x:c>
      <x:c r="H599" t="n">
        <x:v>2477.95</x:v>
      </x:c>
      <x:c r="I599" t="n">
        <x:v>2.96</x:v>
      </x:c>
      <x:c r="J599" t="n">
        <x:v>3828265.2</x:v>
      </x:c>
      <x:c r="K599" t="n">
        <x:v>135408.61</x:v>
      </x:c>
      <x:c r="L599" t="n">
        <x:v>1583668</x:v>
      </x:c>
      <x:c r="M599" t="n">
        <x:f>SUM(E599,J599:L599)</x:f>
        <x:v>6980350.390000001</x:v>
      </x:c>
      <x:c r="N599" t="n">
        <x:v>151000</x:v>
      </x:c>
      <x:c r="O599" t="n">
        <x:f>D599*N599</x:f>
        <x:v>2265000</x:v>
      </x:c>
      <x:c r="P599" s="22" t="n">
        <x:f>IF(O599=0,0,(M599-O599)/O599)</x:f>
        <x:v>2.081832401766005</x:v>
      </x:c>
      <x:c r="Q599" s="20" t="n">
        <x:v>45876</x:v>
      </x:c>
    </x:row>
    <x:row r="600" ht="20" customHeight="1">
      <x:c r="A600" t="str">
        <x:v>WO00591</x:v>
      </x:c>
      <x:c r="B600" t="str">
        <x:v>LOT00591</x:v>
      </x:c>
      <x:c r="C600" t="str">
        <x:v>MECH-STG-B</x:v>
      </x:c>
      <x:c r="D600" t="n">
        <x:v>15</x:v>
      </x:c>
      <x:c r="E600" t="n">
        <x:v>1429498.18</x:v>
      </x:c>
      <x:c r="F600" t="n">
        <x:v>1011.92</x:v>
      </x:c>
      <x:c r="G600" t="n">
        <x:v>3677.05</x:v>
      </x:c>
      <x:c r="H600" t="n">
        <x:v>2374.05</x:v>
      </x:c>
      <x:c r="I600" t="n">
        <x:v>3.06</x:v>
      </x:c>
      <x:c r="J600" t="n">
        <x:v>3709358</x:v>
      </x:c>
      <x:c r="K600" t="n">
        <x:v>126824.9</x:v>
      </x:c>
      <x:c r="L600" t="n">
        <x:v>1500705.6</x:v>
      </x:c>
      <x:c r="M600" t="n">
        <x:f>SUM(E600,J600:L600)</x:f>
        <x:v>6766386.68</x:v>
      </x:c>
      <x:c r="N600" t="n">
        <x:v>151000</x:v>
      </x:c>
      <x:c r="O600" t="n">
        <x:f>D600*N600</x:f>
        <x:v>2265000</x:v>
      </x:c>
      <x:c r="P600" s="22" t="n">
        <x:f>IF(O600=0,0,(M600-O600)/O600)</x:f>
        <x:v>1.987367187637969</x:v>
      </x:c>
      <x:c r="Q600" s="20" t="n">
        <x:v>45872</x:v>
      </x:c>
    </x:row>
    <x:row r="601" ht="20" customHeight="1">
      <x:c r="A601" t="str">
        <x:v>WO00613</x:v>
      </x:c>
      <x:c r="B601" t="str">
        <x:v>LOT00613</x:v>
      </x:c>
      <x:c r="C601" t="str">
        <x:v>SEMI-CHB-B</x:v>
      </x:c>
      <x:c r="D601" t="n">
        <x:v>78</x:v>
      </x:c>
      <x:c r="E601" t="n">
        <x:v>5494269.79</x:v>
      </x:c>
      <x:c r="F601" t="n">
        <x:v>2.31</x:v>
      </x:c>
      <x:c r="G601" t="n">
        <x:v>0</x:v>
      </x:c>
      <x:c r="H601" t="n">
        <x:v>0.69</x:v>
      </x:c>
      <x:c r="I601" t="n">
        <x:v>3.05</x:v>
      </x:c>
      <x:c r="J601" t="n">
        <x:v>1832.7</x:v>
      </x:c>
      <x:c r="K601" t="n">
        <x:v>585889.34</x:v>
      </x:c>
      <x:c r="L601" t="n">
        <x:v>1903.2</x:v>
      </x:c>
      <x:c r="M601" t="n">
        <x:f>SUM(E601,J601:L601)</x:f>
        <x:v>6083895.03</x:v>
      </x:c>
      <x:c r="N601" t="n">
        <x:v>111000</x:v>
      </x:c>
      <x:c r="O601" t="n">
        <x:f>D601*N601</x:f>
        <x:v>8658000</x:v>
      </x:c>
      <x:c r="P601" s="22" t="n">
        <x:f>IF(O601=0,0,(M601-O601)/O601)</x:f>
        <x:v>-0.2973094213444213</x:v>
      </x:c>
      <x:c r="Q601" s="20" t="n">
        <x:v>45868</x:v>
      </x:c>
    </x:row>
    <x:row r="602" ht="20" customHeight="1">
      <x:c r="A602" t="str">
        <x:v>WO00607</x:v>
      </x:c>
      <x:c r="B602" t="str">
        <x:v>LOT00607</x:v>
      </x:c>
      <x:c r="C602" t="str">
        <x:v>PM-ALB-B</x:v>
      </x:c>
      <x:c r="D602" t="n">
        <x:v>491</x:v>
      </x:c>
      <x:c r="E602" t="n">
        <x:v>3972342.46</x:v>
      </x:c>
      <x:c r="F602" t="n">
        <x:v>4.62</x:v>
      </x:c>
      <x:c r="G602" t="n">
        <x:v>0</x:v>
      </x:c>
      <x:c r="H602" t="n">
        <x:v>0.82</x:v>
      </x:c>
      <x:c r="I602" t="n">
        <x:v>1.44</x:v>
      </x:c>
      <x:c r="J602" t="n">
        <x:v>3396.6</x:v>
      </x:c>
      <x:c r="K602" t="n">
        <x:v>240085.29</x:v>
      </x:c>
      <x:c r="L602" t="n">
        <x:v>2318.8</x:v>
      </x:c>
      <x:c r="M602" t="n">
        <x:f>SUM(E602,J602:L602)</x:f>
        <x:v>4218143.15</x:v>
      </x:c>
      <x:c r="N602" t="n">
        <x:v>11750</x:v>
      </x:c>
      <x:c r="O602" t="n">
        <x:f>D602*N602</x:f>
        <x:v>5769250</x:v>
      </x:c>
      <x:c r="P602" s="22" t="n">
        <x:f>IF(O602=0,0,(M602-O602)/O602)</x:f>
        <x:v>-0.268857624474585</x:v>
      </x:c>
      <x:c r="Q602" s="20" t="n">
        <x:v>45856</x:v>
      </x:c>
    </x:row>
    <x:row r="603" ht="20" customHeight="1">
      <x:c r="A603" t="str">
        <x:v>WO00593</x:v>
      </x:c>
      <x:c r="B603" t="str">
        <x:v>LOT00593</x:v>
      </x:c>
      <x:c r="C603" t="str">
        <x:v>AUTO-BRK-A</x:v>
      </x:c>
      <x:c r="D603" t="n">
        <x:v>6896</x:v>
      </x:c>
      <x:c r="E603" t="n">
        <x:v>6293867.9</x:v>
      </x:c>
      <x:c r="F603" t="n">
        <x:v>39.37</x:v>
      </x:c>
      <x:c r="G603" t="n">
        <x:v>0</x:v>
      </x:c>
      <x:c r="H603" t="n">
        <x:v>6.13</x:v>
      </x:c>
      <x:c r="I603" t="n">
        <x:v>1.13</x:v>
      </x:c>
      <x:c r="J603" t="n">
        <x:v>28532.9</x:v>
      </x:c>
      <x:c r="K603" t="n">
        <x:v>592117.52</x:v>
      </x:c>
      <x:c r="L603" t="n">
        <x:v>16280.4</x:v>
      </x:c>
      <x:c r="M603" t="n">
        <x:f>SUM(E603,J603:L603)</x:f>
        <x:v>6930798.720000001</x:v>
      </x:c>
      <x:c r="N603" t="n">
        <x:v>1380</x:v>
      </x:c>
      <x:c r="O603" t="n">
        <x:f>D603*N603</x:f>
        <x:v>9516480</x:v>
      </x:c>
      <x:c r="P603" s="22" t="n">
        <x:f>IF(O603=0,0,(M603-O603)/O603)</x:f>
        <x:v>-0.27170563905982037</x:v>
      </x:c>
      <x:c r="Q603" s="20" t="n">
        <x:v>45842</x:v>
      </x:c>
    </x:row>
    <x:row r="604" ht="20" customHeight="1">
      <x:c r="A604" t="str">
        <x:v>WO00615</x:v>
      </x:c>
      <x:c r="B604" t="str">
        <x:v>LOT00615</x:v>
      </x:c>
      <x:c r="C604" t="str">
        <x:v>PM-BRG-A</x:v>
      </x:c>
      <x:c r="D604" t="n">
        <x:v>591</x:v>
      </x:c>
      <x:c r="E604" t="n">
        <x:v>1569967.47</x:v>
      </x:c>
      <x:c r="F604" t="n">
        <x:v>5.41</x:v>
      </x:c>
      <x:c r="G604" t="n">
        <x:v>0</x:v>
      </x:c>
      <x:c r="H604" t="n">
        <x:v>1.04</x:v>
      </x:c>
      <x:c r="I604" t="n">
        <x:v>1.56</x:v>
      </x:c>
      <x:c r="J604" t="n">
        <x:v>4015.7</x:v>
      </x:c>
      <x:c r="K604" t="n">
        <x:v>121296.2</x:v>
      </x:c>
      <x:c r="L604" t="n">
        <x:v>2690.2</x:v>
      </x:c>
      <x:c r="M604" t="n">
        <x:f>SUM(E604,J604:L604)</x:f>
        <x:v>1697969.57</x:v>
      </x:c>
      <x:c r="N604" t="n">
        <x:v>4450</x:v>
      </x:c>
      <x:c r="O604" t="n">
        <x:f>D604*N604</x:f>
        <x:v>2629950</x:v>
      </x:c>
      <x:c r="P604" s="22" t="n">
        <x:f>IF(O604=0,0,(M604-O604)/O604)</x:f>
        <x:v>-0.35437191961824366</x:v>
      </x:c>
      <x:c r="Q604" s="20" t="n">
        <x:v>45849</x:v>
      </x:c>
    </x:row>
    <x:row r="605" ht="20" customHeight="1">
      <x:c r="A605" t="str">
        <x:v>WO00619</x:v>
      </x:c>
      <x:c r="B605" t="str">
        <x:v>LOT00619</x:v>
      </x:c>
      <x:c r="C605" t="str">
        <x:v>MECH-CON-B</x:v>
      </x:c>
      <x:c r="D605" t="n">
        <x:v>15</x:v>
      </x:c>
      <x:c r="E605" t="n">
        <x:v>1128482.14</x:v>
      </x:c>
      <x:c r="F605" t="n">
        <x:v>1243.6</x:v>
      </x:c>
      <x:c r="G605" t="n">
        <x:v>3600.1</x:v>
      </x:c>
      <x:c r="H605" t="n">
        <x:v>2859.27</x:v>
      </x:c>
      <x:c r="I605" t="n">
        <x:v>3.04</x:v>
      </x:c>
      <x:c r="J605" t="n">
        <x:v>4052841.6</x:v>
      </x:c>
      <x:c r="K605" t="n">
        <x:v>109673.33</x:v>
      </x:c>
      <x:c r="L605" t="n">
        <x:v>1650983.2</x:v>
      </x:c>
      <x:c r="M605" t="n">
        <x:f>SUM(E605,J605:L605)</x:f>
        <x:v>6941980.27</x:v>
      </x:c>
      <x:c r="N605" t="n">
        <x:v>119000</x:v>
      </x:c>
      <x:c r="O605" t="n">
        <x:f>D605*N605</x:f>
        <x:v>1785000</x:v>
      </x:c>
      <x:c r="P605" s="22" t="n">
        <x:f>IF(O605=0,0,(M605-O605)/O605)</x:f>
        <x:v>2.889064577030812</x:v>
      </x:c>
      <x:c r="Q605" s="20" t="n">
        <x:v>45886</x:v>
      </x:c>
    </x:row>
    <x:row r="606" ht="20" customHeight="1">
      <x:c r="A606" t="str">
        <x:v>WO00614</x:v>
      </x:c>
      <x:c r="B606" t="str">
        <x:v>LOT00614</x:v>
      </x:c>
      <x:c r="C606" t="str">
        <x:v>PM-BRG-A</x:v>
      </x:c>
      <x:c r="D606" t="n">
        <x:v>587</x:v>
      </x:c>
      <x:c r="E606" t="n">
        <x:v>1474242.89</x:v>
      </x:c>
      <x:c r="F606" t="n">
        <x:v>4.91</x:v>
      </x:c>
      <x:c r="G606" t="n">
        <x:v>0</x:v>
      </x:c>
      <x:c r="H606" t="n">
        <x:v>0.97</x:v>
      </x:c>
      <x:c r="I606" t="n">
        <x:v>1.75</x:v>
      </x:c>
      <x:c r="J606" t="n">
        <x:v>3657.1</x:v>
      </x:c>
      <x:c r="K606" t="n">
        <x:v>129576.08</x:v>
      </x:c>
      <x:c r="L606" t="n">
        <x:v>2546</x:v>
      </x:c>
      <x:c r="M606" t="n">
        <x:f>SUM(E606,J606:L606)</x:f>
        <x:v>1610022.0699999998</x:v>
      </x:c>
      <x:c r="N606" t="n">
        <x:v>4450</x:v>
      </x:c>
      <x:c r="O606" t="n">
        <x:f>D606*N606</x:f>
        <x:v>2612150</x:v>
      </x:c>
      <x:c r="P606" s="22" t="n">
        <x:f>IF(O606=0,0,(M606-O606)/O606)</x:f>
        <x:v>-0.38364103516260556</x:v>
      </x:c>
      <x:c r="Q606" s="20" t="n">
        <x:v>45846</x:v>
      </x:c>
    </x:row>
    <x:row r="607" ht="20" customHeight="1">
      <x:c r="A607" t="str">
        <x:v>WO00605</x:v>
      </x:c>
      <x:c r="B607" t="str">
        <x:v>LOT00605</x:v>
      </x:c>
      <x:c r="C607" t="str">
        <x:v>SEMI-WH-A</x:v>
      </x:c>
      <x:c r="D607" t="n">
        <x:v>78</x:v>
      </x:c>
      <x:c r="E607" t="n">
        <x:v>4050563.24</x:v>
      </x:c>
      <x:c r="F607" t="n">
        <x:v>1.93</x:v>
      </x:c>
      <x:c r="G607" t="n">
        <x:v>0</x:v>
      </x:c>
      <x:c r="H607" t="n">
        <x:v>0.65</x:v>
      </x:c>
      <x:c r="I607" t="n">
        <x:v>2.86</x:v>
      </x:c>
      <x:c r="J607" t="n">
        <x:v>1566.5</x:v>
      </x:c>
      <x:c r="K607" t="n">
        <x:v>585992.17</x:v>
      </x:c>
      <x:c r="L607" t="n">
        <x:v>1695.4</x:v>
      </x:c>
      <x:c r="M607" t="n">
        <x:f>SUM(E607,J607:L607)</x:f>
        <x:v>4639817.3100000005</x:v>
      </x:c>
      <x:c r="N607" t="n">
        <x:v>88000</x:v>
      </x:c>
      <x:c r="O607" t="n">
        <x:f>D607*N607</x:f>
        <x:v>6864000</x:v>
      </x:c>
      <x:c r="P607" s="22" t="n">
        <x:f>IF(O607=0,0,(M607-O607)/O607)</x:f>
        <x:v>-0.32403593968531463</x:v>
      </x:c>
      <x:c r="Q607" s="20" t="n">
        <x:v>45876</x:v>
      </x:c>
    </x:row>
    <x:row r="608" ht="20" customHeight="1">
      <x:c r="A608" t="str">
        <x:v>WO00618</x:v>
      </x:c>
      <x:c r="B608" t="str">
        <x:v>LOT00618</x:v>
      </x:c>
      <x:c r="C608" t="str">
        <x:v>MECH-CON-B</x:v>
      </x:c>
      <x:c r="D608" t="n">
        <x:v>15</x:v>
      </x:c>
      <x:c r="E608" t="n">
        <x:v>1110423.42</x:v>
      </x:c>
      <x:c r="F608" t="n">
        <x:v>1061.63</x:v>
      </x:c>
      <x:c r="G608" t="n">
        <x:v>3249.77</x:v>
      </x:c>
      <x:c r="H608" t="n">
        <x:v>2810.24</x:v>
      </x:c>
      <x:c r="I608" t="n">
        <x:v>2.9</x:v>
      </x:c>
      <x:c r="J608" t="n">
        <x:v>3728855.1</x:v>
      </x:c>
      <x:c r="K608" t="n">
        <x:v>95484.64</x:v>
      </x:c>
      <x:c r="L608" t="n">
        <x:v>1503881.8</x:v>
      </x:c>
      <x:c r="M608" t="n">
        <x:f>SUM(E608,J608:L608)</x:f>
        <x:v>6438644.96</x:v>
      </x:c>
      <x:c r="N608" t="n">
        <x:v>119000</x:v>
      </x:c>
      <x:c r="O608" t="n">
        <x:f>D608*N608</x:f>
        <x:v>1785000</x:v>
      </x:c>
      <x:c r="P608" s="22" t="n">
        <x:f>IF(O608=0,0,(M608-O608)/O608)</x:f>
        <x:v>2.6070840112044817</x:v>
      </x:c>
      <x:c r="Q608" s="20" t="n">
        <x:v>45878</x:v>
      </x:c>
    </x:row>
    <x:row r="609" ht="20" customHeight="1">
      <x:c r="A609" t="str">
        <x:v>WO00606</x:v>
      </x:c>
      <x:c r="B609" t="str">
        <x:v>LOT00606</x:v>
      </x:c>
      <x:c r="C609" t="str">
        <x:v>SEMI-WH-A</x:v>
      </x:c>
      <x:c r="D609" t="n">
        <x:v>79</x:v>
      </x:c>
      <x:c r="E609" t="n">
        <x:v>4077149.08</x:v>
      </x:c>
      <x:c r="F609" t="n">
        <x:v>2.01</x:v>
      </x:c>
      <x:c r="G609" t="n">
        <x:v>0</x:v>
      </x:c>
      <x:c r="H609" t="n">
        <x:v>0.76</x:v>
      </x:c>
      <x:c r="I609" t="n">
        <x:v>2.77</x:v>
      </x:c>
      <x:c r="J609" t="n">
        <x:v>1671.3</x:v>
      </x:c>
      <x:c r="K609" t="n">
        <x:v>605706.56</x:v>
      </x:c>
      <x:c r="L609" t="n">
        <x:v>1716.4</x:v>
      </x:c>
      <x:c r="M609" t="n">
        <x:f>SUM(E609,J609:L609)</x:f>
        <x:v>4686243.34</x:v>
      </x:c>
      <x:c r="N609" t="n">
        <x:v>88000</x:v>
      </x:c>
      <x:c r="O609" t="n">
        <x:f>D609*N609</x:f>
        <x:v>6952000</x:v>
      </x:c>
      <x:c r="P609" s="22" t="n">
        <x:f>IF(O609=0,0,(M609-O609)/O609)</x:f>
        <x:v>-0.32591436421173764</x:v>
      </x:c>
      <x:c r="Q609" s="20" t="n">
        <x:v>45876</x:v>
      </x:c>
    </x:row>
    <x:row r="610" ht="20" customHeight="1">
      <x:c r="A610" t="str">
        <x:v>WO00616</x:v>
      </x:c>
      <x:c r="B610" t="str">
        <x:v>LOT00616</x:v>
      </x:c>
      <x:c r="C610" t="str">
        <x:v>PM-BRG-A</x:v>
      </x:c>
      <x:c r="D610" t="n">
        <x:v>782</x:v>
      </x:c>
      <x:c r="E610" t="n">
        <x:v>2023276.68</x:v>
      </x:c>
      <x:c r="F610" t="n">
        <x:v>6.37</x:v>
      </x:c>
      <x:c r="G610" t="n">
        <x:v>0</x:v>
      </x:c>
      <x:c r="H610" t="n">
        <x:v>1.45</x:v>
      </x:c>
      <x:c r="I610" t="n">
        <x:v>1.72</x:v>
      </x:c>
      <x:c r="J610" t="n">
        <x:v>4836.5</x:v>
      </x:c>
      <x:c r="K610" t="n">
        <x:v>149490.83</x:v>
      </x:c>
      <x:c r="L610" t="n">
        <x:v>3168.6</x:v>
      </x:c>
      <x:c r="M610" t="n">
        <x:f>SUM(E610,J610:L610)</x:f>
        <x:v>2180772.61</x:v>
      </x:c>
      <x:c r="N610" t="n">
        <x:v>4450</x:v>
      </x:c>
      <x:c r="O610" t="n">
        <x:f>D610*N610</x:f>
        <x:v>3479900</x:v>
      </x:c>
      <x:c r="P610" s="22" t="n">
        <x:f>IF(O610=0,0,(M610-O610)/O610)</x:f>
        <x:v>-0.3733231960688526</x:v>
      </x:c>
      <x:c r="Q610" s="20" t="n">
        <x:v>45852</x:v>
      </x:c>
    </x:row>
    <x:row r="611" ht="20" customHeight="1">
      <x:c r="A611" t="str">
        <x:v>WO00596</x:v>
      </x:c>
      <x:c r="B611" t="str">
        <x:v>LOT00596</x:v>
      </x:c>
      <x:c r="C611" t="str">
        <x:v>MECH-CON-B</x:v>
      </x:c>
      <x:c r="D611" t="n">
        <x:v>20</x:v>
      </x:c>
      <x:c r="E611" t="n">
        <x:v>1551297.45</x:v>
      </x:c>
      <x:c r="F611" t="n">
        <x:v>1413.38</x:v>
      </x:c>
      <x:c r="G611" t="n">
        <x:v>5490.15</x:v>
      </x:c>
      <x:c r="H611" t="n">
        <x:v>3921.4</x:v>
      </x:c>
      <x:c r="I611" t="n">
        <x:v>2.83</x:v>
      </x:c>
      <x:c r="J611" t="n">
        <x:v>5655847</x:v>
      </x:c>
      <x:c r="K611" t="n">
        <x:v>145288.65</x:v>
      </x:c>
      <x:c r="L611" t="n">
        <x:v>2263387.4</x:v>
      </x:c>
      <x:c r="M611" t="n">
        <x:f>SUM(E611,J611:L611)</x:f>
        <x:v>9615820.5</x:v>
      </x:c>
      <x:c r="N611" t="n">
        <x:v>119000</x:v>
      </x:c>
      <x:c r="O611" t="n">
        <x:f>D611*N611</x:f>
        <x:v>2380000</x:v>
      </x:c>
      <x:c r="P611" s="22" t="n">
        <x:f>IF(O611=0,0,(M611-O611)/O611)</x:f>
        <x:v>3.040260714285714</x:v>
      </x:c>
      <x:c r="Q611" s="20" t="n">
        <x:v>45889</x:v>
      </x:c>
    </x:row>
    <x:row r="612" ht="20" customHeight="1">
      <x:c r="A612" t="str">
        <x:v>WO00604</x:v>
      </x:c>
      <x:c r="B612" t="str">
        <x:v>LOT00604</x:v>
      </x:c>
      <x:c r="C612" t="str">
        <x:v>PM-SUS-A</x:v>
      </x:c>
      <x:c r="D612" t="n">
        <x:v>791</x:v>
      </x:c>
      <x:c r="E612" t="n">
        <x:v>3352235.71</x:v>
      </x:c>
      <x:c r="F612" t="n">
        <x:v>7.56</x:v>
      </x:c>
      <x:c r="G612" t="n">
        <x:v>0</x:v>
      </x:c>
      <x:c r="H612" t="n">
        <x:v>1.67</x:v>
      </x:c>
      <x:c r="I612" t="n">
        <x:v>1.58</x:v>
      </x:c>
      <x:c r="J612" t="n">
        <x:v>5715.6</x:v>
      </x:c>
      <x:c r="K612" t="n">
        <x:v>412645.82</x:v>
      </x:c>
      <x:c r="L612" t="n">
        <x:v>3614</x:v>
      </x:c>
      <x:c r="M612" t="n">
        <x:f>SUM(E612,J612:L612)</x:f>
        <x:v>3774211.13</x:v>
      </x:c>
      <x:c r="N612" t="n">
        <x:v>7500</x:v>
      </x:c>
      <x:c r="O612" t="n">
        <x:f>D612*N612</x:f>
        <x:v>5932500</x:v>
      </x:c>
      <x:c r="P612" s="22" t="n">
        <x:f>IF(O612=0,0,(M612-O612)/O612)</x:f>
        <x:v>-0.36380764770332913</x:v>
      </x:c>
      <x:c r="Q612" s="20" t="n">
        <x:v>45858</x:v>
      </x:c>
    </x:row>
    <x:row r="613" ht="20" customHeight="1">
      <x:c r="A613" t="str">
        <x:v>WO00597</x:v>
      </x:c>
      <x:c r="B613" t="str">
        <x:v>LOT00597</x:v>
      </x:c>
      <x:c r="C613" t="str">
        <x:v>MECH-CON-B</x:v>
      </x:c>
      <x:c r="D613" t="n">
        <x:v>20</x:v>
      </x:c>
      <x:c r="E613" t="n">
        <x:v>1516332.07</x:v>
      </x:c>
      <x:c r="F613" t="n">
        <x:v>1359.09</x:v>
      </x:c>
      <x:c r="G613" t="n">
        <x:v>5318</x:v>
      </x:c>
      <x:c r="H613" t="n">
        <x:v>3529.58</x:v>
      </x:c>
      <x:c r="I613" t="n">
        <x:v>3.14</x:v>
      </x:c>
      <x:c r="J613" t="n">
        <x:v>5342966.9</x:v>
      </x:c>
      <x:c r="K613" t="n">
        <x:v>132333.56</x:v>
      </x:c>
      <x:c r="L613" t="n">
        <x:v>2145729</x:v>
      </x:c>
      <x:c r="M613" t="n">
        <x:f>SUM(E613,J613:L613)</x:f>
        <x:v>9137361.53</x:v>
      </x:c>
      <x:c r="N613" t="n">
        <x:v>119000</x:v>
      </x:c>
      <x:c r="O613" t="n">
        <x:f>D613*N613</x:f>
        <x:v>2380000</x:v>
      </x:c>
      <x:c r="P613" s="22" t="n">
        <x:f>IF(O613=0,0,(M613-O613)/O613)</x:f>
        <x:v>2.839227533613445</x:v>
      </x:c>
      <x:c r="Q613" s="20" t="n">
        <x:v>45884</x:v>
      </x:c>
    </x:row>
    <x:row r="614" ht="20" customHeight="1">
      <x:c r="A614" t="str">
        <x:v>WO00617</x:v>
      </x:c>
      <x:c r="B614" t="str">
        <x:v>LOT00617</x:v>
      </x:c>
      <x:c r="C614" t="str">
        <x:v>SEMI-WH-B</x:v>
      </x:c>
      <x:c r="D614" t="n">
        <x:v>58</x:v>
      </x:c>
      <x:c r="E614" t="n">
        <x:v>4845115.72</x:v>
      </x:c>
      <x:c r="F614" t="n">
        <x:v>1.66</x:v>
      </x:c>
      <x:c r="G614" t="n">
        <x:v>0</x:v>
      </x:c>
      <x:c r="H614" t="n">
        <x:v>0.53</x:v>
      </x:c>
      <x:c r="I614" t="n">
        <x:v>2.75</x:v>
      </x:c>
      <x:c r="J614" t="n">
        <x:v>1333.4</x:v>
      </x:c>
      <x:c r="K614" t="n">
        <x:v>671024.35</x:v>
      </x:c>
      <x:c r="L614" t="n">
        <x:v>1540.6</x:v>
      </x:c>
      <x:c r="M614" t="n">
        <x:f>SUM(E614,J614:L614)</x:f>
        <x:v>5519014.069999999</x:v>
      </x:c>
      <x:c r="N614" t="n">
        <x:v>130000</x:v>
      </x:c>
      <x:c r="O614" t="n">
        <x:f>D614*N614</x:f>
        <x:v>7540000</x:v>
      </x:c>
      <x:c r="P614" s="22" t="n">
        <x:f>IF(O614=0,0,(M614-O614)/O614)</x:f>
        <x:v>-0.2680352692307693</x:v>
      </x:c>
      <x:c r="Q614" s="20" t="n">
        <x:v>45897</x:v>
      </x:c>
    </x:row>
    <x:row r="615" ht="20" customHeight="1">
      <x:c r="A615" t="str">
        <x:v>WO00600</x:v>
      </x:c>
      <x:c r="B615" t="str">
        <x:v>LOT00600</x:v>
      </x:c>
      <x:c r="C615" t="str">
        <x:v>MECH-STG-B</x:v>
      </x:c>
      <x:c r="D615" t="n">
        <x:v>15</x:v>
      </x:c>
      <x:c r="E615" t="n">
        <x:v>1511352.66</x:v>
      </x:c>
      <x:c r="F615" t="n">
        <x:v>1157.61</x:v>
      </x:c>
      <x:c r="G615" t="n">
        <x:v>3686.62</x:v>
      </x:c>
      <x:c r="H615" t="n">
        <x:v>2501.07</x:v>
      </x:c>
      <x:c r="I615" t="n">
        <x:v>2.63</x:v>
      </x:c>
      <x:c r="J615" t="n">
        <x:v>3870002.5</x:v>
      </x:c>
      <x:c r="K615" t="n">
        <x:v>139535.53</x:v>
      </x:c>
      <x:c r="L615" t="n">
        <x:v>1578176</x:v>
      </x:c>
      <x:c r="M615" t="n">
        <x:f>SUM(E615,J615:L615)</x:f>
        <x:v>7099066.6899999995</x:v>
      </x:c>
      <x:c r="N615" t="n">
        <x:v>151000</x:v>
      </x:c>
      <x:c r="O615" t="n">
        <x:f>D615*N615</x:f>
        <x:v>2265000</x:v>
      </x:c>
      <x:c r="P615" s="22" t="n">
        <x:f>IF(O615=0,0,(M615-O615)/O615)</x:f>
        <x:v>2.134245779249448</x:v>
      </x:c>
      <x:c r="Q615" s="20" t="n">
        <x:v>45894</x:v>
      </x:c>
    </x:row>
    <x:row r="616" ht="20" customHeight="1">
      <x:c r="A616" t="str">
        <x:v>WO00601</x:v>
      </x:c>
      <x:c r="B616" t="str">
        <x:v>LOT00601</x:v>
      </x:c>
      <x:c r="C616" t="str">
        <x:v>MECH-STG-B</x:v>
      </x:c>
      <x:c r="D616" t="n">
        <x:v>15</x:v>
      </x:c>
      <x:c r="E616" t="n">
        <x:v>1469860.61</x:v>
      </x:c>
      <x:c r="F616" t="n">
        <x:v>1183.62</x:v>
      </x:c>
      <x:c r="G616" t="n">
        <x:v>3205.55</x:v>
      </x:c>
      <x:c r="H616" t="n">
        <x:v>2457.29</x:v>
      </x:c>
      <x:c r="I616" t="n">
        <x:v>3.26</x:v>
      </x:c>
      <x:c r="J616" t="n">
        <x:v>3615738.2</x:v>
      </x:c>
      <x:c r="K616" t="n">
        <x:v>128105.29</x:v>
      </x:c>
      <x:c r="L616" t="n">
        <x:v>1485030</x:v>
      </x:c>
      <x:c r="M616" t="n">
        <x:f>SUM(E616,J616:L616)</x:f>
        <x:v>6698734.100000001</x:v>
      </x:c>
      <x:c r="N616" t="n">
        <x:v>151000</x:v>
      </x:c>
      <x:c r="O616" t="n">
        <x:f>D616*N616</x:f>
        <x:v>2265000</x:v>
      </x:c>
      <x:c r="P616" s="22" t="n">
        <x:f>IF(O616=0,0,(M616-O616)/O616)</x:f>
        <x:v>1.9574984988962474</x:v>
      </x:c>
      <x:c r="Q616" s="20" t="n">
        <x:v>45896</x:v>
      </x:c>
    </x:row>
    <x:row r="617" ht="20" customHeight="1">
      <x:c r="A617" t="str">
        <x:v>WO00634</x:v>
      </x:c>
      <x:c r="B617" t="str">
        <x:v>LOT00634</x:v>
      </x:c>
      <x:c r="C617" t="str">
        <x:v>SEMI-WH-A</x:v>
      </x:c>
      <x:c r="D617" t="n">
        <x:v>40</x:v>
      </x:c>
      <x:c r="E617" t="n">
        <x:v>2174018.16</x:v>
      </x:c>
      <x:c r="F617" t="n">
        <x:v>0.95</x:v>
      </x:c>
      <x:c r="G617" t="n">
        <x:v>0</x:v>
      </x:c>
      <x:c r="H617" t="n">
        <x:v>0.38</x:v>
      </x:c>
      <x:c r="I617" t="n">
        <x:v>2.97</x:v>
      </x:c>
      <x:c r="J617" t="n">
        <x:v>799.9</x:v>
      </x:c>
      <x:c r="K617" t="n">
        <x:v>283868.43</x:v>
      </x:c>
      <x:c r="L617" t="n">
        <x:v>1312.8</x:v>
      </x:c>
      <x:c r="M617" t="n">
        <x:f>SUM(E617,J617:L617)</x:f>
        <x:v>2459999.29</x:v>
      </x:c>
      <x:c r="N617" t="n">
        <x:v>88000</x:v>
      </x:c>
      <x:c r="O617" t="n">
        <x:f>D617*N617</x:f>
        <x:v>3520000</x:v>
      </x:c>
      <x:c r="P617" s="22" t="n">
        <x:f>IF(O617=0,0,(M617-O617)/O617)</x:f>
        <x:v>-0.3011365653409091</x:v>
      </x:c>
      <x:c r="Q617" s="20" t="n">
        <x:v>45892</x:v>
      </x:c>
    </x:row>
    <x:row r="618" ht="20" customHeight="1">
      <x:c r="A618" t="str">
        <x:v>WO00598</x:v>
      </x:c>
      <x:c r="B618" t="str">
        <x:v>LOT00598</x:v>
      </x:c>
      <x:c r="C618" t="str">
        <x:v>AUTO-FL-A</x:v>
      </x:c>
      <x:c r="D618" t="n">
        <x:v>4886</x:v>
      </x:c>
      <x:c r="E618" t="n">
        <x:v>3276635.29</x:v>
      </x:c>
      <x:c r="F618" t="n">
        <x:v>27.89</x:v>
      </x:c>
      <x:c r="G618" t="n">
        <x:v>0</x:v>
      </x:c>
      <x:c r="H618" t="n">
        <x:v>4.37</x:v>
      </x:c>
      <x:c r="I618" t="n">
        <x:v>1.19</x:v>
      </x:c>
      <x:c r="J618" t="n">
        <x:v>20226.1</x:v>
      </x:c>
      <x:c r="K618" t="n">
        <x:v>257681.13</x:v>
      </x:c>
      <x:c r="L618" t="n">
        <x:v>11654.4</x:v>
      </x:c>
      <x:c r="M618" t="n">
        <x:f>SUM(E618,J618:L618)</x:f>
        <x:v>3566196.92</x:v>
      </x:c>
      <x:c r="N618" t="n">
        <x:v>970</x:v>
      </x:c>
      <x:c r="O618" t="n">
        <x:f>D618*N618</x:f>
        <x:v>4739420</x:v>
      </x:c>
      <x:c r="P618" s="22" t="n">
        <x:f>IF(O618=0,0,(M618-O618)/O618)</x:f>
        <x:v>-0.24754570812462287</x:v>
      </x:c>
      <x:c r="Q618" s="20" t="n">
        <x:v>45862</x:v>
      </x:c>
    </x:row>
    <x:row r="619" ht="20" customHeight="1">
      <x:c r="A619" t="str">
        <x:v>WO00599</x:v>
      </x:c>
      <x:c r="B619" t="str">
        <x:v>LOT00599</x:v>
      </x:c>
      <x:c r="C619" t="str">
        <x:v>AUTO-FL-A</x:v>
      </x:c>
      <x:c r="D619" t="n">
        <x:v>4965</x:v>
      </x:c>
      <x:c r="E619" t="n">
        <x:v>3263702.48</x:v>
      </x:c>
      <x:c r="F619" t="n">
        <x:v>25.16</x:v>
      </x:c>
      <x:c r="G619" t="n">
        <x:v>0</x:v>
      </x:c>
      <x:c r="H619" t="n">
        <x:v>3.74</x:v>
      </x:c>
      <x:c r="I619" t="n">
        <x:v>1.35</x:v>
      </x:c>
      <x:c r="J619" t="n">
        <x:v>18149.2</x:v>
      </x:c>
      <x:c r="K619" t="n">
        <x:v>254472.11</x:v>
      </x:c>
      <x:c r="L619" t="n">
        <x:v>10564.2</x:v>
      </x:c>
      <x:c r="M619" t="n">
        <x:f>SUM(E619,J619:L619)</x:f>
        <x:v>3546887.99</x:v>
      </x:c>
      <x:c r="N619" t="n">
        <x:v>970</x:v>
      </x:c>
      <x:c r="O619" t="n">
        <x:f>D619*N619</x:f>
        <x:v>4816050</x:v>
      </x:c>
      <x:c r="P619" s="22" t="n">
        <x:f>IF(O619=0,0,(M619-O619)/O619)</x:f>
        <x:v>-0.2635275817319172</x:v>
      </x:c>
      <x:c r="Q619" s="20" t="n">
        <x:v>45859</x:v>
      </x:c>
    </x:row>
    <x:row r="620" ht="20" customHeight="1">
      <x:c r="A620" t="str">
        <x:v>WO00637</x:v>
      </x:c>
      <x:c r="B620" t="str">
        <x:v>LOT00637</x:v>
      </x:c>
      <x:c r="C620" t="str">
        <x:v>MECH-STG-A</x:v>
      </x:c>
      <x:c r="D620" t="n">
        <x:v>10</x:v>
      </x:c>
      <x:c r="E620" t="n">
        <x:v>661496.71</x:v>
      </x:c>
      <x:c r="F620" t="n">
        <x:v>773.53</x:v>
      </x:c>
      <x:c r="G620" t="n">
        <x:v>2688.86</x:v>
      </x:c>
      <x:c r="H620" t="n">
        <x:v>1743.31</x:v>
      </x:c>
      <x:c r="I620" t="n">
        <x:v>3.37</x:v>
      </x:c>
      <x:c r="J620" t="n">
        <x:v>2737790.5</x:v>
      </x:c>
      <x:c r="K620" t="n">
        <x:v>56843.85</x:v>
      </x:c>
      <x:c r="L620" t="n">
        <x:v>1111654</x:v>
      </x:c>
      <x:c r="M620" t="n">
        <x:f>SUM(E620,J620:L620)</x:f>
        <x:v>4567785.0600000005</x:v>
      </x:c>
      <x:c r="N620" t="n">
        <x:v>104000</x:v>
      </x:c>
      <x:c r="O620" t="n">
        <x:f>D620*N620</x:f>
        <x:v>1040000</x:v>
      </x:c>
      <x:c r="P620" s="22" t="n">
        <x:f>IF(O620=0,0,(M620-O620)/O620)</x:f>
        <x:v>3.3921010192307697</x:v>
      </x:c>
      <x:c r="Q620" s="20" t="n">
        <x:v>45886</x:v>
      </x:c>
    </x:row>
    <x:row r="621" ht="20" customHeight="1">
      <x:c r="A621" t="str">
        <x:v>WO00602</x:v>
      </x:c>
      <x:c r="B621" t="str">
        <x:v>LOT00602</x:v>
      </x:c>
      <x:c r="C621" t="str">
        <x:v>PM-BRG-A</x:v>
      </x:c>
      <x:c r="D621" t="n">
        <x:v>588</x:v>
      </x:c>
      <x:c r="E621" t="n">
        <x:v>1497737.21</x:v>
      </x:c>
      <x:c r="F621" t="n">
        <x:v>5.08</x:v>
      </x:c>
      <x:c r="G621" t="n">
        <x:v>0</x:v>
      </x:c>
      <x:c r="H621" t="n">
        <x:v>1.02</x:v>
      </x:c>
      <x:c r="I621" t="n">
        <x:v>1.64</x:v>
      </x:c>
      <x:c r="J621" t="n">
        <x:v>3791.6</x:v>
      </x:c>
      <x:c r="K621" t="n">
        <x:v>109276.06</x:v>
      </x:c>
      <x:c r="L621" t="n">
        <x:v>2585.6</x:v>
      </x:c>
      <x:c r="M621" t="n">
        <x:f>SUM(E621,J621:L621)</x:f>
        <x:v>1613390.47</x:v>
      </x:c>
      <x:c r="N621" t="n">
        <x:v>4450</x:v>
      </x:c>
      <x:c r="O621" t="n">
        <x:f>D621*N621</x:f>
        <x:v>2616600</x:v>
      </x:c>
      <x:c r="P621" s="22" t="n">
        <x:f>IF(O621=0,0,(M621-O621)/O621)</x:f>
        <x:v>-0.38340194527249105</x:v>
      </x:c>
      <x:c r="Q621" s="20" t="n">
        <x:v>45870</x:v>
      </x:c>
    </x:row>
    <x:row r="622" ht="20" customHeight="1">
      <x:c r="A622" t="str">
        <x:v>WO00603</x:v>
      </x:c>
      <x:c r="B622" t="str">
        <x:v>LOT00603</x:v>
      </x:c>
      <x:c r="C622" t="str">
        <x:v>PM-BRG-A</x:v>
      </x:c>
      <x:c r="D622" t="n">
        <x:v>583</x:v>
      </x:c>
      <x:c r="E622" t="n">
        <x:v>1590661.56</x:v>
      </x:c>
      <x:c r="F622" t="n">
        <x:v>5.31</x:v>
      </x:c>
      <x:c r="G622" t="n">
        <x:v>0</x:v>
      </x:c>
      <x:c r="H622" t="n">
        <x:v>1.21</x:v>
      </x:c>
      <x:c r="I622" t="n">
        <x:v>1.77</x:v>
      </x:c>
      <x:c r="J622" t="n">
        <x:v>4032.3</x:v>
      </x:c>
      <x:c r="K622" t="n">
        <x:v>120446.27</x:v>
      </x:c>
      <x:c r="L622" t="n">
        <x:v>2742.4</x:v>
      </x:c>
      <x:c r="M622" t="n">
        <x:f>SUM(E622,J622:L622)</x:f>
        <x:v>1717882.53</x:v>
      </x:c>
      <x:c r="N622" t="n">
        <x:v>4450</x:v>
      </x:c>
      <x:c r="O622" t="n">
        <x:f>D622*N622</x:f>
        <x:v>2594350</x:v>
      </x:c>
      <x:c r="P622" s="22" t="n">
        <x:f>IF(O622=0,0,(M622-O622)/O622)</x:f>
        <x:v>-0.33783701890646983</x:v>
      </x:c>
      <x:c r="Q622" s="20" t="n">
        <x:v>45874</x:v>
      </x:c>
    </x:row>
    <x:row r="623" ht="20" customHeight="1">
      <x:c r="A623" t="str">
        <x:v>WO00623</x:v>
      </x:c>
      <x:c r="B623" t="str">
        <x:v>LOT00623</x:v>
      </x:c>
      <x:c r="C623" t="str">
        <x:v>AUTO-KN-B</x:v>
      </x:c>
      <x:c r="D623" t="n">
        <x:v>2954</x:v>
      </x:c>
      <x:c r="E623" t="n">
        <x:v>5461062.03</x:v>
      </x:c>
      <x:c r="F623" t="n">
        <x:v>14.23</x:v>
      </x:c>
      <x:c r="G623" t="n">
        <x:v>0</x:v>
      </x:c>
      <x:c r="H623" t="n">
        <x:v>2.2</x:v>
      </x:c>
      <x:c r="I623" t="n">
        <x:v>1.16</x:v>
      </x:c>
      <x:c r="J623" t="n">
        <x:v>10305.5</x:v>
      </x:c>
      <x:c r="K623" t="n">
        <x:v>426570.32</x:v>
      </x:c>
      <x:c r="L623" t="n">
        <x:v>6107.4</x:v>
      </x:c>
      <x:c r="M623" t="n">
        <x:f>SUM(E623,J623:L623)</x:f>
        <x:v>5904045.25</x:v>
      </x:c>
      <x:c r="N623" t="n">
        <x:v>2590</x:v>
      </x:c>
      <x:c r="O623" t="n">
        <x:f>D623*N623</x:f>
        <x:v>7650860</x:v>
      </x:c>
      <x:c r="P623" s="22" t="n">
        <x:f>IF(O623=0,0,(M623-O623)/O623)</x:f>
        <x:v>-0.2283161304742212</x:v>
      </x:c>
      <x:c r="Q623" s="20" t="n">
        <x:v>45879</x:v>
      </x:c>
    </x:row>
    <x:row r="624" ht="20" customHeight="1">
      <x:c r="A624" t="str">
        <x:v>WO00636</x:v>
      </x:c>
      <x:c r="B624" t="str">
        <x:v>LOT00636</x:v>
      </x:c>
      <x:c r="C624" t="str">
        <x:v>MECH-CON-A</x:v>
      </x:c>
      <x:c r="D624" t="n">
        <x:v>10</x:v>
      </x:c>
      <x:c r="E624" t="n">
        <x:v>509773.64</x:v>
      </x:c>
      <x:c r="F624" t="n">
        <x:v>808.7</x:v>
      </x:c>
      <x:c r="G624" t="n">
        <x:v>2145.41</x:v>
      </x:c>
      <x:c r="H624" t="n">
        <x:v>1690.73</x:v>
      </x:c>
      <x:c r="I624" t="n">
        <x:v>2.96</x:v>
      </x:c>
      <x:c r="J624" t="n">
        <x:v>2452818.6</x:v>
      </x:c>
      <x:c r="K624" t="n">
        <x:v>49644.92</x:v>
      </x:c>
      <x:c r="L624" t="n">
        <x:v>1007792.8</x:v>
      </x:c>
      <x:c r="M624" t="n">
        <x:f>SUM(E624,J624:L624)</x:f>
        <x:v>4020029.9600000004</x:v>
      </x:c>
      <x:c r="N624" t="n">
        <x:v>83000</x:v>
      </x:c>
      <x:c r="O624" t="n">
        <x:f>D624*N624</x:f>
        <x:v>830000</x:v>
      </x:c>
      <x:c r="P624" s="22" t="n">
        <x:f>IF(O624=0,0,(M624-O624)/O624)</x:f>
        <x:v>3.8434095903614462</x:v>
      </x:c>
      <x:c r="Q624" s="20" t="n">
        <x:v>45886</x:v>
      </x:c>
    </x:row>
    <x:row r="625" ht="20" customHeight="1">
      <x:c r="A625" t="str">
        <x:v>WO00642</x:v>
      </x:c>
      <x:c r="B625" t="str">
        <x:v>LOT00642</x:v>
      </x:c>
      <x:c r="C625" t="str">
        <x:v>PM-BRG-B</x:v>
      </x:c>
      <x:c r="D625" t="n">
        <x:v>590</x:v>
      </x:c>
      <x:c r="E625" t="n">
        <x:v>1904608.17</x:v>
      </x:c>
      <x:c r="F625" t="n">
        <x:v>5.34</x:v>
      </x:c>
      <x:c r="G625" t="n">
        <x:v>0</x:v>
      </x:c>
      <x:c r="H625" t="n">
        <x:v>1.02</x:v>
      </x:c>
      <x:c r="I625" t="n">
        <x:v>1.69</x:v>
      </x:c>
      <x:c r="J625" t="n">
        <x:v>3960.6</x:v>
      </x:c>
      <x:c r="K625" t="n">
        <x:v>165187.15</x:v>
      </x:c>
      <x:c r="L625" t="n">
        <x:v>2699.4</x:v>
      </x:c>
      <x:c r="M625" t="n">
        <x:f>SUM(E625,J625:L625)</x:f>
        <x:v>2076455.3199999998</x:v>
      </x:c>
      <x:c r="N625" t="n">
        <x:v>5400</x:v>
      </x:c>
      <x:c r="O625" t="n">
        <x:f>D625*N625</x:f>
        <x:v>3186000</x:v>
      </x:c>
      <x:c r="P625" s="22" t="n">
        <x:f>IF(O625=0,0,(M625-O625)/O625)</x:f>
        <x:v>-0.3482563339610798</x:v>
      </x:c>
      <x:c r="Q625" s="20" t="n">
        <x:v>45874</x:v>
      </x:c>
    </x:row>
    <x:row r="626" ht="20" customHeight="1">
      <x:c r="A626" t="str">
        <x:v>WO00643</x:v>
      </x:c>
      <x:c r="B626" t="str">
        <x:v>LOT00643</x:v>
      </x:c>
      <x:c r="C626" t="str">
        <x:v>PM-BRG-B</x:v>
      </x:c>
      <x:c r="D626" t="n">
        <x:v>586</x:v>
      </x:c>
      <x:c r="E626" t="n">
        <x:v>1899452.52</x:v>
      </x:c>
      <x:c r="F626" t="n">
        <x:v>5.38</x:v>
      </x:c>
      <x:c r="G626" t="n">
        <x:v>0</x:v>
      </x:c>
      <x:c r="H626" t="n">
        <x:v>0.99</x:v>
      </x:c>
      <x:c r="I626" t="n">
        <x:v>1.56</x:v>
      </x:c>
      <x:c r="J626" t="n">
        <x:v>3972.2</x:v>
      </x:c>
      <x:c r="K626" t="n">
        <x:v>164505.69</x:v>
      </x:c>
      <x:c r="L626" t="n">
        <x:v>2670.8</x:v>
      </x:c>
      <x:c r="M626" t="n">
        <x:f>SUM(E626,J626:L626)</x:f>
        <x:v>2070601.21</x:v>
      </x:c>
      <x:c r="N626" t="n">
        <x:v>5400</x:v>
      </x:c>
      <x:c r="O626" t="n">
        <x:f>D626*N626</x:f>
        <x:v>3164400</x:v>
      </x:c>
      <x:c r="P626" s="22" t="n">
        <x:f>IF(O626=0,0,(M626-O626)/O626)</x:f>
        <x:v>-0.34565756225508787</x:v>
      </x:c>
      <x:c r="Q626" s="20" t="n">
        <x:v>45876</x:v>
      </x:c>
    </x:row>
    <x:row r="627" ht="20" customHeight="1">
      <x:c r="A627" t="str">
        <x:v>WO00622</x:v>
      </x:c>
      <x:c r="B627" t="str">
        <x:v>LOT00622</x:v>
      </x:c>
      <x:c r="C627" t="str">
        <x:v>PM-BRG-A</x:v>
      </x:c>
      <x:c r="D627" t="n">
        <x:v>296</x:v>
      </x:c>
      <x:c r="E627" t="n">
        <x:v>776435.28</x:v>
      </x:c>
      <x:c r="F627" t="n">
        <x:v>2.94</x:v>
      </x:c>
      <x:c r="G627" t="n">
        <x:v>0</x:v>
      </x:c>
      <x:c r="H627" t="n">
        <x:v>0.61</x:v>
      </x:c>
      <x:c r="I627" t="n">
        <x:v>1.91</x:v>
      </x:c>
      <x:c r="J627" t="n">
        <x:v>2203.8</x:v>
      </x:c>
      <x:c r="K627" t="n">
        <x:v>59482.96</x:v>
      </x:c>
      <x:c r="L627" t="n">
        <x:v>1787.8</x:v>
      </x:c>
      <x:c r="M627" t="n">
        <x:f>SUM(E627,J627:L627)</x:f>
        <x:v>839909.8400000001</x:v>
      </x:c>
      <x:c r="N627" t="n">
        <x:v>4450</x:v>
      </x:c>
      <x:c r="O627" t="n">
        <x:f>D627*N627</x:f>
        <x:v>1317200</x:v>
      </x:c>
      <x:c r="P627" s="22" t="n">
        <x:f>IF(O627=0,0,(M627-O627)/O627)</x:f>
        <x:v>-0.36235208017005766</x:v>
      </x:c>
      <x:c r="Q627" s="20" t="n">
        <x:v>45873</x:v>
      </x:c>
    </x:row>
    <x:row r="628" ht="20" customHeight="1">
      <x:c r="A628" t="str">
        <x:v>WO00629</x:v>
      </x:c>
      <x:c r="B628" t="str">
        <x:v>LOT00629</x:v>
      </x:c>
      <x:c r="C628" t="str">
        <x:v>AUTO-FL-A</x:v>
      </x:c>
      <x:c r="D628" t="n">
        <x:v>6417</x:v>
      </x:c>
      <x:c r="E628" t="n">
        <x:v>3943887.64</x:v>
      </x:c>
      <x:c r="F628" t="n">
        <x:v>33.77</x:v>
      </x:c>
      <x:c r="G628" t="n">
        <x:v>0</x:v>
      </x:c>
      <x:c r="H628" t="n">
        <x:v>5.21</x:v>
      </x:c>
      <x:c r="I628" t="n">
        <x:v>1.13</x:v>
      </x:c>
      <x:c r="J628" t="n">
        <x:v>24451.3</x:v>
      </x:c>
      <x:c r="K628" t="n">
        <x:v>299278.06</x:v>
      </x:c>
      <x:c r="L628" t="n">
        <x:v>14005.2</x:v>
      </x:c>
      <x:c r="M628" t="n">
        <x:f>SUM(E628,J628:L628)</x:f>
        <x:v>4281622.2</x:v>
      </x:c>
      <x:c r="N628" t="n">
        <x:v>970</x:v>
      </x:c>
      <x:c r="O628" t="n">
        <x:f>D628*N628</x:f>
        <x:v>6224490</x:v>
      </x:c>
      <x:c r="P628" s="22" t="n">
        <x:f>IF(O628=0,0,(M628-O628)/O628)</x:f>
        <x:v>-0.3121328494382672</x:v>
      </x:c>
      <x:c r="Q628" s="20" t="n">
        <x:v>45866</x:v>
      </x:c>
    </x:row>
    <x:row r="629" ht="20" customHeight="1">
      <x:c r="A629" t="str">
        <x:v>WO00630</x:v>
      </x:c>
      <x:c r="B629" t="str">
        <x:v>LOT00630</x:v>
      </x:c>
      <x:c r="C629" t="str">
        <x:v>AUTO-FL-A</x:v>
      </x:c>
      <x:c r="D629" t="n">
        <x:v>6399</x:v>
      </x:c>
      <x:c r="E629" t="n">
        <x:v>3873528.97</x:v>
      </x:c>
      <x:c r="F629" t="n">
        <x:v>31.48</x:v>
      </x:c>
      <x:c r="G629" t="n">
        <x:v>0</x:v>
      </x:c>
      <x:c r="H629" t="n">
        <x:v>6.06</x:v>
      </x:c>
      <x:c r="I629" t="n">
        <x:v>1.01</x:v>
      </x:c>
      <x:c r="J629" t="n">
        <x:v>23370.8</x:v>
      </x:c>
      <x:c r="K629" t="n">
        <x:v>355512.44</x:v>
      </x:c>
      <x:c r="L629" t="n">
        <x:v>13235</x:v>
      </x:c>
      <x:c r="M629" t="n">
        <x:f>SUM(E629,J629:L629)</x:f>
        <x:v>4265647.21</x:v>
      </x:c>
      <x:c r="N629" t="n">
        <x:v>970</x:v>
      </x:c>
      <x:c r="O629" t="n">
        <x:f>D629*N629</x:f>
        <x:v>6207030</x:v>
      </x:c>
      <x:c r="P629" s="22" t="n">
        <x:f>IF(O629=0,0,(M629-O629)/O629)</x:f>
        <x:v>-0.3127716137991922</x:v>
      </x:c>
      <x:c r="Q629" s="20" t="n">
        <x:v>45868</x:v>
      </x:c>
    </x:row>
    <x:row r="630" ht="20" customHeight="1">
      <x:c r="A630" t="str">
        <x:v>WO00624</x:v>
      </x:c>
      <x:c r="B630" t="str">
        <x:v>LOT00624</x:v>
      </x:c>
      <x:c r="C630" t="str">
        <x:v>PM-VAC-B</x:v>
      </x:c>
      <x:c r="D630" t="n">
        <x:v>490</x:v>
      </x:c>
      <x:c r="E630" t="n">
        <x:v>4780146.5</x:v>
      </x:c>
      <x:c r="F630" t="n">
        <x:v>4.87</x:v>
      </x:c>
      <x:c r="G630" t="n">
        <x:v>0</x:v>
      </x:c>
      <x:c r="H630" t="n">
        <x:v>0.93</x:v>
      </x:c>
      <x:c r="I630" t="n">
        <x:v>1.71</x:v>
      </x:c>
      <x:c r="J630" t="n">
        <x:v>3611.9</x:v>
      </x:c>
      <x:c r="K630" t="n">
        <x:v>554847.31</x:v>
      </x:c>
      <x:c r="L630" t="n">
        <x:v>2512.4</x:v>
      </x:c>
      <x:c r="M630" t="n">
        <x:f>SUM(E630,J630:L630)</x:f>
        <x:v>5341118.11</x:v>
      </x:c>
      <x:c r="N630" t="n">
        <x:v>15500</x:v>
      </x:c>
      <x:c r="O630" t="n">
        <x:f>D630*N630</x:f>
        <x:v>7595000</x:v>
      </x:c>
      <x:c r="P630" s="22" t="n">
        <x:f>IF(O630=0,0,(M630-O630)/O630)</x:f>
        <x:v>-0.2967586425279789</x:v>
      </x:c>
      <x:c r="Q630" s="20" t="n">
        <x:v>45891</x:v>
      </x:c>
    </x:row>
    <x:row r="631" ht="20" customHeight="1">
      <x:c r="A631" t="str">
        <x:v>WO00641</x:v>
      </x:c>
      <x:c r="B631" t="str">
        <x:v>LOT00641</x:v>
      </x:c>
      <x:c r="C631" t="str">
        <x:v>AUTO-LG-A</x:v>
      </x:c>
      <x:c r="D631" t="n">
        <x:v>4977</x:v>
      </x:c>
      <x:c r="E631" t="n">
        <x:v>2593278.53</x:v>
      </x:c>
      <x:c r="F631" t="n">
        <x:v>26.4</x:v>
      </x:c>
      <x:c r="G631" t="n">
        <x:v>0</x:v>
      </x:c>
      <x:c r="H631" t="n">
        <x:v>3.72</x:v>
      </x:c>
      <x:c r="I631" t="n">
        <x:v>1.25</x:v>
      </x:c>
      <x:c r="J631" t="n">
        <x:v>18945.6</x:v>
      </x:c>
      <x:c r="K631" t="n">
        <x:v>220370</x:v>
      </x:c>
      <x:c r="L631" t="n">
        <x:v>11002.2</x:v>
      </x:c>
      <x:c r="M631" t="n">
        <x:f>SUM(E631,J631:L631)</x:f>
        <x:v>2843596.3299999996</x:v>
      </x:c>
      <x:c r="N631" t="n">
        <x:v>840</x:v>
      </x:c>
      <x:c r="O631" t="n">
        <x:f>D631*N631</x:f>
        <x:v>4180680</x:v>
      </x:c>
      <x:c r="P631" s="22" t="n">
        <x:f>IF(O631=0,0,(M631-O631)/O631)</x:f>
        <x:v>-0.3198244472191128</x:v>
      </x:c>
      <x:c r="Q631" s="20" t="n">
        <x:v>45876</x:v>
      </x:c>
    </x:row>
    <x:row r="632" ht="20" customHeight="1">
      <x:c r="A632" t="str">
        <x:v>WO00640</x:v>
      </x:c>
      <x:c r="B632" t="str">
        <x:v>LOT00640</x:v>
      </x:c>
      <x:c r="C632" t="str">
        <x:v>AUTO-LG-A</x:v>
      </x:c>
      <x:c r="D632" t="n">
        <x:v>4925</x:v>
      </x:c>
      <x:c r="E632" t="n">
        <x:v>2671602.4</x:v>
      </x:c>
      <x:c r="F632" t="n">
        <x:v>28.58</x:v>
      </x:c>
      <x:c r="G632" t="n">
        <x:v>0</x:v>
      </x:c>
      <x:c r="H632" t="n">
        <x:v>4.18</x:v>
      </x:c>
      <x:c r="I632" t="n">
        <x:v>1.24</x:v>
      </x:c>
      <x:c r="J632" t="n">
        <x:v>20583.4</x:v>
      </x:c>
      <x:c r="K632" t="n">
        <x:v>197616.27</x:v>
      </x:c>
      <x:c r="L632" t="n">
        <x:v>11901.2</x:v>
      </x:c>
      <x:c r="M632" t="n">
        <x:f>SUM(E632,J632:L632)</x:f>
        <x:v>2901703.27</x:v>
      </x:c>
      <x:c r="N632" t="n">
        <x:v>840</x:v>
      </x:c>
      <x:c r="O632" t="n">
        <x:f>D632*N632</x:f>
        <x:v>4137000</x:v>
      </x:c>
      <x:c r="P632" s="22" t="n">
        <x:f>IF(O632=0,0,(M632-O632)/O632)</x:f>
        <x:v>-0.2985972274595117</x:v>
      </x:c>
      <x:c r="Q632" s="20" t="n">
        <x:v>45879</x:v>
      </x:c>
    </x:row>
    <x:row r="633" ht="20" customHeight="1">
      <x:c r="A633" t="str">
        <x:v>WO00625</x:v>
      </x:c>
      <x:c r="B633" t="str">
        <x:v>LOT00625</x:v>
      </x:c>
      <x:c r="C633" t="str">
        <x:v>PM-BRG-B</x:v>
      </x:c>
      <x:c r="D633" t="n">
        <x:v>787</x:v>
      </x:c>
      <x:c r="E633" t="n">
        <x:v>2420572.88</x:v>
      </x:c>
      <x:c r="F633" t="n">
        <x:v>7.16</x:v>
      </x:c>
      <x:c r="G633" t="n">
        <x:v>0</x:v>
      </x:c>
      <x:c r="H633" t="n">
        <x:v>1.4</x:v>
      </x:c>
      <x:c r="I633" t="n">
        <x:v>1.5</x:v>
      </x:c>
      <x:c r="J633" t="n">
        <x:v>5326</x:v>
      </x:c>
      <x:c r="K633" t="n">
        <x:v>215305.57</x:v>
      </x:c>
      <x:c r="L633" t="n">
        <x:v>3394.8</x:v>
      </x:c>
      <x:c r="M633" t="n">
        <x:f>SUM(E633,J633:L633)</x:f>
        <x:v>2644599.25</x:v>
      </x:c>
      <x:c r="N633" t="n">
        <x:v>5400</x:v>
      </x:c>
      <x:c r="O633" t="n">
        <x:f>D633*N633</x:f>
        <x:v>4249800</x:v>
      </x:c>
      <x:c r="P633" s="22" t="n">
        <x:f>IF(O633=0,0,(M633-O633)/O633)</x:f>
        <x:v>-0.3777120688032378</x:v>
      </x:c>
      <x:c r="Q633" s="20" t="n">
        <x:v>45886</x:v>
      </x:c>
    </x:row>
    <x:row r="634" ht="20" customHeight="1">
      <x:c r="A634" t="str">
        <x:v>WO00626</x:v>
      </x:c>
      <x:c r="B634" t="str">
        <x:v>LOT00626</x:v>
      </x:c>
      <x:c r="C634" t="str">
        <x:v>PM-BRG-B</x:v>
      </x:c>
      <x:c r="D634" t="n">
        <x:v>784</x:v>
      </x:c>
      <x:c r="E634" t="n">
        <x:v>2406198.62</x:v>
      </x:c>
      <x:c r="F634" t="n">
        <x:v>7.36</x:v>
      </x:c>
      <x:c r="G634" t="n">
        <x:v>0</x:v>
      </x:c>
      <x:c r="H634" t="n">
        <x:v>1.66</x:v>
      </x:c>
      <x:c r="I634" t="n">
        <x:v>1.82</x:v>
      </x:c>
      <x:c r="J634" t="n">
        <x:v>5580.8</x:v>
      </x:c>
      <x:c r="K634" t="n">
        <x:v>206822.45</x:v>
      </x:c>
      <x:c r="L634" t="n">
        <x:v>3608.4</x:v>
      </x:c>
      <x:c r="M634" t="n">
        <x:f>SUM(E634,J634:L634)</x:f>
        <x:v>2622210.27</x:v>
      </x:c>
      <x:c r="N634" t="n">
        <x:v>5400</x:v>
      </x:c>
      <x:c r="O634" t="n">
        <x:f>D634*N634</x:f>
        <x:v>4233600</x:v>
      </x:c>
      <x:c r="P634" s="22" t="n">
        <x:f>IF(O634=0,0,(M634-O634)/O634)</x:f>
        <x:v>-0.3806192672902494</x:v>
      </x:c>
      <x:c r="Q634" s="20" t="n">
        <x:v>45890</x:v>
      </x:c>
    </x:row>
    <x:row r="635" ht="20" customHeight="1">
      <x:c r="A635" t="str">
        <x:v>WO00638</x:v>
      </x:c>
      <x:c r="B635" t="str">
        <x:v>LOT00638</x:v>
      </x:c>
      <x:c r="C635" t="str">
        <x:v>AUTO-LG-B</x:v>
      </x:c>
      <x:c r="D635" t="n">
        <x:v>4950</x:v>
      </x:c>
      <x:c r="E635" t="n">
        <x:v>3047095.31</x:v>
      </x:c>
      <x:c r="F635" t="n">
        <x:v>26.03</x:v>
      </x:c>
      <x:c r="G635" t="n">
        <x:v>0</x:v>
      </x:c>
      <x:c r="H635" t="n">
        <x:v>4.46</x:v>
      </x:c>
      <x:c r="I635" t="n">
        <x:v>1.16</x:v>
      </x:c>
      <x:c r="J635" t="n">
        <x:v>19060.3</x:v>
      </x:c>
      <x:c r="K635" t="n">
        <x:v>228392.58</x:v>
      </x:c>
      <x:c r="L635" t="n">
        <x:v>10953</x:v>
      </x:c>
      <x:c r="M635" t="n">
        <x:f>SUM(E635,J635:L635)</x:f>
        <x:v>3305501.19</x:v>
      </x:c>
      <x:c r="N635" t="n">
        <x:v>925</x:v>
      </x:c>
      <x:c r="O635" t="n">
        <x:f>D635*N635</x:f>
        <x:v>4578750</x:v>
      </x:c>
      <x:c r="P635" s="22" t="n">
        <x:f>IF(O635=0,0,(M635-O635)/O635)</x:f>
        <x:v>-0.2780778181818182</x:v>
      </x:c>
      <x:c r="Q635" s="20" t="n">
        <x:v>45881</x:v>
      </x:c>
    </x:row>
    <x:row r="636" ht="20" customHeight="1">
      <x:c r="A636" t="str">
        <x:v>WO00639</x:v>
      </x:c>
      <x:c r="B636" t="str">
        <x:v>LOT00639</x:v>
      </x:c>
      <x:c r="C636" t="str">
        <x:v>AUTO-LG-B</x:v>
      </x:c>
      <x:c r="D636" t="n">
        <x:v>4934</x:v>
      </x:c>
      <x:c r="E636" t="n">
        <x:v>2969837.97</x:v>
      </x:c>
      <x:c r="F636" t="n">
        <x:v>25.67</x:v>
      </x:c>
      <x:c r="G636" t="n">
        <x:v>0</x:v>
      </x:c>
      <x:c r="H636" t="n">
        <x:v>3.53</x:v>
      </x:c>
      <x:c r="I636" t="n">
        <x:v>1.29</x:v>
      </x:c>
      <x:c r="J636" t="n">
        <x:v>18379.9</x:v>
      </x:c>
      <x:c r="K636" t="n">
        <x:v>250388.48</x:v>
      </x:c>
      <x:c r="L636" t="n">
        <x:v>10706.4</x:v>
      </x:c>
      <x:c r="M636" t="n">
        <x:f>SUM(E636,J636:L636)</x:f>
        <x:v>3249312.75</x:v>
      </x:c>
      <x:c r="N636" t="n">
        <x:v>925</x:v>
      </x:c>
      <x:c r="O636" t="n">
        <x:f>D636*N636</x:f>
        <x:v>4563950</x:v>
      </x:c>
      <x:c r="P636" s="22" t="n">
        <x:f>IF(O636=0,0,(M636-O636)/O636)</x:f>
        <x:v>-0.28804812717054307</x:v>
      </x:c>
      <x:c r="Q636" s="20" t="n">
        <x:v>45883</x:v>
      </x:c>
    </x:row>
    <x:row r="637" ht="20" customHeight="1">
      <x:c r="A637" t="str">
        <x:v>WO00645</x:v>
      </x:c>
      <x:c r="B637" t="str">
        <x:v>LOT00645</x:v>
      </x:c>
      <x:c r="C637" t="str">
        <x:v>SEMI-WH-A</x:v>
      </x:c>
      <x:c r="D637" t="n">
        <x:v>59</x:v>
      </x:c>
      <x:c r="E637" t="n">
        <x:v>3315085.51</x:v>
      </x:c>
      <x:c r="F637" t="n">
        <x:v>1.58</x:v>
      </x:c>
      <x:c r="G637" t="n">
        <x:v>0</x:v>
      </x:c>
      <x:c r="H637" t="n">
        <x:v>0.59</x:v>
      </x:c>
      <x:c r="I637" t="n">
        <x:v>2.82</x:v>
      </x:c>
      <x:c r="J637" t="n">
        <x:v>1310.2</x:v>
      </x:c>
      <x:c r="K637" t="n">
        <x:v>469773.81</x:v>
      </x:c>
      <x:c r="L637" t="n">
        <x:v>1540.8</x:v>
      </x:c>
      <x:c r="M637" t="n">
        <x:f>SUM(E637,J637:L637)</x:f>
        <x:v>3787710.32</x:v>
      </x:c>
      <x:c r="N637" t="n">
        <x:v>88000</x:v>
      </x:c>
      <x:c r="O637" t="n">
        <x:f>D637*N637</x:f>
        <x:v>5192000</x:v>
      </x:c>
      <x:c r="P637" s="22" t="n">
        <x:f>IF(O637=0,0,(M637-O637)/O637)</x:f>
        <x:v>-0.2704718181818182</x:v>
      </x:c>
      <x:c r="Q637" s="20" t="n">
        <x:v>45920</x:v>
      </x:c>
    </x:row>
    <x:row r="638" ht="20" customHeight="1">
      <x:c r="A638" t="str">
        <x:v>WO00633</x:v>
      </x:c>
      <x:c r="B638" t="str">
        <x:v>LOT00633</x:v>
      </x:c>
      <x:c r="C638" t="str">
        <x:v>MECH-CON-A</x:v>
      </x:c>
      <x:c r="D638" t="n">
        <x:v>10</x:v>
      </x:c>
      <x:c r="E638" t="n">
        <x:v>554845.76</x:v>
      </x:c>
      <x:c r="F638" t="n">
        <x:v>667.94</x:v>
      </x:c>
      <x:c r="G638" t="n">
        <x:v>2394.72</x:v>
      </x:c>
      <x:c r="H638" t="n">
        <x:v>1679.36</x:v>
      </x:c>
      <x:c r="I638" t="n">
        <x:v>2.92</x:v>
      </x:c>
      <x:c r="J638" t="n">
        <x:v>2485508.2</x:v>
      </x:c>
      <x:c r="K638" t="n">
        <x:v>46254.96</x:v>
      </x:c>
      <x:c r="L638" t="n">
        <x:v>1002334.8</x:v>
      </x:c>
      <x:c r="M638" t="n">
        <x:f>SUM(E638,J638:L638)</x:f>
        <x:v>4088943.7199999997</x:v>
      </x:c>
      <x:c r="N638" t="n">
        <x:v>83000</x:v>
      </x:c>
      <x:c r="O638" t="n">
        <x:f>D638*N638</x:f>
        <x:v>830000</x:v>
      </x:c>
      <x:c r="P638" s="22" t="n">
        <x:f>IF(O638=0,0,(M638-O638)/O638)</x:f>
        <x:v>3.9264382168674694</x:v>
      </x:c>
      <x:c r="Q638" s="20" t="n">
        <x:v>45901</x:v>
      </x:c>
    </x:row>
    <x:row r="639" ht="20" customHeight="1">
      <x:c r="A639" t="str">
        <x:v>WO00620</x:v>
      </x:c>
      <x:c r="B639" t="str">
        <x:v>LOT00620</x:v>
      </x:c>
      <x:c r="C639" t="str">
        <x:v>MECH-CON-A</x:v>
      </x:c>
      <x:c r="D639" t="n">
        <x:v>20</x:v>
      </x:c>
      <x:c r="E639" t="n">
        <x:v>998900.64</x:v>
      </x:c>
      <x:c r="F639" t="n">
        <x:v>1484.26</x:v>
      </x:c>
      <x:c r="G639" t="n">
        <x:v>5505.07</x:v>
      </x:c>
      <x:c r="H639" t="n">
        <x:v>3598.66</x:v>
      </x:c>
      <x:c r="I639" t="n">
        <x:v>2.9</x:v>
      </x:c>
      <x:c r="J639" t="n">
        <x:v>5554762.2</x:v>
      </x:c>
      <x:c r="K639" t="n">
        <x:v>97642.72</x:v>
      </x:c>
      <x:c r="L639" t="n">
        <x:v>2241688.4</x:v>
      </x:c>
      <x:c r="M639" t="n">
        <x:f>SUM(E639,J639:L639)</x:f>
        <x:v>8892993.96</x:v>
      </x:c>
      <x:c r="N639" t="n">
        <x:v>83000</x:v>
      </x:c>
      <x:c r="O639" t="n">
        <x:f>D639*N639</x:f>
        <x:v>1660000</x:v>
      </x:c>
      <x:c r="P639" s="22" t="n">
        <x:f>IF(O639=0,0,(M639-O639)/O639)</x:f>
        <x:v>4.3572252771084345</x:v>
      </x:c>
      <x:c r="Q639" s="20" t="n">
        <x:v>45902</x:v>
      </x:c>
    </x:row>
    <x:row r="640" ht="20" customHeight="1">
      <x:c r="A640" t="str">
        <x:v>WO00621</x:v>
      </x:c>
      <x:c r="B640" t="str">
        <x:v>LOT00621</x:v>
      </x:c>
      <x:c r="C640" t="str">
        <x:v>MECH-CON-A</x:v>
      </x:c>
      <x:c r="D640" t="n">
        <x:v>20</x:v>
      </x:c>
      <x:c r="E640" t="n">
        <x:v>1055176.65</x:v>
      </x:c>
      <x:c r="F640" t="n">
        <x:v>1360.57</x:v>
      </x:c>
      <x:c r="G640" t="n">
        <x:v>4558.21</x:v>
      </x:c>
      <x:c r="H640" t="n">
        <x:v>3168.36</x:v>
      </x:c>
      <x:c r="I640" t="n">
        <x:v>3.08</x:v>
      </x:c>
      <x:c r="J640" t="n">
        <x:v>4775452.5</x:v>
      </x:c>
      <x:c r="K640" t="n">
        <x:v>93366.01</x:v>
      </x:c>
      <x:c r="L640" t="n">
        <x:v>1936520.2</x:v>
      </x:c>
      <x:c r="M640" t="n">
        <x:f>SUM(E640,J640:L640)</x:f>
        <x:v>7860515.359999999</x:v>
      </x:c>
      <x:c r="N640" t="n">
        <x:v>83000</x:v>
      </x:c>
      <x:c r="O640" t="n">
        <x:f>D640*N640</x:f>
        <x:v>1660000</x:v>
      </x:c>
      <x:c r="P640" s="22" t="n">
        <x:f>IF(O640=0,0,(M640-O640)/O640)</x:f>
        <x:v>3.7352502168674695</x:v>
      </x:c>
      <x:c r="Q640" s="20" t="n">
        <x:v>45899</x:v>
      </x:c>
    </x:row>
    <x:row r="641" ht="20" customHeight="1">
      <x:c r="A641" t="str">
        <x:v>WO00647</x:v>
      </x:c>
      <x:c r="B641" t="str">
        <x:v>LOT00647</x:v>
      </x:c>
      <x:c r="C641" t="str">
        <x:v>MECH-CON-B</x:v>
      </x:c>
      <x:c r="D641" t="n">
        <x:v>17</x:v>
      </x:c>
      <x:c r="E641" t="n">
        <x:v>1338219.99</x:v>
      </x:c>
      <x:c r="F641" t="n">
        <x:v>1394.58</x:v>
      </x:c>
      <x:c r="G641" t="n">
        <x:v>4572.86</x:v>
      </x:c>
      <x:c r="H641" t="n">
        <x:v>2892.59</x:v>
      </x:c>
      <x:c r="I641" t="n">
        <x:v>3.28</x:v>
      </x:c>
      <x:c r="J641" t="n">
        <x:v>4672807.4</x:v>
      </x:c>
      <x:c r="K641" t="n">
        <x:v>132555.23</x:v>
      </x:c>
      <x:c r="L641" t="n">
        <x:v>1908310.8</x:v>
      </x:c>
      <x:c r="M641" t="n">
        <x:f>SUM(E641,J641:L641)</x:f>
        <x:v>8051893.420000001</x:v>
      </x:c>
      <x:c r="N641" t="n">
        <x:v>119000</x:v>
      </x:c>
      <x:c r="O641" t="n">
        <x:f>D641*N641</x:f>
        <x:v>2023000</x:v>
      </x:c>
      <x:c r="P641" s="22" t="n">
        <x:f>IF(O641=0,0,(M641-O641)/O641)</x:f>
        <x:v>2.9801747009391995</x:v>
      </x:c>
      <x:c r="Q641" s="20" t="n">
        <x:v>45916</x:v>
      </x:c>
    </x:row>
    <x:row r="642" ht="20" customHeight="1">
      <x:c r="A642" t="str">
        <x:v>WO00627</x:v>
      </x:c>
      <x:c r="B642" t="str">
        <x:v>LOT00627</x:v>
      </x:c>
      <x:c r="C642" t="str">
        <x:v>AUTO-BS-A</x:v>
      </x:c>
      <x:c r="D642" t="n">
        <x:v>6419</x:v>
      </x:c>
      <x:c r="E642" t="n">
        <x:v>2198802.39</x:v>
      </x:c>
      <x:c r="F642" t="n">
        <x:v>33.64</x:v>
      </x:c>
      <x:c r="G642" t="n">
        <x:v>0</x:v>
      </x:c>
      <x:c r="H642" t="n">
        <x:v>5.94</x:v>
      </x:c>
      <x:c r="I642" t="n">
        <x:v>1.21</x:v>
      </x:c>
      <x:c r="J642" t="n">
        <x:v>24717.2</x:v>
      </x:c>
      <x:c r="K642" t="n">
        <x:v>209890.15</x:v>
      </x:c>
      <x:c r="L642" t="n">
        <x:v>14096.6</x:v>
      </x:c>
      <x:c r="M642" t="n">
        <x:f>SUM(E642,J642:L642)</x:f>
        <x:v>2447506.3400000003</x:v>
      </x:c>
      <x:c r="N642" t="n">
        <x:v>550</x:v>
      </x:c>
      <x:c r="O642" t="n">
        <x:f>D642*N642</x:f>
        <x:v>3530450</x:v>
      </x:c>
      <x:c r="P642" s="22" t="n">
        <x:f>IF(O642=0,0,(M642-O642)/O642)</x:f>
        <x:v>-0.3067438031978925</x:v>
      </x:c>
      <x:c r="Q642" s="20" t="n">
        <x:v>45882</x:v>
      </x:c>
    </x:row>
    <x:row r="643" ht="20" customHeight="1">
      <x:c r="A643" t="str">
        <x:v>WO00631</x:v>
      </x:c>
      <x:c r="B643" t="str">
        <x:v>LOT00631</x:v>
      </x:c>
      <x:c r="C643" t="str">
        <x:v>PM-VAC-B</x:v>
      </x:c>
      <x:c r="D643" t="n">
        <x:v>785</x:v>
      </x:c>
      <x:c r="E643" t="n">
        <x:v>7930880.12</x:v>
      </x:c>
      <x:c r="F643" t="n">
        <x:v>7.13</x:v>
      </x:c>
      <x:c r="G643" t="n">
        <x:v>0</x:v>
      </x:c>
      <x:c r="H643" t="n">
        <x:v>1.55</x:v>
      </x:c>
      <x:c r="I643" t="n">
        <x:v>1.47</x:v>
      </x:c>
      <x:c r="J643" t="n">
        <x:v>5378.5</x:v>
      </x:c>
      <x:c r="K643" t="n">
        <x:v>833937.27</x:v>
      </x:c>
      <x:c r="L643" t="n">
        <x:v>3398.4</x:v>
      </x:c>
      <x:c r="M643" t="n">
        <x:f>SUM(E643,J643:L643)</x:f>
        <x:v>8773594.290000001</x:v>
      </x:c>
      <x:c r="N643" t="n">
        <x:v>15500</x:v>
      </x:c>
      <x:c r="O643" t="n">
        <x:f>D643*N643</x:f>
        <x:v>12167500</x:v>
      </x:c>
      <x:c r="P643" s="22" t="n">
        <x:f>IF(O643=0,0,(M643-O643)/O643)</x:f>
        <x:v>-0.2789320493116909</x:v>
      </x:c>
      <x:c r="Q643" s="20" t="n">
        <x:v>45906</x:v>
      </x:c>
    </x:row>
    <x:row r="644" ht="20" customHeight="1">
      <x:c r="A644" t="str">
        <x:v>WO00632</x:v>
      </x:c>
      <x:c r="B644" t="str">
        <x:v>LOT00632</x:v>
      </x:c>
      <x:c r="C644" t="str">
        <x:v>PM-VAC-B</x:v>
      </x:c>
      <x:c r="D644" t="n">
        <x:v>784</x:v>
      </x:c>
      <x:c r="E644" t="n">
        <x:v>7831849.34</x:v>
      </x:c>
      <x:c r="F644" t="n">
        <x:v>7.23</x:v>
      </x:c>
      <x:c r="G644" t="n">
        <x:v>0</x:v>
      </x:c>
      <x:c r="H644" t="n">
        <x:v>1.35</x:v>
      </x:c>
      <x:c r="I644" t="n">
        <x:v>1.49</x:v>
      </x:c>
      <x:c r="J644" t="n">
        <x:v>5347.5</x:v>
      </x:c>
      <x:c r="K644" t="n">
        <x:v>807071.69</x:v>
      </x:c>
      <x:c r="L644" t="n">
        <x:v>3410.4</x:v>
      </x:c>
      <x:c r="M644" t="n">
        <x:f>SUM(E644,J644:L644)</x:f>
        <x:v>8647678.93</x:v>
      </x:c>
      <x:c r="N644" t="n">
        <x:v>15500</x:v>
      </x:c>
      <x:c r="O644" t="n">
        <x:f>D644*N644</x:f>
        <x:v>12152000</x:v>
      </x:c>
      <x:c r="P644" s="22" t="n">
        <x:f>IF(O644=0,0,(M644-O644)/O644)</x:f>
        <x:v>-0.28837401826859776</x:v>
      </x:c>
      <x:c r="Q644" s="20" t="n">
        <x:v>45905</x:v>
      </x:c>
    </x:row>
    <x:row r="645" ht="20" customHeight="1">
      <x:c r="A645" t="str">
        <x:v>WO00644</x:v>
      </x:c>
      <x:c r="B645" t="str">
        <x:v>LOT00644</x:v>
      </x:c>
      <x:c r="C645" t="str">
        <x:v>PM-SUS-B</x:v>
      </x:c>
      <x:c r="D645" t="n">
        <x:v>771</x:v>
      </x:c>
      <x:c r="E645" t="n">
        <x:v>5247595.74</x:v>
      </x:c>
      <x:c r="F645" t="n">
        <x:v>7.59</x:v>
      </x:c>
      <x:c r="G645" t="n">
        <x:v>0</x:v>
      </x:c>
      <x:c r="H645" t="n">
        <x:v>1.44</x:v>
      </x:c>
      <x:c r="I645" t="n">
        <x:v>1.6</x:v>
      </x:c>
      <x:c r="J645" t="n">
        <x:v>5624.7</x:v>
      </x:c>
      <x:c r="K645" t="n">
        <x:v>528446.53</x:v>
      </x:c>
      <x:c r="L645" t="n">
        <x:v>3594.6</x:v>
      </x:c>
      <x:c r="M645" t="n">
        <x:f>SUM(E645,J645:L645)</x:f>
        <x:v>5785261.57</x:v>
      </x:c>
      <x:c r="N645" t="n">
        <x:v>11100</x:v>
      </x:c>
      <x:c r="O645" t="n">
        <x:f>D645*N645</x:f>
        <x:v>8558100</x:v>
      </x:c>
      <x:c r="P645" s="22" t="n">
        <x:f>IF(O645=0,0,(M645-O645)/O645)</x:f>
        <x:v>-0.3240016393825732</x:v>
      </x:c>
      <x:c r="Q645" s="20" t="n">
        <x:v>45897</x:v>
      </x:c>
    </x:row>
    <x:row r="646" ht="20" customHeight="1">
      <x:c r="A646" t="str">
        <x:v>WO00646</x:v>
      </x:c>
      <x:c r="B646" t="str">
        <x:v>LOT00646</x:v>
      </x:c>
      <x:c r="C646" t="str">
        <x:v>MECH-CON-B</x:v>
      </x:c>
      <x:c r="D646" t="n">
        <x:v>17</x:v>
      </x:c>
      <x:c r="E646" t="n">
        <x:v>1344966.97</x:v>
      </x:c>
      <x:c r="F646" t="n">
        <x:v>1185.62</x:v>
      </x:c>
      <x:c r="G646" t="n">
        <x:v>4219.99</x:v>
      </x:c>
      <x:c r="H646" t="n">
        <x:v>3350.94</x:v>
      </x:c>
      <x:c r="I646" t="n">
        <x:v>2.98</x:v>
      </x:c>
      <x:c r="J646" t="n">
        <x:v>4573499</x:v>
      </x:c>
      <x:c r="K646" t="n">
        <x:v>108374.54</x:v>
      </x:c>
      <x:c r="L646" t="n">
        <x:v>1831578</x:v>
      </x:c>
      <x:c r="M646" t="n">
        <x:f>SUM(E646,J646:L646)</x:f>
        <x:v>7858418.51</x:v>
      </x:c>
      <x:c r="N646" t="n">
        <x:v>119000</x:v>
      </x:c>
      <x:c r="O646" t="n">
        <x:f>D646*N646</x:f>
        <x:v>2023000</x:v>
      </x:c>
      <x:c r="P646" s="22" t="n">
        <x:f>IF(O646=0,0,(M646-O646)/O646)</x:f>
        <x:v>2.884537078596144</x:v>
      </x:c>
      <x:c r="Q646" s="20" t="n">
        <x:v>45914</x:v>
      </x:c>
    </x:row>
    <x:row r="647" ht="20" customHeight="1">
      <x:c r="A647" t="str">
        <x:v>WO00648</x:v>
      </x:c>
      <x:c r="B647" t="str">
        <x:v>LOT00648</x:v>
      </x:c>
      <x:c r="C647" t="str">
        <x:v>MECH-CON-B</x:v>
      </x:c>
      <x:c r="D647" t="n">
        <x:v>16</x:v>
      </x:c>
      <x:c r="E647" t="n">
        <x:v>1264768.75</x:v>
      </x:c>
      <x:c r="F647" t="n">
        <x:v>1278.24</x:v>
      </x:c>
      <x:c r="G647" t="n">
        <x:v>3829.87</x:v>
      </x:c>
      <x:c r="H647" t="n">
        <x:v>2869.08</x:v>
      </x:c>
      <x:c r="I647" t="n">
        <x:v>2.88</x:v>
      </x:c>
      <x:c r="J647" t="n">
        <x:v>4199546.8</x:v>
      </x:c>
      <x:c r="K647" t="n">
        <x:v>104605.6</x:v>
      </x:c>
      <x:c r="L647" t="n">
        <x:v>1711622</x:v>
      </x:c>
      <x:c r="M647" t="n">
        <x:f>SUM(E647,J647:L647)</x:f>
        <x:v>7280543.149999999</x:v>
      </x:c>
      <x:c r="N647" t="n">
        <x:v>119000</x:v>
      </x:c>
      <x:c r="O647" t="n">
        <x:f>D647*N647</x:f>
        <x:v>1904000</x:v>
      </x:c>
      <x:c r="P647" s="22" t="n">
        <x:f>IF(O647=0,0,(M647-O647)/O647)</x:f>
        <x:v>2.8238146796218486</x:v>
      </x:c>
      <x:c r="Q647" s="20" t="n">
        <x:v>45912</x:v>
      </x:c>
    </x:row>
    <x:row r="648" ht="20" customHeight="1">
      <x:c r="A648" t="str">
        <x:v>WO00628</x:v>
      </x:c>
      <x:c r="B648" t="str">
        <x:v>LOT00628</x:v>
      </x:c>
      <x:c r="C648" t="str">
        <x:v>AUTO-BS-A</x:v>
      </x:c>
      <x:c r="D648" t="n">
        <x:v>6456</x:v>
      </x:c>
      <x:c r="E648" t="n">
        <x:v>2194565.51</x:v>
      </x:c>
      <x:c r="F648" t="n">
        <x:v>35.19</x:v>
      </x:c>
      <x:c r="G648" t="n">
        <x:v>0</x:v>
      </x:c>
      <x:c r="H648" t="n">
        <x:v>6.1</x:v>
      </x:c>
      <x:c r="I648" t="n">
        <x:v>1.24</x:v>
      </x:c>
      <x:c r="J648" t="n">
        <x:v>25801.5</x:v>
      </x:c>
      <x:c r="K648" t="n">
        <x:v>187931.72</x:v>
      </x:c>
      <x:c r="L648" t="n">
        <x:v>14720.2</x:v>
      </x:c>
      <x:c r="M648" t="n">
        <x:f>SUM(E648,J648:L648)</x:f>
        <x:v>2423018.9299999997</x:v>
      </x:c>
      <x:c r="N648" t="n">
        <x:v>550</x:v>
      </x:c>
      <x:c r="O648" t="n">
        <x:f>D648*N648</x:f>
        <x:v>3550800</x:v>
      </x:c>
      <x:c r="P648" s="22" t="n">
        <x:f>IF(O648=0,0,(M648-O648)/O648)</x:f>
        <x:v>-0.3176132336374902</x:v>
      </x:c>
      <x:c r="Q648" s="20" t="n">
        <x:v>45887</x:v>
      </x:c>
    </x:row>
    <x:row r="649" ht="20" customHeight="1">
      <x:c r="A649" t="str">
        <x:v>WO00649</x:v>
      </x:c>
      <x:c r="B649" t="str">
        <x:v>LOT00649</x:v>
      </x:c>
      <x:c r="C649" t="str">
        <x:v>PM-SUS-A</x:v>
      </x:c>
      <x:c r="D649" t="n">
        <x:v>788</x:v>
      </x:c>
      <x:c r="E649" t="n">
        <x:v>3466124.13</x:v>
      </x:c>
      <x:c r="F649" t="n">
        <x:v>7.47</x:v>
      </x:c>
      <x:c r="G649" t="n">
        <x:v>0</x:v>
      </x:c>
      <x:c r="H649" t="n">
        <x:v>1.64</x:v>
      </x:c>
      <x:c r="I649" t="n">
        <x:v>1.7</x:v>
      </x:c>
      <x:c r="J649" t="n">
        <x:v>5642.7</x:v>
      </x:c>
      <x:c r="K649" t="n">
        <x:v>365622.44</x:v>
      </x:c>
      <x:c r="L649" t="n">
        <x:v>3611</x:v>
      </x:c>
      <x:c r="M649" t="n">
        <x:f>SUM(E649,J649:L649)</x:f>
        <x:v>3841000.27</x:v>
      </x:c>
      <x:c r="N649" t="n">
        <x:v>7500</x:v>
      </x:c>
      <x:c r="O649" t="n">
        <x:f>D649*N649</x:f>
        <x:v>5910000</x:v>
      </x:c>
      <x:c r="P649" s="22" t="n">
        <x:f>IF(O649=0,0,(M649-O649)/O649)</x:f>
        <x:v>-0.3500845566835871</x:v>
      </x:c>
      <x:c r="Q649" s="20" t="n">
        <x:v>45895</x:v>
      </x:c>
    </x:row>
    <x:row r="650" ht="20" customHeight="1">
      <x:c r="A650" t="str">
        <x:v>WO00635</x:v>
      </x:c>
      <x:c r="B650" t="str">
        <x:v>LOT00635</x:v>
      </x:c>
      <x:c r="C650" t="str">
        <x:v>MECH-CON-B</x:v>
      </x:c>
      <x:c r="D650" t="n">
        <x:v>20</x:v>
      </x:c>
      <x:c r="E650" t="n">
        <x:v>1622582.37</x:v>
      </x:c>
      <x:c r="F650" t="n">
        <x:v>1740.46</x:v>
      </x:c>
      <x:c r="G650" t="n">
        <x:v>4691.16</x:v>
      </x:c>
      <x:c r="H650" t="n">
        <x:v>3556.86</x:v>
      </x:c>
      <x:c r="I650" t="n">
        <x:v>3.26</x:v>
      </x:c>
      <x:c r="J650" t="n">
        <x:v>5277995</x:v>
      </x:c>
      <x:c r="K650" t="n">
        <x:v>148236.47</x:v>
      </x:c>
      <x:c r="L650" t="n">
        <x:v>2169682.4</x:v>
      </x:c>
      <x:c r="M650" t="n">
        <x:f>SUM(E650,J650:L650)</x:f>
        <x:v>9218496.239999998</x:v>
      </x:c>
      <x:c r="N650" t="n">
        <x:v>119000</x:v>
      </x:c>
      <x:c r="O650" t="n">
        <x:f>D650*N650</x:f>
        <x:v>2380000</x:v>
      </x:c>
      <x:c r="P650" s="22" t="n">
        <x:f>IF(O650=0,0,(M650-O650)/O650)</x:f>
        <x:v>2.873317747899159</x:v>
      </x:c>
      <x:c r="Q650" s="20" t="n">
        <x:v>45911</x:v>
      </x:c>
    </x:row>
    <x:row r="651" ht="20" customHeight="1">
      <x:c r="A651" t="str">
        <x:v>WO00665</x:v>
      </x:c>
      <x:c r="B651" t="str">
        <x:v>LOT00665</x:v>
      </x:c>
      <x:c r="C651" t="str">
        <x:v>AUTO-KN-B</x:v>
      </x:c>
      <x:c r="D651" t="n">
        <x:v>4970</x:v>
      </x:c>
      <x:c r="E651" t="n">
        <x:v>8726916.99</x:v>
      </x:c>
      <x:c r="F651" t="n">
        <x:v>26.95</x:v>
      </x:c>
      <x:c r="G651" t="n">
        <x:v>0</x:v>
      </x:c>
      <x:c r="H651" t="n">
        <x:v>4.23</x:v>
      </x:c>
      <x:c r="I651" t="n">
        <x:v>1.1</x:v>
      </x:c>
      <x:c r="J651" t="n">
        <x:v>19547.9</x:v>
      </x:c>
      <x:c r="K651" t="n">
        <x:v>720896.24</x:v>
      </x:c>
      <x:c r="L651" t="n">
        <x:v>11247.8</x:v>
      </x:c>
      <x:c r="M651" t="n">
        <x:f>SUM(E651,J651:L651)</x:f>
        <x:v>9478608.93</x:v>
      </x:c>
      <x:c r="N651" t="n">
        <x:v>2590</x:v>
      </x:c>
      <x:c r="O651" t="n">
        <x:f>D651*N651</x:f>
        <x:v>12872300</x:v>
      </x:c>
      <x:c r="P651" s="22" t="n">
        <x:f>IF(O651=0,0,(M651-O651)/O651)</x:f>
        <x:v>-0.2636429441513949</x:v>
      </x:c>
      <x:c r="Q651" s="20" t="n">
        <x:v>45909</x:v>
      </x:c>
    </x:row>
    <x:row r="652" ht="20" customHeight="1">
      <x:c r="A652" t="str">
        <x:v>WO00666</x:v>
      </x:c>
      <x:c r="B652" t="str">
        <x:v>LOT00666</x:v>
      </x:c>
      <x:c r="C652" t="str">
        <x:v>AUTO-KN-B</x:v>
      </x:c>
      <x:c r="D652" t="n">
        <x:v>4936</x:v>
      </x:c>
      <x:c r="E652" t="n">
        <x:v>8428835.52</x:v>
      </x:c>
      <x:c r="F652" t="n">
        <x:v>28.33</x:v>
      </x:c>
      <x:c r="G652" t="n">
        <x:v>0</x:v>
      </x:c>
      <x:c r="H652" t="n">
        <x:v>3.73</x:v>
      </x:c>
      <x:c r="I652" t="n">
        <x:v>1.29</x:v>
      </x:c>
      <x:c r="J652" t="n">
        <x:v>20204.9</x:v>
      </x:c>
      <x:c r="K652" t="n">
        <x:v>706473.29</x:v>
      </x:c>
      <x:c r="L652" t="n">
        <x:v>11749.2</x:v>
      </x:c>
      <x:c r="M652" t="n">
        <x:f>SUM(E652,J652:L652)</x:f>
        <x:v>9167262.91</x:v>
      </x:c>
      <x:c r="N652" t="n">
        <x:v>2590</x:v>
      </x:c>
      <x:c r="O652" t="n">
        <x:f>D652*N652</x:f>
        <x:v>12784240</x:v>
      </x:c>
      <x:c r="P652" s="22" t="n">
        <x:f>IF(O652=0,0,(M652-O652)/O652)</x:f>
        <x:v>-0.28292468617610433</x:v>
      </x:c>
      <x:c r="Q652" s="20" t="n">
        <x:v>45904</x:v>
      </x:c>
    </x:row>
    <x:row r="653" ht="20" customHeight="1">
      <x:c r="A653" t="str">
        <x:v>WO00662</x:v>
      </x:c>
      <x:c r="B653" t="str">
        <x:v>LOT00662</x:v>
      </x:c>
      <x:c r="C653" t="str">
        <x:v>MECH-STG-A</x:v>
      </x:c>
      <x:c r="D653" t="n">
        <x:v>15</x:v>
      </x:c>
      <x:c r="E653" t="n">
        <x:v>1072033.07</x:v>
      </x:c>
      <x:c r="F653" t="n">
        <x:v>1249.15</x:v>
      </x:c>
      <x:c r="G653" t="n">
        <x:v>3643.74</x:v>
      </x:c>
      <x:c r="H653" t="n">
        <x:v>2511.37</x:v>
      </x:c>
      <x:c r="I653" t="n">
        <x:v>3.25</x:v>
      </x:c>
      <x:c r="J653" t="n">
        <x:v>3912149.9</x:v>
      </x:c>
      <x:c r="K653" t="n">
        <x:v>93762.3</x:v>
      </x:c>
      <x:c r="L653" t="n">
        <x:v>1606219.2</x:v>
      </x:c>
      <x:c r="M653" t="n">
        <x:f>SUM(E653,J653:L653)</x:f>
        <x:v>6684164.47</x:v>
      </x:c>
      <x:c r="N653" t="n">
        <x:v>104000</x:v>
      </x:c>
      <x:c r="O653" t="n">
        <x:f>D653*N653</x:f>
        <x:v>1560000</x:v>
      </x:c>
      <x:c r="P653" s="22" t="n">
        <x:f>IF(O653=0,0,(M653-O653)/O653)</x:f>
        <x:v>3.284720814102564</x:v>
      </x:c>
      <x:c r="Q653" s="20" t="n">
        <x:v>45916</x:v>
      </x:c>
    </x:row>
    <x:row r="654" ht="20" customHeight="1">
      <x:c r="A654" t="str">
        <x:v>WO00661</x:v>
      </x:c>
      <x:c r="B654" t="str">
        <x:v>LOT00661</x:v>
      </x:c>
      <x:c r="C654" t="str">
        <x:v>MECH-STG-A</x:v>
      </x:c>
      <x:c r="D654" t="n">
        <x:v>15</x:v>
      </x:c>
      <x:c r="E654" t="n">
        <x:v>996377.24</x:v>
      </x:c>
      <x:c r="F654" t="n">
        <x:v>1035.61</x:v>
      </x:c>
      <x:c r="G654" t="n">
        <x:v>3951.96</x:v>
      </x:c>
      <x:c r="H654" t="n">
        <x:v>2516.06</x:v>
      </x:c>
      <x:c r="I654" t="n">
        <x:v>2.53</x:v>
      </x:c>
      <x:c r="J654" t="n">
        <x:v>3935874.5</x:v>
      </x:c>
      <x:c r="K654" t="n">
        <x:v>86681.45</x:v>
      </x:c>
      <x:c r="L654" t="n">
        <x:v>1587252.4</x:v>
      </x:c>
      <x:c r="M654" t="n">
        <x:f>SUM(E654,J654:L654)</x:f>
        <x:v>6606185.59</x:v>
      </x:c>
      <x:c r="N654" t="n">
        <x:v>104000</x:v>
      </x:c>
      <x:c r="O654" t="n">
        <x:f>D654*N654</x:f>
        <x:v>1560000</x:v>
      </x:c>
      <x:c r="P654" s="22" t="n">
        <x:f>IF(O654=0,0,(M654-O654)/O654)</x:f>
        <x:v>3.2347343525641024</x:v>
      </x:c>
      <x:c r="Q654" s="20" t="n">
        <x:v>45920</x:v>
      </x:c>
    </x:row>
    <x:row r="655" ht="20" customHeight="1">
      <x:c r="A655" t="str">
        <x:v>WO00660</x:v>
      </x:c>
      <x:c r="B655" t="str">
        <x:v>LOT00660</x:v>
      </x:c>
      <x:c r="C655" t="str">
        <x:v>AUTO-MH-B</x:v>
      </x:c>
      <x:c r="D655" t="n">
        <x:v>4914</x:v>
      </x:c>
      <x:c r="E655" t="n">
        <x:v>8190757.38</x:v>
      </x:c>
      <x:c r="F655" t="n">
        <x:v>26.85</x:v>
      </x:c>
      <x:c r="G655" t="n">
        <x:v>0</x:v>
      </x:c>
      <x:c r="H655" t="n">
        <x:v>3.6</x:v>
      </x:c>
      <x:c r="I655" t="n">
        <x:v>1.27</x:v>
      </x:c>
      <x:c r="J655" t="n">
        <x:v>19180.5</x:v>
      </x:c>
      <x:c r="K655" t="n">
        <x:v>463110.57</x:v>
      </x:c>
      <x:c r="L655" t="n">
        <x:v>11160</x:v>
      </x:c>
      <x:c r="M655" t="n">
        <x:f>SUM(E655,J655:L655)</x:f>
        <x:v>8684208.45</x:v>
      </x:c>
      <x:c r="N655" t="n">
        <x:v>2320</x:v>
      </x:c>
      <x:c r="O655" t="n">
        <x:f>D655*N655</x:f>
        <x:v>11400480</x:v>
      </x:c>
      <x:c r="P655" s="22" t="n">
        <x:f>IF(O655=0,0,(M655-O655)/O655)</x:f>
        <x:v>-0.23825940223569542</x:v>
      </x:c>
      <x:c r="Q655" s="20" t="n">
        <x:v>45906</x:v>
      </x:c>
    </x:row>
    <x:row r="656" ht="20" customHeight="1">
      <x:c r="A656" t="str">
        <x:v>WO00653</x:v>
      </x:c>
      <x:c r="B656" t="str">
        <x:v>LOT00653</x:v>
      </x:c>
      <x:c r="C656" t="str">
        <x:v>AUTO-BRK-B</x:v>
      </x:c>
      <x:c r="D656" t="n">
        <x:v>4962</x:v>
      </x:c>
      <x:c r="E656" t="n">
        <x:v>5833472.06</x:v>
      </x:c>
      <x:c r="F656" t="n">
        <x:v>24.08</x:v>
      </x:c>
      <x:c r="G656" t="n">
        <x:v>0</x:v>
      </x:c>
      <x:c r="H656" t="n">
        <x:v>4.07</x:v>
      </x:c>
      <x:c r="I656" t="n">
        <x:v>1.39</x:v>
      </x:c>
      <x:c r="J656" t="n">
        <x:v>17605.6</x:v>
      </x:c>
      <x:c r="K656" t="n">
        <x:v>413078.4</x:v>
      </x:c>
      <x:c r="L656" t="n">
        <x:v>10218.6</x:v>
      </x:c>
      <x:c r="M656" t="n">
        <x:f>SUM(E656,J656:L656)</x:f>
        <x:v>6274374.659999999</x:v>
      </x:c>
      <x:c r="N656" t="n">
        <x:v>1660</x:v>
      </x:c>
      <x:c r="O656" t="n">
        <x:f>D656*N656</x:f>
        <x:v>8236920</x:v>
      </x:c>
      <x:c r="P656" s="22" t="n">
        <x:f>IF(O656=0,0,(M656-O656)/O656)</x:f>
        <x:v>-0.23826203726635695</x:v>
      </x:c>
      <x:c r="Q656" s="20" t="n">
        <x:v>45897</x:v>
      </x:c>
    </x:row>
    <x:row r="657" ht="20" customHeight="1">
      <x:c r="A657" t="str">
        <x:v>WO00654</x:v>
      </x:c>
      <x:c r="B657" t="str">
        <x:v>LOT00654</x:v>
      </x:c>
      <x:c r="C657" t="str">
        <x:v>AUTO-BRK-B</x:v>
      </x:c>
      <x:c r="D657" t="n">
        <x:v>4912</x:v>
      </x:c>
      <x:c r="E657" t="n">
        <x:v>5863454.45</x:v>
      </x:c>
      <x:c r="F657" t="n">
        <x:v>26.37</x:v>
      </x:c>
      <x:c r="G657" t="n">
        <x:v>0</x:v>
      </x:c>
      <x:c r="H657" t="n">
        <x:v>4.5</x:v>
      </x:c>
      <x:c r="I657" t="n">
        <x:v>1.33</x:v>
      </x:c>
      <x:c r="J657" t="n">
        <x:v>19300.5</x:v>
      </x:c>
      <x:c r="K657" t="n">
        <x:v>494647.89</x:v>
      </x:c>
      <x:c r="L657" t="n">
        <x:v>11139.6</x:v>
      </x:c>
      <x:c r="M657" t="n">
        <x:f>SUM(E657,J657:L657)</x:f>
        <x:v>6388542.44</x:v>
      </x:c>
      <x:c r="N657" t="n">
        <x:v>1660</x:v>
      </x:c>
      <x:c r="O657" t="n">
        <x:f>D657*N657</x:f>
        <x:v>8153920</x:v>
      </x:c>
      <x:c r="P657" s="22" t="n">
        <x:f>IF(O657=0,0,(M657-O657)/O657)</x:f>
        <x:v>-0.21650660786468343</x:v>
      </x:c>
      <x:c r="Q657" s="20" t="n">
        <x:v>45905</x:v>
      </x:c>
    </x:row>
    <x:row r="658" ht="20" customHeight="1">
      <x:c r="A658" t="str">
        <x:v>WO00657</x:v>
      </x:c>
      <x:c r="B658" t="str">
        <x:v>LOT00657</x:v>
      </x:c>
      <x:c r="C658" t="str">
        <x:v>AUTO-BRK-A</x:v>
      </x:c>
      <x:c r="D658" t="n">
        <x:v>7000</x:v>
      </x:c>
      <x:c r="E658" t="n">
        <x:v>6611697.15</x:v>
      </x:c>
      <x:c r="F658" t="n">
        <x:v>39.35</x:v>
      </x:c>
      <x:c r="G658" t="n">
        <x:v>0</x:v>
      </x:c>
      <x:c r="H658" t="n">
        <x:v>6.16</x:v>
      </x:c>
      <x:c r="I658" t="n">
        <x:v>1.1</x:v>
      </x:c>
      <x:c r="J658" t="n">
        <x:v>28534.3</x:v>
      </x:c>
      <x:c r="K658" t="n">
        <x:v>581608.95</x:v>
      </x:c>
      <x:c r="L658" t="n">
        <x:v>16268.6</x:v>
      </x:c>
      <x:c r="M658" t="n">
        <x:f>SUM(E658,J658:L658)</x:f>
        <x:v>7238109</x:v>
      </x:c>
      <x:c r="N658" t="n">
        <x:v>1380</x:v>
      </x:c>
      <x:c r="O658" t="n">
        <x:f>D658*N658</x:f>
        <x:v>9660000</x:v>
      </x:c>
      <x:c r="P658" s="22" t="n">
        <x:f>IF(O658=0,0,(M658-O658)/O658)</x:f>
        <x:v>-0.2507133540372671</x:v>
      </x:c>
      <x:c r="Q658" s="20" t="n">
        <x:v>45903</x:v>
      </x:c>
    </x:row>
    <x:row r="659" ht="20" customHeight="1">
      <x:c r="A659" t="str">
        <x:v>WO00650</x:v>
      </x:c>
      <x:c r="B659" t="str">
        <x:v>LOT00650</x:v>
      </x:c>
      <x:c r="C659" t="str">
        <x:v>MECH-CON-A</x:v>
      </x:c>
      <x:c r="D659" t="n">
        <x:v>10</x:v>
      </x:c>
      <x:c r="E659" t="n">
        <x:v>542213.35</x:v>
      </x:c>
      <x:c r="F659" t="n">
        <x:v>710.89</x:v>
      </x:c>
      <x:c r="G659" t="n">
        <x:v>2168.07</x:v>
      </x:c>
      <x:c r="H659" t="n">
        <x:v>1614.51</x:v>
      </x:c>
      <x:c r="I659" t="n">
        <x:v>3</x:v>
      </x:c>
      <x:c r="J659" t="n">
        <x:v>2364439.7</x:v>
      </x:c>
      <x:c r="K659" t="n">
        <x:v>51445.94</x:v>
      </x:c>
      <x:c r="L659" t="n">
        <x:v>962973.8</x:v>
      </x:c>
      <x:c r="M659" t="n">
        <x:f>SUM(E659,J659:L659)</x:f>
        <x:v>3921072.7900000005</x:v>
      </x:c>
      <x:c r="N659" t="n">
        <x:v>83000</x:v>
      </x:c>
      <x:c r="O659" t="n">
        <x:f>D659*N659</x:f>
        <x:v>830000</x:v>
      </x:c>
      <x:c r="P659" s="22" t="n">
        <x:f>IF(O659=0,0,(M659-O659)/O659)</x:f>
        <x:v>3.72418408433735</x:v>
      </x:c>
      <x:c r="Q659" s="20" t="n">
        <x:v>45932</x:v>
      </x:c>
    </x:row>
    <x:row r="660" ht="20" customHeight="1">
      <x:c r="A660" t="str">
        <x:v>WO00663</x:v>
      </x:c>
      <x:c r="B660" t="str">
        <x:v>LOT00663</x:v>
      </x:c>
      <x:c r="C660" t="str">
        <x:v>AUTO-LG-A</x:v>
      </x:c>
      <x:c r="D660" t="n">
        <x:v>4928</x:v>
      </x:c>
      <x:c r="E660" t="n">
        <x:v>2620774.41</x:v>
      </x:c>
      <x:c r="F660" t="n">
        <x:v>28.75</x:v>
      </x:c>
      <x:c r="G660" t="n">
        <x:v>0</x:v>
      </x:c>
      <x:c r="H660" t="n">
        <x:v>4.31</x:v>
      </x:c>
      <x:c r="I660" t="n">
        <x:v>1.12</x:v>
      </x:c>
      <x:c r="J660" t="n">
        <x:v>20756.3</x:v>
      </x:c>
      <x:c r="K660" t="n">
        <x:v>194084.13</x:v>
      </x:c>
      <x:c r="L660" t="n">
        <x:v>11950.6</x:v>
      </x:c>
      <x:c r="M660" t="n">
        <x:f>SUM(E660,J660:L660)</x:f>
        <x:v>2847565.44</x:v>
      </x:c>
      <x:c r="N660" t="n">
        <x:v>840</x:v>
      </x:c>
      <x:c r="O660" t="n">
        <x:f>D660*N660</x:f>
        <x:v>4139520</x:v>
      </x:c>
      <x:c r="P660" s="22" t="n">
        <x:f>IF(O660=0,0,(M660-O660)/O660)</x:f>
        <x:v>-0.3121025046382189</x:v>
      </x:c>
      <x:c r="Q660" s="20" t="n">
        <x:v>45909</x:v>
      </x:c>
    </x:row>
    <x:row r="661" ht="20" customHeight="1">
      <x:c r="A661" t="str">
        <x:v>WO00655</x:v>
      </x:c>
      <x:c r="B661" t="str">
        <x:v>LOT00655</x:v>
      </x:c>
      <x:c r="C661" t="str">
        <x:v>MECH-CON-A</x:v>
      </x:c>
      <x:c r="D661" t="n">
        <x:v>10</x:v>
      </x:c>
      <x:c r="E661" t="n">
        <x:v>518733.27</x:v>
      </x:c>
      <x:c r="F661" t="n">
        <x:v>776.28</x:v>
      </x:c>
      <x:c r="G661" t="n">
        <x:v>2517.58</x:v>
      </x:c>
      <x:c r="H661" t="n">
        <x:v>1961.9</x:v>
      </x:c>
      <x:c r="I661" t="n">
        <x:v>2.9</x:v>
      </x:c>
      <x:c r="J661" t="n">
        <x:v>2755435.6</x:v>
      </x:c>
      <x:c r="K661" t="n">
        <x:v>54616.52</x:v>
      </x:c>
      <x:c r="L661" t="n">
        <x:v>1113276.4</x:v>
      </x:c>
      <x:c r="M661" t="n">
        <x:f>SUM(E661,J661:L661)</x:f>
        <x:v>4442061.79</x:v>
      </x:c>
      <x:c r="N661" t="n">
        <x:v>83000</x:v>
      </x:c>
      <x:c r="O661" t="n">
        <x:f>D661*N661</x:f>
        <x:v>830000</x:v>
      </x:c>
      <x:c r="P661" s="22" t="n">
        <x:f>IF(O661=0,0,(M661-O661)/O661)</x:f>
        <x:v>4.351881674698795</x:v>
      </x:c>
      <x:c r="Q661" s="20" t="n">
        <x:v>45927</x:v>
      </x:c>
    </x:row>
    <x:row r="662" ht="20" customHeight="1">
      <x:c r="A662" t="str">
        <x:v>WO00652</x:v>
      </x:c>
      <x:c r="B662" t="str">
        <x:v>LOT00652</x:v>
      </x:c>
      <x:c r="C662" t="str">
        <x:v>PM-BRG-A</x:v>
      </x:c>
      <x:c r="D662" t="n">
        <x:v>788</x:v>
      </x:c>
      <x:c r="E662" t="n">
        <x:v>1940588.98</x:v>
      </x:c>
      <x:c r="F662" t="n">
        <x:v>6.1</x:v>
      </x:c>
      <x:c r="G662" t="n">
        <x:v>0</x:v>
      </x:c>
      <x:c r="H662" t="n">
        <x:v>1.62</x:v>
      </x:c>
      <x:c r="I662" t="n">
        <x:v>1.68</x:v>
      </x:c>
      <x:c r="J662" t="n">
        <x:v>4742.6</x:v>
      </x:c>
      <x:c r="K662" t="n">
        <x:v>159672.53</x:v>
      </x:c>
      <x:c r="L662" t="n">
        <x:v>3081.2</x:v>
      </x:c>
      <x:c r="M662" t="n">
        <x:f>SUM(E662,J662:L662)</x:f>
        <x:v>2108085.31</x:v>
      </x:c>
      <x:c r="N662" t="n">
        <x:v>4450</x:v>
      </x:c>
      <x:c r="O662" t="n">
        <x:f>D662*N662</x:f>
        <x:v>3506600</x:v>
      </x:c>
      <x:c r="P662" s="22" t="n">
        <x:f>IF(O662=0,0,(M662-O662)/O662)</x:f>
        <x:v>-0.3988235584326698</x:v>
      </x:c>
      <x:c r="Q662" s="20" t="n">
        <x:v>45908</x:v>
      </x:c>
    </x:row>
    <x:row r="663" ht="20" customHeight="1">
      <x:c r="A663" t="str">
        <x:v>WO00664</x:v>
      </x:c>
      <x:c r="B663" t="str">
        <x:v>LOT00664</x:v>
      </x:c>
      <x:c r="C663" t="str">
        <x:v>AUTO-BRK-B</x:v>
      </x:c>
      <x:c r="D663" t="n">
        <x:v>4971</x:v>
      </x:c>
      <x:c r="E663" t="n">
        <x:v>5817221.02</x:v>
      </x:c>
      <x:c r="F663" t="n">
        <x:v>27.17</x:v>
      </x:c>
      <x:c r="G663" t="n">
        <x:v>0</x:v>
      </x:c>
      <x:c r="H663" t="n">
        <x:v>4.49</x:v>
      </x:c>
      <x:c r="I663" t="n">
        <x:v>1.22</x:v>
      </x:c>
      <x:c r="J663" t="n">
        <x:v>19815.7</x:v>
      </x:c>
      <x:c r="K663" t="n">
        <x:v>497943</x:v>
      </x:c>
      <x:c r="L663" t="n">
        <x:v>11409</x:v>
      </x:c>
      <x:c r="M663" t="n">
        <x:f>SUM(E663,J663:L663)</x:f>
        <x:v>6346388.72</x:v>
      </x:c>
      <x:c r="N663" t="n">
        <x:v>1660</x:v>
      </x:c>
      <x:c r="O663" t="n">
        <x:f>D663*N663</x:f>
        <x:v>8251860</x:v>
      </x:c>
      <x:c r="P663" s="22" t="n">
        <x:f>IF(O663=0,0,(M663-O663)/O663)</x:f>
        <x:v>-0.23091415511169605</x:v>
      </x:c>
      <x:c r="Q663" s="20" t="n">
        <x:v>45910</x:v>
      </x:c>
    </x:row>
    <x:row r="664" ht="20" customHeight="1">
      <x:c r="A664" t="str">
        <x:v>WO00671</x:v>
      </x:c>
      <x:c r="B664" t="str">
        <x:v>LOT00671</x:v>
      </x:c>
      <x:c r="C664" t="str">
        <x:v>MECH-CON-A</x:v>
      </x:c>
      <x:c r="D664" t="n">
        <x:v>16</x:v>
      </x:c>
      <x:c r="E664" t="n">
        <x:v>865947.16</x:v>
      </x:c>
      <x:c r="F664" t="n">
        <x:v>1329.91</x:v>
      </x:c>
      <x:c r="G664" t="n">
        <x:v>4099.26</x:v>
      </x:c>
      <x:c r="H664" t="n">
        <x:v>2605.85</x:v>
      </x:c>
      <x:c r="I664" t="n">
        <x:v>3.3</x:v>
      </x:c>
      <x:c r="J664" t="n">
        <x:v>4246864.7</x:v>
      </x:c>
      <x:c r="K664" t="n">
        <x:v>87962.38</x:v>
      </x:c>
      <x:c r="L664" t="n">
        <x:v>1743143.8</x:v>
      </x:c>
      <x:c r="M664" t="n">
        <x:f>SUM(E664,J664:L664)</x:f>
        <x:v>6943918.04</x:v>
      </x:c>
      <x:c r="N664" t="n">
        <x:v>83000</x:v>
      </x:c>
      <x:c r="O664" t="n">
        <x:f>D664*N664</x:f>
        <x:v>1328000</x:v>
      </x:c>
      <x:c r="P664" s="22" t="n">
        <x:f>IF(O664=0,0,(M664-O664)/O664)</x:f>
        <x:v>4.228853945783133</x:v>
      </x:c>
      <x:c r="Q664" s="20" t="n">
        <x:v>45935</x:v>
      </x:c>
    </x:row>
    <x:row r="665" ht="20" customHeight="1">
      <x:c r="A665" t="str">
        <x:v>WO00669</x:v>
      </x:c>
      <x:c r="B665" t="str">
        <x:v>LOT00669</x:v>
      </x:c>
      <x:c r="C665" t="str">
        <x:v>MECH-CON-A</x:v>
      </x:c>
      <x:c r="D665" t="n">
        <x:v>17</x:v>
      </x:c>
      <x:c r="E665" t="n">
        <x:v>921663.6</x:v>
      </x:c>
      <x:c r="F665" t="n">
        <x:v>1336.8</x:v>
      </x:c>
      <x:c r="G665" t="n">
        <x:v>4590.05</x:v>
      </x:c>
      <x:c r="H665" t="n">
        <x:v>3119.5</x:v>
      </x:c>
      <x:c r="I665" t="n">
        <x:v>2.88</x:v>
      </x:c>
      <x:c r="J665" t="n">
        <x:v>4753106</x:v>
      </x:c>
      <x:c r="K665" t="n">
        <x:v>85221.91</x:v>
      </x:c>
      <x:c r="L665" t="n">
        <x:v>1925978</x:v>
      </x:c>
      <x:c r="M665" t="n">
        <x:f>SUM(E665,J665:L665)</x:f>
        <x:v>7685969.51</x:v>
      </x:c>
      <x:c r="N665" t="n">
        <x:v>83000</x:v>
      </x:c>
      <x:c r="O665" t="n">
        <x:f>D665*N665</x:f>
        <x:v>1411000</x:v>
      </x:c>
      <x:c r="P665" s="22" t="n">
        <x:f>IF(O665=0,0,(M665-O665)/O665)</x:f>
        <x:v>4.447178958185684</x:v>
      </x:c>
      <x:c r="Q665" s="20" t="n">
        <x:v>45934</x:v>
      </x:c>
    </x:row>
    <x:row r="666" ht="20" customHeight="1">
      <x:c r="A666" t="str">
        <x:v>WO00670</x:v>
      </x:c>
      <x:c r="B666" t="str">
        <x:v>LOT00670</x:v>
      </x:c>
      <x:c r="C666" t="str">
        <x:v>MECH-CON-A</x:v>
      </x:c>
      <x:c r="D666" t="n">
        <x:v>17</x:v>
      </x:c>
      <x:c r="E666" t="n">
        <x:v>939221.7</x:v>
      </x:c>
      <x:c r="F666" t="n">
        <x:v>1501.08</x:v>
      </x:c>
      <x:c r="G666" t="n">
        <x:v>4638.16</x:v>
      </x:c>
      <x:c r="H666" t="n">
        <x:v>2955.28</x:v>
      </x:c>
      <x:c r="I666" t="n">
        <x:v>2.96</x:v>
      </x:c>
      <x:c r="J666" t="n">
        <x:v>4806079.6</x:v>
      </x:c>
      <x:c r="K666" t="n">
        <x:v>84607.54</x:v>
      </x:c>
      <x:c r="L666" t="n">
        <x:v>1971775.2</x:v>
      </x:c>
      <x:c r="M666" t="n">
        <x:f>SUM(E666,J666:L666)</x:f>
        <x:v>7801684.04</x:v>
      </x:c>
      <x:c r="N666" t="n">
        <x:v>83000</x:v>
      </x:c>
      <x:c r="O666" t="n">
        <x:f>D666*N666</x:f>
        <x:v>1411000</x:v>
      </x:c>
      <x:c r="P666" s="22" t="n">
        <x:f>IF(O666=0,0,(M666-O666)/O666)</x:f>
        <x:v>4.529187838412473</x:v>
      </x:c>
      <x:c r="Q666" s="20" t="n">
        <x:v>45932</x:v>
      </x:c>
    </x:row>
    <x:row r="667" ht="20" customHeight="1">
      <x:c r="A667" t="str">
        <x:v>WO00672</x:v>
      </x:c>
      <x:c r="B667" t="str">
        <x:v>LOT00672</x:v>
      </x:c>
      <x:c r="C667" t="str">
        <x:v>AUTO-LG-B</x:v>
      </x:c>
      <x:c r="D667" t="n">
        <x:v>4892</x:v>
      </x:c>
      <x:c r="E667" t="n">
        <x:v>2949053.45</x:v>
      </x:c>
      <x:c r="F667" t="n">
        <x:v>26.28</x:v>
      </x:c>
      <x:c r="G667" t="n">
        <x:v>0</x:v>
      </x:c>
      <x:c r="H667" t="n">
        <x:v>4.2</x:v>
      </x:c>
      <x:c r="I667" t="n">
        <x:v>1.13</x:v>
      </x:c>
      <x:c r="J667" t="n">
        <x:v>19098</x:v>
      </x:c>
      <x:c r="K667" t="n">
        <x:v>234449.26</x:v>
      </x:c>
      <x:c r="L667" t="n">
        <x:v>10997.4</x:v>
      </x:c>
      <x:c r="M667" t="n">
        <x:f>SUM(E667,J667:L667)</x:f>
        <x:v>3213598.1100000003</x:v>
      </x:c>
      <x:c r="N667" t="n">
        <x:v>925</x:v>
      </x:c>
      <x:c r="O667" t="n">
        <x:f>D667*N667</x:f>
        <x:v>4525100</x:v>
      </x:c>
      <x:c r="P667" s="22" t="n">
        <x:f>IF(O667=0,0,(M667-O667)/O667)</x:f>
        <x:v>-0.28982826677863466</x:v>
      </x:c>
      <x:c r="Q667" s="20" t="n">
        <x:v>45913</x:v>
      </x:c>
    </x:row>
    <x:row r="668" ht="20" customHeight="1">
      <x:c r="A668" t="str">
        <x:v>WO00656</x:v>
      </x:c>
      <x:c r="B668" t="str">
        <x:v>LOT00656</x:v>
      </x:c>
      <x:c r="C668" t="str">
        <x:v>PM-VAC-B</x:v>
      </x:c>
      <x:c r="D668" t="n">
        <x:v>295</x:v>
      </x:c>
      <x:c r="E668" t="n">
        <x:v>2749271.3</x:v>
      </x:c>
      <x:c r="F668" t="n">
        <x:v>2.46</x:v>
      </x:c>
      <x:c r="G668" t="n">
        <x:v>0</x:v>
      </x:c>
      <x:c r="H668" t="n">
        <x:v>0.6</x:v>
      </x:c>
      <x:c r="I668" t="n">
        <x:v>1.69</x:v>
      </x:c>
      <x:c r="J668" t="n">
        <x:v>1887</x:v>
      </x:c>
      <x:c r="K668" t="n">
        <x:v>330748.86</x:v>
      </x:c>
      <x:c r="L668" t="n">
        <x:v>1537.8</x:v>
      </x:c>
      <x:c r="M668" t="n">
        <x:f>SUM(E668,J668:L668)</x:f>
        <x:v>3083444.96</x:v>
      </x:c>
      <x:c r="N668" t="n">
        <x:v>15500</x:v>
      </x:c>
      <x:c r="O668" t="n">
        <x:f>D668*N668</x:f>
        <x:v>4572500</x:v>
      </x:c>
      <x:c r="P668" s="22" t="n">
        <x:f>IF(O668=0,0,(M668-O668)/O668)</x:f>
        <x:v>-0.3256544647348278</x:v>
      </x:c>
      <x:c r="Q668" s="20" t="n">
        <x:v>45931</x:v>
      </x:c>
    </x:row>
    <x:row r="669" ht="20" customHeight="1">
      <x:c r="A669" t="str">
        <x:v>WO00651</x:v>
      </x:c>
      <x:c r="B669" t="str">
        <x:v>LOT00651</x:v>
      </x:c>
      <x:c r="C669" t="str">
        <x:v>PM-ALB-A</x:v>
      </x:c>
      <x:c r="D669" t="n">
        <x:v>487</x:v>
      </x:c>
      <x:c r="E669" t="n">
        <x:v>2508422.28</x:v>
      </x:c>
      <x:c r="F669" t="n">
        <x:v>4.5</x:v>
      </x:c>
      <x:c r="G669" t="n">
        <x:v>0</x:v>
      </x:c>
      <x:c r="H669" t="n">
        <x:v>0.94</x:v>
      </x:c>
      <x:c r="I669" t="n">
        <x:v>1.38</x:v>
      </x:c>
      <x:c r="J669" t="n">
        <x:v>3376.2</x:v>
      </x:c>
      <x:c r="K669" t="n">
        <x:v>149128.16</x:v>
      </x:c>
      <x:c r="L669" t="n">
        <x:v>2274.4</x:v>
      </x:c>
      <x:c r="M669" t="n">
        <x:f>SUM(E669,J669:L669)</x:f>
        <x:v>2663201.04</x:v>
      </x:c>
      <x:c r="N669" t="n">
        <x:v>8100</x:v>
      </x:c>
      <x:c r="O669" t="n">
        <x:f>D669*N669</x:f>
        <x:v>3944700</x:v>
      </x:c>
      <x:c r="P669" s="22" t="n">
        <x:f>IF(O669=0,0,(M669-O669)/O669)</x:f>
        <x:v>-0.3248660126245342</x:v>
      </x:c>
      <x:c r="Q669" s="20" t="n">
        <x:v>45932</x:v>
      </x:c>
    </x:row>
    <x:row r="670" ht="20" customHeight="1">
      <x:c r="A670" t="str">
        <x:v>WO00667</x:v>
      </x:c>
      <x:c r="B670" t="str">
        <x:v>LOT00667</x:v>
      </x:c>
      <x:c r="C670" t="str">
        <x:v>MECH-CON-B</x:v>
      </x:c>
      <x:c r="D670" t="n">
        <x:v>20</x:v>
      </x:c>
      <x:c r="E670" t="n">
        <x:v>1520937.26</x:v>
      </x:c>
      <x:c r="F670" t="n">
        <x:v>1733.96</x:v>
      </x:c>
      <x:c r="G670" t="n">
        <x:v>5573.87</x:v>
      </x:c>
      <x:c r="H670" t="n">
        <x:v>3712.99</x:v>
      </x:c>
      <x:c r="I670" t="n">
        <x:v>3.33</x:v>
      </x:c>
      <x:c r="J670" t="n">
        <x:v>5807721.6</x:v>
      </x:c>
      <x:c r="K670" t="n">
        <x:v>144707.48</x:v>
      </x:c>
      <x:c r="L670" t="n">
        <x:v>2368756.2</x:v>
      </x:c>
      <x:c r="M670" t="n">
        <x:f>SUM(E670,J670:L670)</x:f>
        <x:v>9842122.540000001</x:v>
      </x:c>
      <x:c r="N670" t="n">
        <x:v>119000</x:v>
      </x:c>
      <x:c r="O670" t="n">
        <x:f>D670*N670</x:f>
        <x:v>2380000</x:v>
      </x:c>
      <x:c r="P670" s="22" t="n">
        <x:f>IF(O670=0,0,(M670-O670)/O670)</x:f>
        <x:v>3.1353456050420174</x:v>
      </x:c>
      <x:c r="Q670" s="20" t="n">
        <x:v>45955</x:v>
      </x:c>
    </x:row>
    <x:row r="671" ht="20" customHeight="1">
      <x:c r="A671" t="str">
        <x:v>WO00668</x:v>
      </x:c>
      <x:c r="B671" t="str">
        <x:v>LOT00668</x:v>
      </x:c>
      <x:c r="C671" t="str">
        <x:v>MECH-CON-B</x:v>
      </x:c>
      <x:c r="D671" t="n">
        <x:v>20</x:v>
      </x:c>
      <x:c r="E671" t="n">
        <x:v>1549807.59</x:v>
      </x:c>
      <x:c r="F671" t="n">
        <x:v>1506.87</x:v>
      </x:c>
      <x:c r="G671" t="n">
        <x:v>4858.77</x:v>
      </x:c>
      <x:c r="H671" t="n">
        <x:v>3269.41</x:v>
      </x:c>
      <x:c r="I671" t="n">
        <x:v>2.7</x:v>
      </x:c>
      <x:c r="J671" t="n">
        <x:v>5075342.7</x:v>
      </x:c>
      <x:c r="K671" t="n">
        <x:v>151824.51</x:v>
      </x:c>
      <x:c r="L671" t="n">
        <x:v>2068280.2</x:v>
      </x:c>
      <x:c r="M671" t="n">
        <x:f>SUM(E671,J671:L671)</x:f>
        <x:v>8845255</x:v>
      </x:c>
      <x:c r="N671" t="n">
        <x:v>119000</x:v>
      </x:c>
      <x:c r="O671" t="n">
        <x:f>D671*N671</x:f>
        <x:v>2380000</x:v>
      </x:c>
      <x:c r="P671" s="22" t="n">
        <x:f>IF(O671=0,0,(M671-O671)/O671)</x:f>
        <x:v>2.7164936974789917</x:v>
      </x:c>
      <x:c r="Q671" s="20" t="n">
        <x:v>45951</x:v>
      </x:c>
    </x:row>
    <x:row r="672" ht="20" customHeight="1">
      <x:c r="A672" t="str">
        <x:v>WO00685</x:v>
      </x:c>
      <x:c r="B672" t="str">
        <x:v>LOT00685</x:v>
      </x:c>
      <x:c r="C672" t="str">
        <x:v>MECH-CON-A</x:v>
      </x:c>
      <x:c r="D672" t="n">
        <x:v>10</x:v>
      </x:c>
      <x:c r="E672" t="n">
        <x:v>518610.08</x:v>
      </x:c>
      <x:c r="F672" t="n">
        <x:v>870.85</x:v>
      </x:c>
      <x:c r="G672" t="n">
        <x:v>2474.83</x:v>
      </x:c>
      <x:c r="H672" t="n">
        <x:v>1825.39</x:v>
      </x:c>
      <x:c r="I672" t="n">
        <x:v>3.12</x:v>
      </x:c>
      <x:c r="J672" t="n">
        <x:v>2729151.3</x:v>
      </x:c>
      <x:c r="K672" t="n">
        <x:v>55046.85</x:v>
      </x:c>
      <x:c r="L672" t="n">
        <x:v>1118887.4</x:v>
      </x:c>
      <x:c r="M672" t="n">
        <x:f>SUM(E672,J672:L672)</x:f>
        <x:v>4421695.63</x:v>
      </x:c>
      <x:c r="N672" t="n">
        <x:v>83000</x:v>
      </x:c>
      <x:c r="O672" t="n">
        <x:f>D672*N672</x:f>
        <x:v>830000</x:v>
      </x:c>
      <x:c r="P672" s="22" t="n">
        <x:f>IF(O672=0,0,(M672-O672)/O672)</x:f>
        <x:v>4.32734413253012</x:v>
      </x:c>
      <x:c r="Q672" s="20" t="n">
        <x:v>45937</x:v>
      </x:c>
    </x:row>
    <x:row r="673" ht="20" customHeight="1">
      <x:c r="A673" t="str">
        <x:v>WO00659</x:v>
      </x:c>
      <x:c r="B673" t="str">
        <x:v>LOT00659</x:v>
      </x:c>
      <x:c r="C673" t="str">
        <x:v>AUTO-BS-B</x:v>
      </x:c>
      <x:c r="D673" t="n">
        <x:v>6401</x:v>
      </x:c>
      <x:c r="E673" t="n">
        <x:v>2440061.74</x:v>
      </x:c>
      <x:c r="F673" t="n">
        <x:v>35.92</x:v>
      </x:c>
      <x:c r="G673" t="n">
        <x:v>0</x:v>
      </x:c>
      <x:c r="H673" t="n">
        <x:v>5.07</x:v>
      </x:c>
      <x:c r="I673" t="n">
        <x:v>1.29</x:v>
      </x:c>
      <x:c r="J673" t="n">
        <x:v>25781.6</x:v>
      </x:c>
      <x:c r="K673" t="n">
        <x:v>236461.96</x:v>
      </x:c>
      <x:c r="L673" t="n">
        <x:v>14847.8</x:v>
      </x:c>
      <x:c r="M673" t="n">
        <x:f>SUM(E673,J673:L673)</x:f>
        <x:v>2717153.1</x:v>
      </x:c>
      <x:c r="N673" t="n">
        <x:v>650</x:v>
      </x:c>
      <x:c r="O673" t="n">
        <x:f>D673*N673</x:f>
        <x:v>4160650</x:v>
      </x:c>
      <x:c r="P673" s="22" t="n">
        <x:f>IF(O673=0,0,(M673-O673)/O673)</x:f>
        <x:v>-0.34694023770324345</x:v>
      </x:c>
      <x:c r="Q673" s="20" t="n">
        <x:v>45929</x:v>
      </x:c>
    </x:row>
    <x:row r="674" ht="20" customHeight="1">
      <x:c r="A674" t="str">
        <x:v>WO00682</x:v>
      </x:c>
      <x:c r="B674" t="str">
        <x:v>LOT00682</x:v>
      </x:c>
      <x:c r="C674" t="str">
        <x:v>MECH-STG-A</x:v>
      </x:c>
      <x:c r="D674" t="n">
        <x:v>15</x:v>
      </x:c>
      <x:c r="E674" t="n">
        <x:v>996688.59</x:v>
      </x:c>
      <x:c r="F674" t="n">
        <x:v>1169.93</x:v>
      </x:c>
      <x:c r="G674" t="n">
        <x:v>4015.59</x:v>
      </x:c>
      <x:c r="H674" t="n">
        <x:v>2841.78</x:v>
      </x:c>
      <x:c r="I674" t="n">
        <x:v>2.98</x:v>
      </x:c>
      <x:c r="J674" t="n">
        <x:v>4212615.7</x:v>
      </x:c>
      <x:c r="K674" t="n">
        <x:v>85800.91</x:v>
      </x:c>
      <x:c r="L674" t="n">
        <x:v>1703270.2</x:v>
      </x:c>
      <x:c r="M674" t="n">
        <x:f>SUM(E674,J674:L674)</x:f>
        <x:v>6998375.4</x:v>
      </x:c>
      <x:c r="N674" t="n">
        <x:v>104000</x:v>
      </x:c>
      <x:c r="O674" t="n">
        <x:f>D674*N674</x:f>
        <x:v>1560000</x:v>
      </x:c>
      <x:c r="P674" s="22" t="n">
        <x:f>IF(O674=0,0,(M674-O674)/O674)</x:f>
        <x:v>3.486138076923077</x:v>
      </x:c>
      <x:c r="Q674" s="20" t="n">
        <x:v>45949</x:v>
      </x:c>
    </x:row>
    <x:row r="675" ht="20" customHeight="1">
      <x:c r="A675" t="str">
        <x:v>WO00658</x:v>
      </x:c>
      <x:c r="B675" t="str">
        <x:v>LOT00658</x:v>
      </x:c>
      <x:c r="C675" t="str">
        <x:v>AUTO-BS-B</x:v>
      </x:c>
      <x:c r="D675" t="n">
        <x:v>6433</x:v>
      </x:c>
      <x:c r="E675" t="n">
        <x:v>2472928.86</x:v>
      </x:c>
      <x:c r="F675" t="n">
        <x:v>29.87</x:v>
      </x:c>
      <x:c r="G675" t="n">
        <x:v>0</x:v>
      </x:c>
      <x:c r="H675" t="n">
        <x:v>5.53</x:v>
      </x:c>
      <x:c r="I675" t="n">
        <x:v>1.27</x:v>
      </x:c>
      <x:c r="J675" t="n">
        <x:v>22069.9</x:v>
      </x:c>
      <x:c r="K675" t="n">
        <x:v>238202.15</x:v>
      </x:c>
      <x:c r="L675" t="n">
        <x:v>12616.4</x:v>
      </x:c>
      <x:c r="M675" t="n">
        <x:f>SUM(E675,J675:L675)</x:f>
        <x:v>2745817.31</x:v>
      </x:c>
      <x:c r="N675" t="n">
        <x:v>650</x:v>
      </x:c>
      <x:c r="O675" t="n">
        <x:f>D675*N675</x:f>
        <x:v>4181450</x:v>
      </x:c>
      <x:c r="P675" s="22" t="n">
        <x:f>IF(O675=0,0,(M675-O675)/O675)</x:f>
        <x:v>-0.34333369764077054</x:v>
      </x:c>
      <x:c r="Q675" s="20" t="n">
        <x:v>45930</x:v>
      </x:c>
    </x:row>
    <x:row r="676" ht="20" customHeight="1">
      <x:c r="A676" t="str">
        <x:v>WO00681</x:v>
      </x:c>
      <x:c r="B676" t="str">
        <x:v>LOT00681</x:v>
      </x:c>
      <x:c r="C676" t="str">
        <x:v>MECH-STG-A</x:v>
      </x:c>
      <x:c r="D676" t="n">
        <x:v>15</x:v>
      </x:c>
      <x:c r="E676" t="n">
        <x:v>993385.41</x:v>
      </x:c>
      <x:c r="F676" t="n">
        <x:v>1310.61</x:v>
      </x:c>
      <x:c r="G676" t="n">
        <x:v>3816.26</x:v>
      </x:c>
      <x:c r="H676" t="n">
        <x:v>2731.62</x:v>
      </x:c>
      <x:c r="I676" t="n">
        <x:v>3.46</x:v>
      </x:c>
      <x:c r="J676" t="n">
        <x:v>4147529.3</x:v>
      </x:c>
      <x:c r="K676" t="n">
        <x:v>95057.81</x:v>
      </x:c>
      <x:c r="L676" t="n">
        <x:v>1699381</x:v>
      </x:c>
      <x:c r="M676" t="n">
        <x:f>SUM(E676,J676:L676)</x:f>
        <x:v>6935353.52</x:v>
      </x:c>
      <x:c r="N676" t="n">
        <x:v>104000</x:v>
      </x:c>
      <x:c r="O676" t="n">
        <x:f>D676*N676</x:f>
        <x:v>1560000</x:v>
      </x:c>
      <x:c r="P676" s="22" t="n">
        <x:f>IF(O676=0,0,(M676-O676)/O676)</x:f>
        <x:v>3.4457394358974356</x:v>
      </x:c>
      <x:c r="Q676" s="20" t="n">
        <x:v>45945</x:v>
      </x:c>
    </x:row>
    <x:row r="677" ht="20" customHeight="1">
      <x:c r="A677" t="str">
        <x:v>WO00675</x:v>
      </x:c>
      <x:c r="B677" t="str">
        <x:v>LOT00675</x:v>
      </x:c>
      <x:c r="C677" t="str">
        <x:v>PM-BRG-A</x:v>
      </x:c>
      <x:c r="D677" t="n">
        <x:v>793</x:v>
      </x:c>
      <x:c r="E677" t="n">
        <x:v>2081963.07</x:v>
      </x:c>
      <x:c r="F677" t="n">
        <x:v>7.13</x:v>
      </x:c>
      <x:c r="G677" t="n">
        <x:v>0</x:v>
      </x:c>
      <x:c r="H677" t="n">
        <x:v>1.29</x:v>
      </x:c>
      <x:c r="I677" t="n">
        <x:v>1.71</x:v>
      </x:c>
      <x:c r="J677" t="n">
        <x:v>5253.7</x:v>
      </x:c>
      <x:c r="K677" t="n">
        <x:v>165460.76</x:v>
      </x:c>
      <x:c r="L677" t="n">
        <x:v>3428.8</x:v>
      </x:c>
      <x:c r="M677" t="n">
        <x:f>SUM(E677,J677:L677)</x:f>
        <x:v>2256106.33</x:v>
      </x:c>
      <x:c r="N677" t="n">
        <x:v>4450</x:v>
      </x:c>
      <x:c r="O677" t="n">
        <x:f>D677*N677</x:f>
        <x:v>3528850</x:v>
      </x:c>
      <x:c r="P677" s="22" t="n">
        <x:f>IF(O677=0,0,(M677-O677)/O677)</x:f>
        <x:v>-0.3606681128412939</x:v>
      </x:c>
      <x:c r="Q677" s="20" t="n">
        <x:v>45938</x:v>
      </x:c>
    </x:row>
    <x:row r="678" ht="20" customHeight="1">
      <x:c r="A678" t="str">
        <x:v>WO00676</x:v>
      </x:c>
      <x:c r="B678" t="str">
        <x:v>LOT00676</x:v>
      </x:c>
      <x:c r="C678" t="str">
        <x:v>PM-BRG-A</x:v>
      </x:c>
      <x:c r="D678" t="n">
        <x:v>785</x:v>
      </x:c>
      <x:c r="E678" t="n">
        <x:v>2035001.11</x:v>
      </x:c>
      <x:c r="F678" t="n">
        <x:v>7.17</x:v>
      </x:c>
      <x:c r="G678" t="n">
        <x:v>0</x:v>
      </x:c>
      <x:c r="H678" t="n">
        <x:v>1.46</x:v>
      </x:c>
      <x:c r="I678" t="n">
        <x:v>1.67</x:v>
      </x:c>
      <x:c r="J678" t="n">
        <x:v>5361.3</x:v>
      </x:c>
      <x:c r="K678" t="n">
        <x:v>171702.13</x:v>
      </x:c>
      <x:c r="L678" t="n">
        <x:v>3459.2</x:v>
      </x:c>
      <x:c r="M678" t="n">
        <x:f>SUM(E678,J678:L678)</x:f>
        <x:v>2215523.74</x:v>
      </x:c>
      <x:c r="N678" t="n">
        <x:v>4450</x:v>
      </x:c>
      <x:c r="O678" t="n">
        <x:f>D678*N678</x:f>
        <x:v>3493250</x:v>
      </x:c>
      <x:c r="P678" s="22" t="n">
        <x:f>IF(O678=0,0,(M678-O678)/O678)</x:f>
        <x:v>-0.3657700594002719</x:v>
      </x:c>
      <x:c r="Q678" s="20" t="n">
        <x:v>45929</x:v>
      </x:c>
    </x:row>
    <x:row r="679" ht="20" customHeight="1">
      <x:c r="A679" t="str">
        <x:v>WO00683</x:v>
      </x:c>
      <x:c r="B679" t="str">
        <x:v>LOT00683</x:v>
      </x:c>
      <x:c r="C679" t="str">
        <x:v>AUTO-FL-A</x:v>
      </x:c>
      <x:c r="D679" t="n">
        <x:v>2935</x:v>
      </x:c>
      <x:c r="E679" t="n">
        <x:v>1852319.95</x:v>
      </x:c>
      <x:c r="F679" t="n">
        <x:v>15.08</x:v>
      </x:c>
      <x:c r="G679" t="n">
        <x:v>0</x:v>
      </x:c>
      <x:c r="H679" t="n">
        <x:v>2.19</x:v>
      </x:c>
      <x:c r="I679" t="n">
        <x:v>1.3</x:v>
      </x:c>
      <x:c r="J679" t="n">
        <x:v>10853.2</x:v>
      </x:c>
      <x:c r="K679" t="n">
        <x:v>159319.43</x:v>
      </x:c>
      <x:c r="L679" t="n">
        <x:v>6470.8</x:v>
      </x:c>
      <x:c r="M679" t="n">
        <x:f>SUM(E679,J679:L679)</x:f>
        <x:v>2028963.38</x:v>
      </x:c>
      <x:c r="N679" t="n">
        <x:v>970</x:v>
      </x:c>
      <x:c r="O679" t="n">
        <x:f>D679*N679</x:f>
        <x:v>2846950</x:v>
      </x:c>
      <x:c r="P679" s="22" t="n">
        <x:f>IF(O679=0,0,(M679-O679)/O679)</x:f>
        <x:v>-0.2873203322854283</x:v>
      </x:c>
      <x:c r="Q679" s="20" t="n">
        <x:v>45927</x:v>
      </x:c>
    </x:row>
    <x:row r="680" ht="20" customHeight="1">
      <x:c r="A680" t="str">
        <x:v>WO00689</x:v>
      </x:c>
      <x:c r="B680" t="str">
        <x:v>LOT00689</x:v>
      </x:c>
      <x:c r="C680" t="str">
        <x:v>PM-ALB-A</x:v>
      </x:c>
      <x:c r="D680" t="n">
        <x:v>292</x:v>
      </x:c>
      <x:c r="E680" t="n">
        <x:v>1631175.98</x:v>
      </x:c>
      <x:c r="F680" t="n">
        <x:v>2.59</x:v>
      </x:c>
      <x:c r="G680" t="n">
        <x:v>0</x:v>
      </x:c>
      <x:c r="H680" t="n">
        <x:v>0.57</x:v>
      </x:c>
      <x:c r="I680" t="n">
        <x:v>1.48</x:v>
      </x:c>
      <x:c r="J680" t="n">
        <x:v>1957.1</x:v>
      </x:c>
      <x:c r="K680" t="n">
        <x:v>86297.43</x:v>
      </x:c>
      <x:c r="L680" t="n">
        <x:v>1519.4</x:v>
      </x:c>
      <x:c r="M680" t="n">
        <x:f>SUM(E680,J680:L680)</x:f>
        <x:v>1720949.91</x:v>
      </x:c>
      <x:c r="N680" t="n">
        <x:v>8100</x:v>
      </x:c>
      <x:c r="O680" t="n">
        <x:f>D680*N680</x:f>
        <x:v>2365200</x:v>
      </x:c>
      <x:c r="P680" s="22" t="n">
        <x:f>IF(O680=0,0,(M680-O680)/O680)</x:f>
        <x:v>-0.27238715119228823</x:v>
      </x:c>
      <x:c r="Q680" s="20" t="n">
        <x:v>45940</x:v>
      </x:c>
    </x:row>
    <x:row r="681" ht="20" customHeight="1">
      <x:c r="A681" t="str">
        <x:v>WO00690</x:v>
      </x:c>
      <x:c r="B681" t="str">
        <x:v>LOT00690</x:v>
      </x:c>
      <x:c r="C681" t="str">
        <x:v>AUTO-LG-A</x:v>
      </x:c>
      <x:c r="D681" t="n">
        <x:v>4968</x:v>
      </x:c>
      <x:c r="E681" t="n">
        <x:v>2505291.39</x:v>
      </x:c>
      <x:c r="F681" t="n">
        <x:v>23.38</x:v>
      </x:c>
      <x:c r="G681" t="n">
        <x:v>0</x:v>
      </x:c>
      <x:c r="H681" t="n">
        <x:v>3.75</x:v>
      </x:c>
      <x:c r="I681" t="n">
        <x:v>1.13</x:v>
      </x:c>
      <x:c r="J681" t="n">
        <x:v>16997</x:v>
      </x:c>
      <x:c r="K681" t="n">
        <x:v>206611.44</x:v>
      </x:c>
      <x:c r="L681" t="n">
        <x:v>9823.4</x:v>
      </x:c>
      <x:c r="M681" t="n">
        <x:f>SUM(E681,J681:L681)</x:f>
        <x:v>2738723.23</x:v>
      </x:c>
      <x:c r="N681" t="n">
        <x:v>840</x:v>
      </x:c>
      <x:c r="O681" t="n">
        <x:f>D681*N681</x:f>
        <x:v>4173120</x:v>
      </x:c>
      <x:c r="P681" s="22" t="n">
        <x:f>IF(O681=0,0,(M681-O681)/O681)</x:f>
        <x:v>-0.3437228668238632</x:v>
      </x:c>
      <x:c r="Q681" s="20" t="n">
        <x:v>45931</x:v>
      </x:c>
    </x:row>
    <x:row r="682" ht="20" customHeight="1">
      <x:c r="A682" t="str">
        <x:v>WO00691</x:v>
      </x:c>
      <x:c r="B682" t="str">
        <x:v>LOT00691</x:v>
      </x:c>
      <x:c r="C682" t="str">
        <x:v>AUTO-LG-A</x:v>
      </x:c>
      <x:c r="D682" t="n">
        <x:v>6878</x:v>
      </x:c>
      <x:c r="E682" t="n">
        <x:v>3580616.81</x:v>
      </x:c>
      <x:c r="F682" t="n">
        <x:v>36.99</x:v>
      </x:c>
      <x:c r="G682" t="n">
        <x:v>0</x:v>
      </x:c>
      <x:c r="H682" t="n">
        <x:v>6.53</x:v>
      </x:c>
      <x:c r="I682" t="n">
        <x:v>1.16</x:v>
      </x:c>
      <x:c r="J682" t="n">
        <x:v>27177.9</x:v>
      </x:c>
      <x:c r="K682" t="n">
        <x:v>271957.27</x:v>
      </x:c>
      <x:c r="L682" t="n">
        <x:v>15449</x:v>
      </x:c>
      <x:c r="M682" t="n">
        <x:f>SUM(E682,J682:L682)</x:f>
        <x:v>3895200.98</x:v>
      </x:c>
      <x:c r="N682" t="n">
        <x:v>840</x:v>
      </x:c>
      <x:c r="O682" t="n">
        <x:f>D682*N682</x:f>
        <x:v>5777520</x:v>
      </x:c>
      <x:c r="P682" s="22" t="n">
        <x:f>IF(O682=0,0,(M682-O682)/O682)</x:f>
        <x:v>-0.3258005199462745</x:v>
      </x:c>
      <x:c r="Q682" s="20" t="n">
        <x:v>45930</x:v>
      </x:c>
    </x:row>
    <x:row r="683" ht="20" customHeight="1">
      <x:c r="A683" t="str">
        <x:v>WO00680</x:v>
      </x:c>
      <x:c r="B683" t="str">
        <x:v>LOT00680</x:v>
      </x:c>
      <x:c r="C683" t="str">
        <x:v>MECH-STG-B</x:v>
      </x:c>
      <x:c r="D683" t="n">
        <x:v>20</x:v>
      </x:c>
      <x:c r="E683" t="n">
        <x:v>1887137.47</x:v>
      </x:c>
      <x:c r="F683" t="n">
        <x:v>1753.72</x:v>
      </x:c>
      <x:c r="G683" t="n">
        <x:v>5203.91</x:v>
      </x:c>
      <x:c r="H683" t="n">
        <x:v>3297.59</x:v>
      </x:c>
      <x:c r="I683" t="n">
        <x:v>3.12</x:v>
      </x:c>
      <x:c r="J683" t="n">
        <x:v>5428794.4</x:v>
      </x:c>
      <x:c r="K683" t="n">
        <x:v>200079.33</x:v>
      </x:c>
      <x:c r="L683" t="n">
        <x:v>2235746</x:v>
      </x:c>
      <x:c r="M683" t="n">
        <x:f>SUM(E683,J683:L683)</x:f>
        <x:v>9751757.200000001</x:v>
      </x:c>
      <x:c r="N683" t="n">
        <x:v>151000</x:v>
      </x:c>
      <x:c r="O683" t="n">
        <x:f>D683*N683</x:f>
        <x:v>3020000</x:v>
      </x:c>
      <x:c r="P683" s="22" t="n">
        <x:f>IF(O683=0,0,(M683-O683)/O683)</x:f>
        <x:v>2.229058675496689</x:v>
      </x:c>
      <x:c r="Q683" s="20" t="n">
        <x:v>45966</x:v>
      </x:c>
    </x:row>
    <x:row r="684" ht="20" customHeight="1">
      <x:c r="A684" t="str">
        <x:v>WO00674</x:v>
      </x:c>
      <x:c r="B684" t="str">
        <x:v>LOT00674</x:v>
      </x:c>
      <x:c r="C684" t="str">
        <x:v>PM-BRG-B</x:v>
      </x:c>
      <x:c r="D684" t="n">
        <x:v>293</x:v>
      </x:c>
      <x:c r="E684" t="n">
        <x:v>912896.29</x:v>
      </x:c>
      <x:c r="F684" t="n">
        <x:v>2.47</x:v>
      </x:c>
      <x:c r="G684" t="n">
        <x:v>0</x:v>
      </x:c>
      <x:c r="H684" t="n">
        <x:v>0.56</x:v>
      </x:c>
      <x:c r="I684" t="n">
        <x:v>1.66</x:v>
      </x:c>
      <x:c r="J684" t="n">
        <x:v>1874.3</x:v>
      </x:c>
      <x:c r="K684" t="n">
        <x:v>68471.99</x:v>
      </x:c>
      <x:c r="L684" t="n">
        <x:v>1526.2</x:v>
      </x:c>
      <x:c r="M684" t="n">
        <x:f>SUM(E684,J684:L684)</x:f>
        <x:v>984768.78</x:v>
      </x:c>
      <x:c r="N684" t="n">
        <x:v>5400</x:v>
      </x:c>
      <x:c r="O684" t="n">
        <x:f>D684*N684</x:f>
        <x:v>1582200</x:v>
      </x:c>
      <x:c r="P684" s="22" t="n">
        <x:f>IF(O684=0,0,(M684-O684)/O684)</x:f>
        <x:v>-0.37759525976488434</x:v>
      </x:c>
      <x:c r="Q684" s="20" t="n">
        <x:v>45937</x:v>
      </x:c>
    </x:row>
    <x:row r="685" ht="20" customHeight="1">
      <x:c r="A685" t="str">
        <x:v>WO00688</x:v>
      </x:c>
      <x:c r="B685" t="str">
        <x:v>LOT00688</x:v>
      </x:c>
      <x:c r="C685" t="str">
        <x:v>AUTO-BRK-A</x:v>
      </x:c>
      <x:c r="D685" t="n">
        <x:v>4990</x:v>
      </x:c>
      <x:c r="E685" t="n">
        <x:v>4764214.69</x:v>
      </x:c>
      <x:c r="F685" t="n">
        <x:v>27.73</x:v>
      </x:c>
      <x:c r="G685" t="n">
        <x:v>0</x:v>
      </x:c>
      <x:c r="H685" t="n">
        <x:v>3.57</x:v>
      </x:c>
      <x:c r="I685" t="n">
        <x:v>1.15</x:v>
      </x:c>
      <x:c r="J685" t="n">
        <x:v>19738.1</x:v>
      </x:c>
      <x:c r="K685" t="n">
        <x:v>376125.12</x:v>
      </x:c>
      <x:c r="L685" t="n">
        <x:v>11453.6</x:v>
      </x:c>
      <x:c r="M685" t="n">
        <x:f>SUM(E685,J685:L685)</x:f>
        <x:v>5171531.510000001</x:v>
      </x:c>
      <x:c r="N685" t="n">
        <x:v>1380</x:v>
      </x:c>
      <x:c r="O685" t="n">
        <x:f>D685*N685</x:f>
        <x:v>6886200</x:v>
      </x:c>
      <x:c r="P685" s="22" t="n">
        <x:f>IF(O685=0,0,(M685-O685)/O685)</x:f>
        <x:v>-0.2490006810722894</x:v>
      </x:c>
      <x:c r="Q685" s="20" t="n">
        <x:v>45937</x:v>
      </x:c>
    </x:row>
    <x:row r="686" ht="20" customHeight="1">
      <x:c r="A686" t="str">
        <x:v>WO00693</x:v>
      </x:c>
      <x:c r="B686" t="str">
        <x:v>LOT00693</x:v>
      </x:c>
      <x:c r="C686" t="str">
        <x:v>PM-BRG-B</x:v>
      </x:c>
      <x:c r="D686" t="n">
        <x:v>775</x:v>
      </x:c>
      <x:c r="E686" t="n">
        <x:v>2511409.67</x:v>
      </x:c>
      <x:c r="F686" t="n">
        <x:v>6.34</x:v>
      </x:c>
      <x:c r="G686" t="n">
        <x:v>0</x:v>
      </x:c>
      <x:c r="H686" t="n">
        <x:v>1.3</x:v>
      </x:c>
      <x:c r="I686" t="n">
        <x:v>1.75</x:v>
      </x:c>
      <x:c r="J686" t="n">
        <x:v>4745</x:v>
      </x:c>
      <x:c r="K686" t="n">
        <x:v>198502.86</x:v>
      </x:c>
      <x:c r="L686" t="n">
        <x:v>3142.2</x:v>
      </x:c>
      <x:c r="M686" t="n">
        <x:f>SUM(E686,J686:L686)</x:f>
        <x:v>2717799.73</x:v>
      </x:c>
      <x:c r="N686" t="n">
        <x:v>5400</x:v>
      </x:c>
      <x:c r="O686" t="n">
        <x:f>D686*N686</x:f>
        <x:v>4185000</x:v>
      </x:c>
      <x:c r="P686" s="22" t="n">
        <x:f>IF(O686=0,0,(M686-O686)/O686)</x:f>
        <x:v>-0.35058548864994027</x:v>
      </x:c>
      <x:c r="Q686" s="20" t="n">
        <x:v>45943</x:v>
      </x:c>
    </x:row>
    <x:row r="687" ht="20" customHeight="1">
      <x:c r="A687" t="str">
        <x:v>WO00692</x:v>
      </x:c>
      <x:c r="B687" t="str">
        <x:v>LOT00692</x:v>
      </x:c>
      <x:c r="C687" t="str">
        <x:v>PM-BRG-B</x:v>
      </x:c>
      <x:c r="D687" t="n">
        <x:v>779</x:v>
      </x:c>
      <x:c r="E687" t="n">
        <x:v>2386795.93</x:v>
      </x:c>
      <x:c r="F687" t="n">
        <x:v>6.71</x:v>
      </x:c>
      <x:c r="G687" t="n">
        <x:v>0</x:v>
      </x:c>
      <x:c r="H687" t="n">
        <x:v>1.36</x:v>
      </x:c>
      <x:c r="I687" t="n">
        <x:v>1.6</x:v>
      </x:c>
      <x:c r="J687" t="n">
        <x:v>5014.3</x:v>
      </x:c>
      <x:c r="K687" t="n">
        <x:v>191919.61</x:v>
      </x:c>
      <x:c r="L687" t="n">
        <x:v>3247.4</x:v>
      </x:c>
      <x:c r="M687" t="n">
        <x:f>SUM(E687,J687:L687)</x:f>
        <x:v>2586977.24</x:v>
      </x:c>
      <x:c r="N687" t="n">
        <x:v>5400</x:v>
      </x:c>
      <x:c r="O687" t="n">
        <x:f>D687*N687</x:f>
        <x:v>4206600</x:v>
      </x:c>
      <x:c r="P687" s="22" t="n">
        <x:f>IF(O687=0,0,(M687-O687)/O687)</x:f>
        <x:v>-0.38501943612418577</x:v>
      </x:c>
      <x:c r="Q687" s="20" t="n">
        <x:v>45942</x:v>
      </x:c>
    </x:row>
    <x:row r="688" ht="20" customHeight="1">
      <x:c r="A688" t="str">
        <x:v>WO00678</x:v>
      </x:c>
      <x:c r="B688" t="str">
        <x:v>LOT00678</x:v>
      </x:c>
      <x:c r="C688" t="str">
        <x:v>AUTO-MH-B</x:v>
      </x:c>
      <x:c r="D688" t="n">
        <x:v>6440</x:v>
      </x:c>
      <x:c r="E688" t="n">
        <x:v>10169723.67</x:v>
      </x:c>
      <x:c r="F688" t="n">
        <x:v>32.42</x:v>
      </x:c>
      <x:c r="G688" t="n">
        <x:v>0</x:v>
      </x:c>
      <x:c r="H688" t="n">
        <x:v>5.82</x:v>
      </x:c>
      <x:c r="I688" t="n">
        <x:v>1.07</x:v>
      </x:c>
      <x:c r="J688" t="n">
        <x:v>23866.6</x:v>
      </x:c>
      <x:c r="K688" t="n">
        <x:v>633587.84</x:v>
      </x:c>
      <x:c r="L688" t="n">
        <x:v>13571.8</x:v>
      </x:c>
      <x:c r="M688" t="n">
        <x:f>SUM(E688,J688:L688)</x:f>
        <x:v>10840749.91</x:v>
      </x:c>
      <x:c r="N688" t="n">
        <x:v>2320</x:v>
      </x:c>
      <x:c r="O688" t="n">
        <x:f>D688*N688</x:f>
        <x:v>14940800</x:v>
      </x:c>
      <x:c r="P688" s="22" t="n">
        <x:f>IF(O688=0,0,(M688-O688)/O688)</x:f>
        <x:v>-0.27441971581173696</x:v>
      </x:c>
      <x:c r="Q688" s="20" t="n">
        <x:v>45947</x:v>
      </x:c>
    </x:row>
    <x:row r="689" ht="20" customHeight="1">
      <x:c r="A689" t="str">
        <x:v>WO00677</x:v>
      </x:c>
      <x:c r="B689" t="str">
        <x:v>LOT00677</x:v>
      </x:c>
      <x:c r="C689" t="str">
        <x:v>AUTO-MH-B</x:v>
      </x:c>
      <x:c r="D689" t="n">
        <x:v>6368</x:v>
      </x:c>
      <x:c r="E689" t="n">
        <x:v>10813110.39</x:v>
      </x:c>
      <x:c r="F689" t="n">
        <x:v>30.56</x:v>
      </x:c>
      <x:c r="G689" t="n">
        <x:v>0</x:v>
      </x:c>
      <x:c r="H689" t="n">
        <x:v>5.85</x:v>
      </x:c>
      <x:c r="I689" t="n">
        <x:v>1.21</x:v>
      </x:c>
      <x:c r="J689" t="n">
        <x:v>22672</x:v>
      </x:c>
      <x:c r="K689" t="n">
        <x:v>623702.18</x:v>
      </x:c>
      <x:c r="L689" t="n">
        <x:v>12911.8</x:v>
      </x:c>
      <x:c r="M689" t="n">
        <x:f>SUM(E689,J689:L689)</x:f>
        <x:v>11472396.370000001</x:v>
      </x:c>
      <x:c r="N689" t="n">
        <x:v>2320</x:v>
      </x:c>
      <x:c r="O689" t="n">
        <x:f>D689*N689</x:f>
        <x:v>14773760</x:v>
      </x:c>
      <x:c r="P689" s="22" t="n">
        <x:f>IF(O689=0,0,(M689-O689)/O689)</x:f>
        <x:v>-0.22346130098228204</x:v>
      </x:c>
      <x:c r="Q689" s="20" t="n">
        <x:v>45944</x:v>
      </x:c>
    </x:row>
    <x:row r="690" ht="20" customHeight="1">
      <x:c r="A690" t="str">
        <x:v>WO00686</x:v>
      </x:c>
      <x:c r="B690" t="str">
        <x:v>LOT00686</x:v>
      </x:c>
      <x:c r="C690" t="str">
        <x:v>PM-VAC-A</x:v>
      </x:c>
      <x:c r="D690" t="n">
        <x:v>590</x:v>
      </x:c>
      <x:c r="E690" t="n">
        <x:v>3581250.18</x:v>
      </x:c>
      <x:c r="F690" t="n">
        <x:v>5.36</x:v>
      </x:c>
      <x:c r="G690" t="n">
        <x:v>0</x:v>
      </x:c>
      <x:c r="H690" t="n">
        <x:v>1.07</x:v>
      </x:c>
      <x:c r="I690" t="n">
        <x:v>1.7</x:v>
      </x:c>
      <x:c r="J690" t="n">
        <x:v>3997.6</x:v>
      </x:c>
      <x:c r="K690" t="n">
        <x:v>462496.78</x:v>
      </x:c>
      <x:c r="L690" t="n">
        <x:v>2718</x:v>
      </x:c>
      <x:c r="M690" t="n">
        <x:f>SUM(E690,J690:L690)</x:f>
        <x:v>4050462.56</x:v>
      </x:c>
      <x:c r="N690" t="n">
        <x:v>10800</x:v>
      </x:c>
      <x:c r="O690" t="n">
        <x:f>D690*N690</x:f>
        <x:v>6372000</x:v>
      </x:c>
      <x:c r="P690" s="22" t="n">
        <x:f>IF(O690=0,0,(M690-O690)/O690)</x:f>
        <x:v>-0.36433418706842435</x:v>
      </x:c>
      <x:c r="Q690" s="20" t="n">
        <x:v>45955</x:v>
      </x:c>
    </x:row>
    <x:row r="691" ht="20" customHeight="1">
      <x:c r="A691" t="str">
        <x:v>WO00687</x:v>
      </x:c>
      <x:c r="B691" t="str">
        <x:v>LOT00687</x:v>
      </x:c>
      <x:c r="C691" t="str">
        <x:v>PM-VAC-A</x:v>
      </x:c>
      <x:c r="D691" t="n">
        <x:v>594</x:v>
      </x:c>
      <x:c r="E691" t="n">
        <x:v>3640597.88</x:v>
      </x:c>
      <x:c r="F691" t="n">
        <x:v>5.49</x:v>
      </x:c>
      <x:c r="G691" t="n">
        <x:v>0</x:v>
      </x:c>
      <x:c r="H691" t="n">
        <x:v>0.96</x:v>
      </x:c>
      <x:c r="I691" t="n">
        <x:v>1.7</x:v>
      </x:c>
      <x:c r="J691" t="n">
        <x:v>4029.3</x:v>
      </x:c>
      <x:c r="K691" t="n">
        <x:v>473733.52</x:v>
      </x:c>
      <x:c r="L691" t="n">
        <x:v>2749.8</x:v>
      </x:c>
      <x:c r="M691" t="n">
        <x:f>SUM(E691,J691:L691)</x:f>
        <x:v>4121110.5</x:v>
      </x:c>
      <x:c r="N691" t="n">
        <x:v>10800</x:v>
      </x:c>
      <x:c r="O691" t="n">
        <x:f>D691*N691</x:f>
        <x:v>6415200</x:v>
      </x:c>
      <x:c r="P691" s="22" t="n">
        <x:f>IF(O691=0,0,(M691-O691)/O691)</x:f>
        <x:v>-0.3576021791994014</x:v>
      </x:c>
      <x:c r="Q691" s="20" t="n">
        <x:v>45956</x:v>
      </x:c>
    </x:row>
    <x:row r="692" ht="20" customHeight="1">
      <x:c r="A692" t="str">
        <x:v>WO00673</x:v>
      </x:c>
      <x:c r="B692" t="str">
        <x:v>LOT00673</x:v>
      </x:c>
      <x:c r="C692" t="str">
        <x:v>AUTO-LG-A</x:v>
      </x:c>
      <x:c r="D692" t="n">
        <x:v>6900</x:v>
      </x:c>
      <x:c r="E692" t="n">
        <x:v>3507852.13</x:v>
      </x:c>
      <x:c r="F692" t="n">
        <x:v>33.96</x:v>
      </x:c>
      <x:c r="G692" t="n">
        <x:v>0</x:v>
      </x:c>
      <x:c r="H692" t="n">
        <x:v>5.93</x:v>
      </x:c>
      <x:c r="I692" t="n">
        <x:v>1.19</x:v>
      </x:c>
      <x:c r="J692" t="n">
        <x:v>24920.4</x:v>
      </x:c>
      <x:c r="K692" t="n">
        <x:v>269289.67</x:v>
      </x:c>
      <x:c r="L692" t="n">
        <x:v>14210.6</x:v>
      </x:c>
      <x:c r="M692" t="n">
        <x:f>SUM(E692,J692:L692)</x:f>
        <x:v>3816272.8</x:v>
      </x:c>
      <x:c r="N692" t="n">
        <x:v>840</x:v>
      </x:c>
      <x:c r="O692" t="n">
        <x:f>D692*N692</x:f>
        <x:v>5796000</x:v>
      </x:c>
      <x:c r="P692" s="22" t="n">
        <x:f>IF(O692=0,0,(M692-O692)/O692)</x:f>
        <x:v>-0.34156783988957906</x:v>
      </x:c>
      <x:c r="Q692" s="20" t="n">
        <x:v>45951</x:v>
      </x:c>
    </x:row>
    <x:row r="693" ht="20" customHeight="1">
      <x:c r="A693" t="str">
        <x:v>WO00679</x:v>
      </x:c>
      <x:c r="B693" t="str">
        <x:v>LOT00679</x:v>
      </x:c>
      <x:c r="C693" t="str">
        <x:v>SEMI-CHB-A</x:v>
      </x:c>
      <x:c r="D693" t="n">
        <x:v>58</x:v>
      </x:c>
      <x:c r="E693" t="n">
        <x:v>2584169.1</x:v>
      </x:c>
      <x:c r="F693" t="n">
        <x:v>1.48</x:v>
      </x:c>
      <x:c r="G693" t="n">
        <x:v>0</x:v>
      </x:c>
      <x:c r="H693" t="n">
        <x:v>0.53</x:v>
      </x:c>
      <x:c r="I693" t="n">
        <x:v>3.09</x:v>
      </x:c>
      <x:c r="J693" t="n">
        <x:v>1216.4</x:v>
      </x:c>
      <x:c r="K693" t="n">
        <x:v>270472.42</x:v>
      </x:c>
      <x:c r="L693" t="n">
        <x:v>1574.2</x:v>
      </x:c>
      <x:c r="M693" t="n">
        <x:f>SUM(E693,J693:L693)</x:f>
        <x:v>2857432.12</x:v>
      </x:c>
      <x:c r="N693" t="n">
        <x:v>70000</x:v>
      </x:c>
      <x:c r="O693" t="n">
        <x:f>D693*N693</x:f>
        <x:v>4060000</x:v>
      </x:c>
      <x:c r="P693" s="22" t="n">
        <x:f>IF(O693=0,0,(M693-O693)/O693)</x:f>
        <x:v>-0.29619898522167487</x:v>
      </x:c>
      <x:c r="Q693" s="20" t="n">
        <x:v>45968</x:v>
      </x:c>
    </x:row>
    <x:row r="694" ht="20" customHeight="1">
      <x:c r="A694" t="str">
        <x:v>WO00684</x:v>
      </x:c>
      <x:c r="B694" t="str">
        <x:v>LOT00684</x:v>
      </x:c>
      <x:c r="C694" t="str">
        <x:v>PM-SUS-A</x:v>
      </x:c>
      <x:c r="D694" t="n">
        <x:v>487</x:v>
      </x:c>
      <x:c r="E694" t="n">
        <x:v>2237055.73</x:v>
      </x:c>
      <x:c r="F694" t="n">
        <x:v>4.62</x:v>
      </x:c>
      <x:c r="G694" t="n">
        <x:v>0</x:v>
      </x:c>
      <x:c r="H694" t="n">
        <x:v>0.93</x:v>
      </x:c>
      <x:c r="I694" t="n">
        <x:v>1.53</x:v>
      </x:c>
      <x:c r="J694" t="n">
        <x:v>3449.4</x:v>
      </x:c>
      <x:c r="K694" t="n">
        <x:v>228681.62</x:v>
      </x:c>
      <x:c r="L694" t="n">
        <x:v>2363.4</x:v>
      </x:c>
      <x:c r="M694" t="n">
        <x:f>SUM(E694,J694:L694)</x:f>
        <x:v>2471550.15</x:v>
      </x:c>
      <x:c r="N694" t="n">
        <x:v>7500</x:v>
      </x:c>
      <x:c r="O694" t="n">
        <x:f>D694*N694</x:f>
        <x:v>3652500</x:v>
      </x:c>
      <x:c r="P694" s="22" t="n">
        <x:f>IF(O694=0,0,(M694-O694)/O694)</x:f>
        <x:v>-0.32332644763860374</x:v>
      </x:c>
      <x:c r="Q694" s="20" t="n">
        <x:v>45965</x:v>
      </x:c>
    </x:row>
    <x:row r="695" ht="20" customHeight="1">
      <x:c r="A695" t="str">
        <x:v>WO00710</x:v>
      </x:c>
      <x:c r="B695" t="str">
        <x:v>LOT00710</x:v>
      </x:c>
      <x:c r="C695" t="str">
        <x:v>AUTO-BS-B</x:v>
      </x:c>
      <x:c r="D695" t="n">
        <x:v>4900</x:v>
      </x:c>
      <x:c r="E695" t="n">
        <x:v>2051130.6</x:v>
      </x:c>
      <x:c r="F695" t="n">
        <x:v>22.89</x:v>
      </x:c>
      <x:c r="G695" t="n">
        <x:v>0</x:v>
      </x:c>
      <x:c r="H695" t="n">
        <x:v>3.83</x:v>
      </x:c>
      <x:c r="I695" t="n">
        <x:v>1.16</x:v>
      </x:c>
      <x:c r="J695" t="n">
        <x:v>16716.9</x:v>
      </x:c>
      <x:c r="K695" t="n">
        <x:v>184438.53</x:v>
      </x:c>
      <x:c r="L695" t="n">
        <x:v>9659</x:v>
      </x:c>
      <x:c r="M695" t="n">
        <x:f>SUM(E695,J695:L695)</x:f>
        <x:v>2261945.0300000003</x:v>
      </x:c>
      <x:c r="N695" t="n">
        <x:v>650</x:v>
      </x:c>
      <x:c r="O695" t="n">
        <x:f>D695*N695</x:f>
        <x:v>3185000</x:v>
      </x:c>
      <x:c r="P695" s="22" t="n">
        <x:f>IF(O695=0,0,(M695-O695)/O695)</x:f>
        <x:v>-0.28981317739403445</x:v>
      </x:c>
      <x:c r="Q695" s="20" t="n">
        <x:v>45956</x:v>
      </x:c>
    </x:row>
    <x:row r="696" ht="20" customHeight="1">
      <x:c r="A696" t="str">
        <x:v>WO00718</x:v>
      </x:c>
      <x:c r="B696" t="str">
        <x:v>LOT00718</x:v>
      </x:c>
      <x:c r="C696" t="str">
        <x:v>MECH-STG-A</x:v>
      </x:c>
      <x:c r="D696" t="n">
        <x:v>17</x:v>
      </x:c>
      <x:c r="E696" t="n">
        <x:v>1119488.12</x:v>
      </x:c>
      <x:c r="F696" t="n">
        <x:v>1291.09</x:v>
      </x:c>
      <x:c r="G696" t="n">
        <x:v>3797.68</x:v>
      </x:c>
      <x:c r="H696" t="n">
        <x:v>2653.42</x:v>
      </x:c>
      <x:c r="I696" t="n">
        <x:v>3.18</x:v>
      </x:c>
      <x:c r="J696" t="n">
        <x:v>4087643.7</x:v>
      </x:c>
      <x:c r="K696" t="n">
        <x:v>111772.26</x:v>
      </x:c>
      <x:c r="L696" t="n">
        <x:v>1675651.4</x:v>
      </x:c>
      <x:c r="M696" t="n">
        <x:f>SUM(E696,J696:L696)</x:f>
        <x:v>6994555.4799999995</x:v>
      </x:c>
      <x:c r="N696" t="n">
        <x:v>104000</x:v>
      </x:c>
      <x:c r="O696" t="n">
        <x:f>D696*N696</x:f>
        <x:v>1768000</x:v>
      </x:c>
      <x:c r="P696" s="22" t="n">
        <x:f>IF(O696=0,0,(M696-O696)/O696)</x:f>
        <x:v>2.9561965384615383</x:v>
      </x:c>
      <x:c r="Q696" s="20" t="n">
        <x:v>45981</x:v>
      </x:c>
    </x:row>
    <x:row r="697" ht="20" customHeight="1">
      <x:c r="A697" t="str">
        <x:v>WO00719</x:v>
      </x:c>
      <x:c r="B697" t="str">
        <x:v>LOT00719</x:v>
      </x:c>
      <x:c r="C697" t="str">
        <x:v>MECH-STG-A</x:v>
      </x:c>
      <x:c r="D697" t="n">
        <x:v>17</x:v>
      </x:c>
      <x:c r="E697" t="n">
        <x:v>1188982.46</x:v>
      </x:c>
      <x:c r="F697" t="n">
        <x:v>1168.27</x:v>
      </x:c>
      <x:c r="G697" t="n">
        <x:v>4184.08</x:v>
      </x:c>
      <x:c r="H697" t="n">
        <x:v>3305.68</x:v>
      </x:c>
      <x:c r="I697" t="n">
        <x:v>2.8</x:v>
      </x:c>
      <x:c r="J697" t="n">
        <x:v>4521823.5</x:v>
      </x:c>
      <x:c r="K697" t="n">
        <x:v>104747.23</x:v>
      </x:c>
      <x:c r="L697" t="n">
        <x:v>1810507.4</x:v>
      </x:c>
      <x:c r="M697" t="n">
        <x:f>SUM(E697,J697:L697)</x:f>
        <x:v>7626060.590000001</x:v>
      </x:c>
      <x:c r="N697" t="n">
        <x:v>104000</x:v>
      </x:c>
      <x:c r="O697" t="n">
        <x:f>D697*N697</x:f>
        <x:v>1768000</x:v>
      </x:c>
      <x:c r="P697" s="22" t="n">
        <x:f>IF(O697=0,0,(M697-O697)/O697)</x:f>
        <x:v>3.3133826866515843</x:v>
      </x:c>
      <x:c r="Q697" s="20" t="n">
        <x:v>45977</x:v>
      </x:c>
    </x:row>
    <x:row r="698" ht="20" customHeight="1">
      <x:c r="A698" t="str">
        <x:v>WO00720</x:v>
      </x:c>
      <x:c r="B698" t="str">
        <x:v>LOT00720</x:v>
      </x:c>
      <x:c r="C698" t="str">
        <x:v>MECH-STG-A</x:v>
      </x:c>
      <x:c r="D698" t="n">
        <x:v>16</x:v>
      </x:c>
      <x:c r="E698" t="n">
        <x:v>1138221.9</x:v>
      </x:c>
      <x:c r="F698" t="n">
        <x:v>1292.56</x:v>
      </x:c>
      <x:c r="G698" t="n">
        <x:v>4036.83</x:v>
      </x:c>
      <x:c r="H698" t="n">
        <x:v>2686.74</x:v>
      </x:c>
      <x:c r="I698" t="n">
        <x:v>2.74</x:v>
      </x:c>
      <x:c r="J698" t="n">
        <x:v>4228950.8</x:v>
      </x:c>
      <x:c r="K698" t="n">
        <x:v>104758.47</x:v>
      </x:c>
      <x:c r="L698" t="n">
        <x:v>1729239.2</x:v>
      </x:c>
      <x:c r="M698" t="n">
        <x:f>SUM(E698,J698:L698)</x:f>
        <x:v>7201170.369999999</x:v>
      </x:c>
      <x:c r="N698" t="n">
        <x:v>104000</x:v>
      </x:c>
      <x:c r="O698" t="n">
        <x:f>D698*N698</x:f>
        <x:v>1664000</x:v>
      </x:c>
      <x:c r="P698" s="22" t="n">
        <x:f>IF(O698=0,0,(M698-O698)/O698)</x:f>
        <x:v>3.327626424278846</x:v>
      </x:c>
      <x:c r="Q698" s="20" t="n">
        <x:v>45974</x:v>
      </x:c>
    </x:row>
    <x:row r="699" ht="20" customHeight="1">
      <x:c r="A699" t="str">
        <x:v>WO00694</x:v>
      </x:c>
      <x:c r="B699" t="str">
        <x:v>LOT00694</x:v>
      </x:c>
      <x:c r="C699" t="str">
        <x:v>PM-ALB-A</x:v>
      </x:c>
      <x:c r="D699" t="n">
        <x:v>786</x:v>
      </x:c>
      <x:c r="E699" t="n">
        <x:v>4370195.54</x:v>
      </x:c>
      <x:c r="F699" t="n">
        <x:v>6.48</x:v>
      </x:c>
      <x:c r="G699" t="n">
        <x:v>0</x:v>
      </x:c>
      <x:c r="H699" t="n">
        <x:v>1.69</x:v>
      </x:c>
      <x:c r="I699" t="n">
        <x:v>1.49</x:v>
      </x:c>
      <x:c r="J699" t="n">
        <x:v>5023.2</x:v>
      </x:c>
      <x:c r="K699" t="n">
        <x:v>217597.35</x:v>
      </x:c>
      <x:c r="L699" t="n">
        <x:v>3179.8</x:v>
      </x:c>
      <x:c r="M699" t="n">
        <x:f>SUM(E699,J699:L699)</x:f>
        <x:v>4595995.89</x:v>
      </x:c>
      <x:c r="N699" t="n">
        <x:v>8100</x:v>
      </x:c>
      <x:c r="O699" t="n">
        <x:f>D699*N699</x:f>
        <x:v>6366600</x:v>
      </x:c>
      <x:c r="P699" s="22" t="n">
        <x:f>IF(O699=0,0,(M699-O699)/O699)</x:f>
        <x:v>-0.27810826972010183</x:v>
      </x:c>
      <x:c r="Q699" s="20" t="n">
        <x:v>45969</x:v>
      </x:c>
    </x:row>
    <x:row r="700" ht="20" customHeight="1">
      <x:c r="A700" t="str">
        <x:v>WO00695</x:v>
      </x:c>
      <x:c r="B700" t="str">
        <x:v>LOT00695</x:v>
      </x:c>
      <x:c r="C700" t="str">
        <x:v>PM-ALB-A</x:v>
      </x:c>
      <x:c r="D700" t="n">
        <x:v>782</x:v>
      </x:c>
      <x:c r="E700" t="n">
        <x:v>4441333.99</x:v>
      </x:c>
      <x:c r="F700" t="n">
        <x:v>6.93</x:v>
      </x:c>
      <x:c r="G700" t="n">
        <x:v>0</x:v>
      </x:c>
      <x:c r="H700" t="n">
        <x:v>1.54</x:v>
      </x:c>
      <x:c r="I700" t="n">
        <x:v>1.72</x:v>
      </x:c>
      <x:c r="J700" t="n">
        <x:v>5243.7</x:v>
      </x:c>
      <x:c r="K700" t="n">
        <x:v>224772.07</x:v>
      </x:c>
      <x:c r="L700" t="n">
        <x:v>3395.8</x:v>
      </x:c>
      <x:c r="M700" t="n">
        <x:f>SUM(E700,J700:L700)</x:f>
        <x:v>4674745.5600000005</x:v>
      </x:c>
      <x:c r="N700" t="n">
        <x:v>8100</x:v>
      </x:c>
      <x:c r="O700" t="n">
        <x:f>D700*N700</x:f>
        <x:v>6334200</x:v>
      </x:c>
      <x:c r="P700" s="22" t="n">
        <x:f>IF(O700=0,0,(M700-O700)/O700)</x:f>
        <x:v>-0.26198327176281133</x:v>
      </x:c>
      <x:c r="Q700" s="20" t="n">
        <x:v>45967</x:v>
      </x:c>
    </x:row>
    <x:row r="701" ht="20" customHeight="1">
      <x:c r="A701" t="str">
        <x:v>WO00701</x:v>
      </x:c>
      <x:c r="B701" t="str">
        <x:v>LOT00701</x:v>
      </x:c>
      <x:c r="C701" t="str">
        <x:v>MECH-STG-B</x:v>
      </x:c>
      <x:c r="D701" t="n">
        <x:v>10</x:v>
      </x:c>
      <x:c r="E701" t="n">
        <x:v>963314.17</x:v>
      </x:c>
      <x:c r="F701" t="n">
        <x:v>884.41</x:v>
      </x:c>
      <x:c r="G701" t="n">
        <x:v>2803.17</x:v>
      </x:c>
      <x:c r="H701" t="n">
        <x:v>1842.5</x:v>
      </x:c>
      <x:c r="I701" t="n">
        <x:v>2.73</x:v>
      </x:c>
      <x:c r="J701" t="n">
        <x:v>2916914.9</x:v>
      </x:c>
      <x:c r="K701" t="n">
        <x:v>92925.02</x:v>
      </x:c>
      <x:c r="L701" t="n">
        <x:v>1192328.8</x:v>
      </x:c>
      <x:c r="M701" t="n">
        <x:f>SUM(E701,J701:L701)</x:f>
        <x:v>5165482.89</x:v>
      </x:c>
      <x:c r="N701" t="n">
        <x:v>151000</x:v>
      </x:c>
      <x:c r="O701" t="n">
        <x:f>D701*N701</x:f>
        <x:v>1510000</x:v>
      </x:c>
      <x:c r="P701" s="22" t="n">
        <x:f>IF(O701=0,0,(M701-O701)/O701)</x:f>
        <x:v>2.42084959602649</x:v>
      </x:c>
      <x:c r="Q701" s="20" t="n">
        <x:v>46005</x:v>
      </x:c>
    </x:row>
    <x:row r="702" ht="20" customHeight="1">
      <x:c r="A702" t="str">
        <x:v>WO00698</x:v>
      </x:c>
      <x:c r="B702" t="str">
        <x:v>LOT00698</x:v>
      </x:c>
      <x:c r="C702" t="str">
        <x:v>MECH-STG-B</x:v>
      </x:c>
      <x:c r="D702" t="n">
        <x:v>16</x:v>
      </x:c>
      <x:c r="E702" t="n">
        <x:v>1745145.59</x:v>
      </x:c>
      <x:c r="F702" t="n">
        <x:v>1259.38</x:v>
      </x:c>
      <x:c r="G702" t="n">
        <x:v>4432.23</x:v>
      </x:c>
      <x:c r="H702" t="n">
        <x:v>3376.27</x:v>
      </x:c>
      <x:c r="I702" t="n">
        <x:v>3.43</x:v>
      </x:c>
      <x:c r="J702" t="n">
        <x:v>4743966.2</x:v>
      </x:c>
      <x:c r="K702" t="n">
        <x:v>147210.12</x:v>
      </x:c>
      <x:c r="L702" t="n">
        <x:v>1906242.6</x:v>
      </x:c>
      <x:c r="M702" t="n">
        <x:f>SUM(E702,J702:L702)</x:f>
        <x:v>8542564.51</x:v>
      </x:c>
      <x:c r="N702" t="n">
        <x:v>151000</x:v>
      </x:c>
      <x:c r="O702" t="n">
        <x:f>D702*N702</x:f>
        <x:v>2416000</x:v>
      </x:c>
      <x:c r="P702" s="22" t="n">
        <x:f>IF(O702=0,0,(M702-O702)/O702)</x:f>
        <x:v>2.5358296812913905</x:v>
      </x:c>
      <x:c r="Q702" s="20" t="n">
        <x:v>46001</x:v>
      </x:c>
    </x:row>
    <x:row r="703" ht="20" customHeight="1">
      <x:c r="A703" t="str">
        <x:v>WO00697</x:v>
      </x:c>
      <x:c r="B703" t="str">
        <x:v>LOT00697</x:v>
      </x:c>
      <x:c r="C703" t="str">
        <x:v>MECH-CON-A</x:v>
      </x:c>
      <x:c r="D703" t="n">
        <x:v>20</x:v>
      </x:c>
      <x:c r="E703" t="n">
        <x:v>1012144.84</x:v>
      </x:c>
      <x:c r="F703" t="n">
        <x:v>1391.93</x:v>
      </x:c>
      <x:c r="G703" t="n">
        <x:v>4225.58</x:v>
      </x:c>
      <x:c r="H703" t="n">
        <x:v>3108.15</x:v>
      </x:c>
      <x:c r="I703" t="n">
        <x:v>2.74</x:v>
      </x:c>
      <x:c r="J703" t="n">
        <x:v>4593968.1</x:v>
      </x:c>
      <x:c r="K703" t="n">
        <x:v>92752.47</x:v>
      </x:c>
      <x:c r="L703" t="n">
        <x:v>1872175.4</x:v>
      </x:c>
      <x:c r="M703" t="n">
        <x:f>SUM(E703,J703:L703)</x:f>
        <x:v>7571040.809999999</x:v>
      </x:c>
      <x:c r="N703" t="n">
        <x:v>83000</x:v>
      </x:c>
      <x:c r="O703" t="n">
        <x:f>D703*N703</x:f>
        <x:v>1660000</x:v>
      </x:c>
      <x:c r="P703" s="22" t="n">
        <x:f>IF(O703=0,0,(M703-O703)/O703)</x:f>
        <x:v>3.5608679578313245</x:v>
      </x:c>
      <x:c r="Q703" s="20" t="n">
        <x:v>45984</x:v>
      </x:c>
    </x:row>
    <x:row r="704" ht="20" customHeight="1">
      <x:c r="A704" t="str">
        <x:v>WO00709</x:v>
      </x:c>
      <x:c r="B704" t="str">
        <x:v>LOT00709</x:v>
      </x:c>
      <x:c r="C704" t="str">
        <x:v>AUTO-BRK-A</x:v>
      </x:c>
      <x:c r="D704" t="n">
        <x:v>4919</x:v>
      </x:c>
      <x:c r="E704" t="n">
        <x:v>4391500.21</x:v>
      </x:c>
      <x:c r="F704" t="n">
        <x:v>24.97</x:v>
      </x:c>
      <x:c r="G704" t="n">
        <x:v>0</x:v>
      </x:c>
      <x:c r="H704" t="n">
        <x:v>4.03</x:v>
      </x:c>
      <x:c r="I704" t="n">
        <x:v>1.27</x:v>
      </x:c>
      <x:c r="J704" t="n">
        <x:v>18164.9</x:v>
      </x:c>
      <x:c r="K704" t="n">
        <x:v>387997.71</x:v>
      </x:c>
      <x:c r="L704" t="n">
        <x:v>10514.4</x:v>
      </x:c>
      <x:c r="M704" t="n">
        <x:f>SUM(E704,J704:L704)</x:f>
        <x:v>4808177.22</x:v>
      </x:c>
      <x:c r="N704" t="n">
        <x:v>1380</x:v>
      </x:c>
      <x:c r="O704" t="n">
        <x:f>D704*N704</x:f>
        <x:v>6788220</x:v>
      </x:c>
      <x:c r="P704" s="22" t="n">
        <x:f>IF(O704=0,0,(M704-O704)/O704)</x:f>
        <x:v>-0.2916880684479879</x:v>
      </x:c>
      <x:c r="Q704" s="20" t="n">
        <x:v>45967</x:v>
      </x:c>
    </x:row>
    <x:row r="705" ht="20" customHeight="1">
      <x:c r="A705" t="str">
        <x:v>WO00696</x:v>
      </x:c>
      <x:c r="B705" t="str">
        <x:v>LOT00696</x:v>
      </x:c>
      <x:c r="C705" t="str">
        <x:v>MECH-CON-A</x:v>
      </x:c>
      <x:c r="D705" t="n">
        <x:v>20</x:v>
      </x:c>
      <x:c r="E705" t="n">
        <x:v>1035773.6</x:v>
      </x:c>
      <x:c r="F705" t="n">
        <x:v>1343.68</x:v>
      </x:c>
      <x:c r="G705" t="n">
        <x:v>4774.08</x:v>
      </x:c>
      <x:c r="H705" t="n">
        <x:v>3737.37</x:v>
      </x:c>
      <x:c r="I705" t="n">
        <x:v>3.14</x:v>
      </x:c>
      <x:c r="J705" t="n">
        <x:v>5149851.2</x:v>
      </x:c>
      <x:c r="K705" t="n">
        <x:v>109215.33</x:v>
      </x:c>
      <x:c r="L705" t="n">
        <x:v>2064335.6</x:v>
      </x:c>
      <x:c r="M705" t="n">
        <x:f>SUM(E705,J705:L705)</x:f>
        <x:v>8359175.73</x:v>
      </x:c>
      <x:c r="N705" t="n">
        <x:v>83000</x:v>
      </x:c>
      <x:c r="O705" t="n">
        <x:f>D705*N705</x:f>
        <x:v>1660000</x:v>
      </x:c>
      <x:c r="P705" s="22" t="n">
        <x:f>IF(O705=0,0,(M705-O705)/O705)</x:f>
        <x:v>4.035648030120482</x:v>
      </x:c>
      <x:c r="Q705" s="20" t="n">
        <x:v>45985</x:v>
      </x:c>
    </x:row>
    <x:row r="706" ht="20" customHeight="1">
      <x:c r="A706" t="str">
        <x:v>WO00699</x:v>
      </x:c>
      <x:c r="B706" t="str">
        <x:v>LOT00699</x:v>
      </x:c>
      <x:c r="C706" t="str">
        <x:v>MECH-STG-B</x:v>
      </x:c>
      <x:c r="D706" t="n">
        <x:v>16</x:v>
      </x:c>
      <x:c r="E706" t="n">
        <x:v>1684021.04</x:v>
      </x:c>
      <x:c r="F706" t="n">
        <x:v>1213.87</x:v>
      </x:c>
      <x:c r="G706" t="n">
        <x:v>4272.96</x:v>
      </x:c>
      <x:c r="H706" t="n">
        <x:v>3050.24</x:v>
      </x:c>
      <x:c r="I706" t="n">
        <x:v>2.69</x:v>
      </x:c>
      <x:c r="J706" t="n">
        <x:v>4475069.9</x:v>
      </x:c>
      <x:c r="K706" t="n">
        <x:v>162276.08</x:v>
      </x:c>
      <x:c r="L706" t="n">
        <x:v>1804708</x:v>
      </x:c>
      <x:c r="M706" t="n">
        <x:f>SUM(E706,J706:L706)</x:f>
        <x:v>8126075.0200000005</x:v>
      </x:c>
      <x:c r="N706" t="n">
        <x:v>151000</x:v>
      </x:c>
      <x:c r="O706" t="n">
        <x:f>D706*N706</x:f>
        <x:v>2416000</x:v>
      </x:c>
      <x:c r="P706" s="22" t="n">
        <x:f>IF(O706=0,0,(M706-O706)/O706)</x:f>
        <x:v>2.3634416473509936</x:v>
      </x:c>
      <x:c r="Q706" s="20" t="n">
        <x:v>45995</x:v>
      </x:c>
    </x:row>
    <x:row r="707" ht="20" customHeight="1">
      <x:c r="A707" t="str">
        <x:v>WO00700</x:v>
      </x:c>
      <x:c r="B707" t="str">
        <x:v>LOT00700</x:v>
      </x:c>
      <x:c r="C707" t="str">
        <x:v>MECH-STG-B</x:v>
      </x:c>
      <x:c r="D707" t="n">
        <x:v>16</x:v>
      </x:c>
      <x:c r="E707" t="n">
        <x:v>1595196.99</x:v>
      </x:c>
      <x:c r="F707" t="n">
        <x:v>1230.57</x:v>
      </x:c>
      <x:c r="G707" t="n">
        <x:v>3508.34</x:v>
      </x:c>
      <x:c r="H707" t="n">
        <x:v>2624.43</x:v>
      </x:c>
      <x:c r="I707" t="n">
        <x:v>3.27</x:v>
      </x:c>
      <x:c r="J707" t="n">
        <x:v>3883933.7</x:v>
      </x:c>
      <x:c r="K707" t="n">
        <x:v>156369.16</x:v>
      </x:c>
      <x:c r="L707" t="n">
        <x:v>1590174.4</x:v>
      </x:c>
      <x:c r="M707" t="n">
        <x:f>SUM(E707,J707:L707)</x:f>
        <x:v>7225674.25</x:v>
      </x:c>
      <x:c r="N707" t="n">
        <x:v>151000</x:v>
      </x:c>
      <x:c r="O707" t="n">
        <x:f>D707*N707</x:f>
        <x:v>2416000</x:v>
      </x:c>
      <x:c r="P707" s="22" t="n">
        <x:f>IF(O707=0,0,(M707-O707)/O707)</x:f>
        <x:v>1.990759209437086</x:v>
      </x:c>
      <x:c r="Q707" s="20" t="n">
        <x:v>45995</x:v>
      </x:c>
    </x:row>
    <x:row r="708" ht="20" customHeight="1">
      <x:c r="A708" t="str">
        <x:v>WO00713</x:v>
      </x:c>
      <x:c r="B708" t="str">
        <x:v>LOT00713</x:v>
      </x:c>
      <x:c r="C708" t="str">
        <x:v>AUTO-MH-A</x:v>
      </x:c>
      <x:c r="D708" t="n">
        <x:v>6919</x:v>
      </x:c>
      <x:c r="E708" t="n">
        <x:v>9926071.35</x:v>
      </x:c>
      <x:c r="F708" t="n">
        <x:v>36.79</x:v>
      </x:c>
      <x:c r="G708" t="n">
        <x:v>0</x:v>
      </x:c>
      <x:c r="H708" t="n">
        <x:v>5.63</x:v>
      </x:c>
      <x:c r="I708" t="n">
        <x:v>1.04</x:v>
      </x:c>
      <x:c r="J708" t="n">
        <x:v>26615.9</x:v>
      </x:c>
      <x:c r="K708" t="n">
        <x:v>572615.87</x:v>
      </x:c>
      <x:c r="L708" t="n">
        <x:v>15193</x:v>
      </x:c>
      <x:c r="M708" t="n">
        <x:f>SUM(E708,J708:L708)</x:f>
        <x:v>10540496.12</x:v>
      </x:c>
      <x:c r="N708" t="n">
        <x:v>1970</x:v>
      </x:c>
      <x:c r="O708" t="n">
        <x:f>D708*N708</x:f>
        <x:v>13630430</x:v>
      </x:c>
      <x:c r="P708" s="22" t="n">
        <x:f>IF(O708=0,0,(M708-O708)/O708)</x:f>
        <x:v>-0.22669379322589242</x:v>
      </x:c>
      <x:c r="Q708" s="20" t="n">
        <x:v>45983</x:v>
      </x:c>
    </x:row>
    <x:row r="709" ht="20" customHeight="1">
      <x:c r="A709" t="str">
        <x:v>WO00702</x:v>
      </x:c>
      <x:c r="B709" t="str">
        <x:v>LOT00702</x:v>
      </x:c>
      <x:c r="C709" t="str">
        <x:v>MECH-STG-B</x:v>
      </x:c>
      <x:c r="D709" t="n">
        <x:v>17</x:v>
      </x:c>
      <x:c r="E709" t="n">
        <x:v>1614657.59</x:v>
      </x:c>
      <x:c r="F709" t="n">
        <x:v>1405.34</x:v>
      </x:c>
      <x:c r="G709" t="n">
        <x:v>4062.29</x:v>
      </x:c>
      <x:c r="H709" t="n">
        <x:v>2739.14</x:v>
      </x:c>
      <x:c r="I709" t="n">
        <x:v>3.14</x:v>
      </x:c>
      <x:c r="J709" t="n">
        <x:v>4340649</x:v>
      </x:c>
      <x:c r="K709" t="n">
        <x:v>145811.4</x:v>
      </x:c>
      <x:c r="L709" t="n">
        <x:v>1785691.6</x:v>
      </x:c>
      <x:c r="M709" t="n">
        <x:f>SUM(E709,J709:L709)</x:f>
        <x:v>7886809.59</x:v>
      </x:c>
      <x:c r="N709" t="n">
        <x:v>151000</x:v>
      </x:c>
      <x:c r="O709" t="n">
        <x:f>D709*N709</x:f>
        <x:v>2567000</x:v>
      </x:c>
      <x:c r="P709" s="22" t="n">
        <x:f>IF(O709=0,0,(M709-O709)/O709)</x:f>
        <x:v>2.072383946240748</x:v>
      </x:c>
      <x:c r="Q709" s="20" t="n">
        <x:v>46016</x:v>
      </x:c>
    </x:row>
    <x:row r="710" ht="20" customHeight="1">
      <x:c r="A710" t="str">
        <x:v>WO00715</x:v>
      </x:c>
      <x:c r="B710" t="str">
        <x:v>LOT00715</x:v>
      </x:c>
      <x:c r="C710" t="str">
        <x:v>MECH-CON-A</x:v>
      </x:c>
      <x:c r="D710" t="n">
        <x:v>10</x:v>
      </x:c>
      <x:c r="E710" t="n">
        <x:v>521233.52</x:v>
      </x:c>
      <x:c r="F710" t="n">
        <x:v>798.37</x:v>
      </x:c>
      <x:c r="G710" t="n">
        <x:v>2814.36</x:v>
      </x:c>
      <x:c r="H710" t="n">
        <x:v>1589.34</x:v>
      </x:c>
      <x:c r="I710" t="n">
        <x:v>3.24</x:v>
      </x:c>
      <x:c r="J710" t="n">
        <x:v>2745290.9</x:v>
      </x:c>
      <x:c r="K710" t="n">
        <x:v>47844.02</x:v>
      </x:c>
      <x:c r="L710" t="n">
        <x:v>1121519</x:v>
      </x:c>
      <x:c r="M710" t="n">
        <x:f>SUM(E710,J710:L710)</x:f>
        <x:v>4435887.4399999995</x:v>
      </x:c>
      <x:c r="N710" t="n">
        <x:v>83000</x:v>
      </x:c>
      <x:c r="O710" t="n">
        <x:f>D710*N710</x:f>
        <x:v>830000</x:v>
      </x:c>
      <x:c r="P710" s="22" t="n">
        <x:f>IF(O710=0,0,(M710-O710)/O710)</x:f>
        <x:v>4.34444269879518</x:v>
      </x:c>
      <x:c r="Q710" s="20" t="n">
        <x:v>45993</x:v>
      </x:c>
    </x:row>
    <x:row r="711" ht="20" customHeight="1">
      <x:c r="A711" t="str">
        <x:v>WO00703</x:v>
      </x:c>
      <x:c r="B711" t="str">
        <x:v>LOT00703</x:v>
      </x:c>
      <x:c r="C711" t="str">
        <x:v>MECH-STG-B</x:v>
      </x:c>
      <x:c r="D711" t="n">
        <x:v>17</x:v>
      </x:c>
      <x:c r="E711" t="n">
        <x:v>1657320.46</x:v>
      </x:c>
      <x:c r="F711" t="n">
        <x:v>1440.04</x:v>
      </x:c>
      <x:c r="G711" t="n">
        <x:v>3758.72</x:v>
      </x:c>
      <x:c r="H711" t="n">
        <x:v>2811.48</x:v>
      </x:c>
      <x:c r="I711" t="n">
        <x:v>2.78</x:v>
      </x:c>
      <x:c r="J711" t="n">
        <x:v>4240070.8</x:v>
      </x:c>
      <x:c r="K711" t="n">
        <x:v>169772.34</x:v>
      </x:c>
      <x:c r="L711" t="n">
        <x:v>1749630</x:v>
      </x:c>
      <x:c r="M711" t="n">
        <x:f>SUM(E711,J711:L711)</x:f>
        <x:v>7816793.6</x:v>
      </x:c>
      <x:c r="N711" t="n">
        <x:v>151000</x:v>
      </x:c>
      <x:c r="O711" t="n">
        <x:f>D711*N711</x:f>
        <x:v>2567000</x:v>
      </x:c>
      <x:c r="P711" s="22" t="n">
        <x:f>IF(O711=0,0,(M711-O711)/O711)</x:f>
        <x:v>2.0451085313595634</x:v>
      </x:c>
      <x:c r="Q711" s="20" t="n">
        <x:v>46012</x:v>
      </x:c>
    </x:row>
    <x:row r="712" ht="20" customHeight="1">
      <x:c r="A712" t="str">
        <x:v>WO00704</x:v>
      </x:c>
      <x:c r="B712" t="str">
        <x:v>LOT00704</x:v>
      </x:c>
      <x:c r="C712" t="str">
        <x:v>MECH-STG-B</x:v>
      </x:c>
      <x:c r="D712" t="n">
        <x:v>16</x:v>
      </x:c>
      <x:c r="E712" t="n">
        <x:v>1604662.12</x:v>
      </x:c>
      <x:c r="F712" t="n">
        <x:v>1201.57</x:v>
      </x:c>
      <x:c r="G712" t="n">
        <x:v>3500.67</x:v>
      </x:c>
      <x:c r="H712" t="n">
        <x:v>2624.41</x:v>
      </x:c>
      <x:c r="I712" t="n">
        <x:v>3.41</x:v>
      </x:c>
      <x:c r="J712" t="n">
        <x:v>3861085.7</x:v>
      </x:c>
      <x:c r="K712" t="n">
        <x:v>149833.62</x:v>
      </x:c>
      <x:c r="L712" t="n">
        <x:v>1577659.2</x:v>
      </x:c>
      <x:c r="M712" t="n">
        <x:f>SUM(E712,J712:L712)</x:f>
        <x:v>7193240.640000001</x:v>
      </x:c>
      <x:c r="N712" t="n">
        <x:v>151000</x:v>
      </x:c>
      <x:c r="O712" t="n">
        <x:f>D712*N712</x:f>
        <x:v>2416000</x:v>
      </x:c>
      <x:c r="P712" s="22" t="n">
        <x:f>IF(O712=0,0,(M712-O712)/O712)</x:f>
        <x:v>1.9773347019867553</x:v>
      </x:c>
      <x:c r="Q712" s="20" t="n">
        <x:v>46013</x:v>
      </x:c>
    </x:row>
    <x:row r="713" ht="20" customHeight="1">
      <x:c r="A713" t="str">
        <x:v>WO00717</x:v>
      </x:c>
      <x:c r="B713" t="str">
        <x:v>LOT00717</x:v>
      </x:c>
      <x:c r="C713" t="str">
        <x:v>PM-VAC-B</x:v>
      </x:c>
      <x:c r="D713" t="n">
        <x:v>293</x:v>
      </x:c>
      <x:c r="E713" t="n">
        <x:v>2760414.13</x:v>
      </x:c>
      <x:c r="F713" t="n">
        <x:v>2.74</x:v>
      </x:c>
      <x:c r="G713" t="n">
        <x:v>0</x:v>
      </x:c>
      <x:c r="H713" t="n">
        <x:v>0.48</x:v>
      </x:c>
      <x:c r="I713" t="n">
        <x:v>1.53</x:v>
      </x:c>
      <x:c r="J713" t="n">
        <x:v>2011.4</x:v>
      </x:c>
      <x:c r="K713" t="n">
        <x:v>306247.45</x:v>
      </x:c>
      <x:c r="L713" t="n">
        <x:v>1577</x:v>
      </x:c>
      <x:c r="M713" t="n">
        <x:f>SUM(E713,J713:L713)</x:f>
        <x:v>3070249.98</x:v>
      </x:c>
      <x:c r="N713" t="n">
        <x:v>15500</x:v>
      </x:c>
      <x:c r="O713" t="n">
        <x:f>D713*N713</x:f>
        <x:v>4541500</x:v>
      </x:c>
      <x:c r="P713" s="22" t="n">
        <x:f>IF(O713=0,0,(M713-O713)/O713)</x:f>
        <x:v>-0.3239568468567654</x:v>
      </x:c>
      <x:c r="Q713" s="20" t="n">
        <x:v>45993</x:v>
      </x:c>
    </x:row>
    <x:row r="714" ht="20" customHeight="1">
      <x:c r="A714" t="str">
        <x:v>WO00705</x:v>
      </x:c>
      <x:c r="B714" t="str">
        <x:v>LOT00705</x:v>
      </x:c>
      <x:c r="C714" t="str">
        <x:v>SEMI-CHB-B</x:v>
      </x:c>
      <x:c r="D714" t="n">
        <x:v>59</x:v>
      </x:c>
      <x:c r="E714" t="n">
        <x:v>4241552.02</x:v>
      </x:c>
      <x:c r="F714" t="n">
        <x:v>1.55</x:v>
      </x:c>
      <x:c r="G714" t="n">
        <x:v>0</x:v>
      </x:c>
      <x:c r="H714" t="n">
        <x:v>0.57</x:v>
      </x:c>
      <x:c r="I714" t="n">
        <x:v>2.54</x:v>
      </x:c>
      <x:c r="J714" t="n">
        <x:v>1281.1</x:v>
      </x:c>
      <x:c r="K714" t="n">
        <x:v>447829.08</x:v>
      </x:c>
      <x:c r="L714" t="n">
        <x:v>1442.2</x:v>
      </x:c>
      <x:c r="M714" t="n">
        <x:f>SUM(E714,J714:L714)</x:f>
        <x:v>4692104.399999999</x:v>
      </x:c>
      <x:c r="N714" t="n">
        <x:v>111000</x:v>
      </x:c>
      <x:c r="O714" t="n">
        <x:f>D714*N714</x:f>
        <x:v>6549000</x:v>
      </x:c>
      <x:c r="P714" s="22" t="n">
        <x:f>IF(O714=0,0,(M714-O714)/O714)</x:f>
        <x:v>-0.283538799816766</x:v>
      </x:c>
      <x:c r="Q714" s="20" t="n">
        <x:v>46017</x:v>
      </x:c>
    </x:row>
    <x:row r="715" ht="20" customHeight="1">
      <x:c r="A715" t="str">
        <x:v>WO00714</x:v>
      </x:c>
      <x:c r="B715" t="str">
        <x:v>LOT00714</x:v>
      </x:c>
      <x:c r="C715" t="str">
        <x:v>PM-BRG-B</x:v>
      </x:c>
      <x:c r="D715" t="n">
        <x:v>287</x:v>
      </x:c>
      <x:c r="E715" t="n">
        <x:v>960058.58</x:v>
      </x:c>
      <x:c r="F715" t="n">
        <x:v>2.59</x:v>
      </x:c>
      <x:c r="G715" t="n">
        <x:v>0</x:v>
      </x:c>
      <x:c r="H715" t="n">
        <x:v>0.62</x:v>
      </x:c>
      <x:c r="I715" t="n">
        <x:v>1.85</x:v>
      </x:c>
      <x:c r="J715" t="n">
        <x:v>1981.1</x:v>
      </x:c>
      <x:c r="K715" t="n">
        <x:v>76808.47</x:v>
      </x:c>
      <x:c r="L715" t="n">
        <x:v>1638.4</x:v>
      </x:c>
      <x:c r="M715" t="n">
        <x:f>SUM(E715,J715:L715)</x:f>
        <x:v>1040486.5499999999</x:v>
      </x:c>
      <x:c r="N715" t="n">
        <x:v>5400</x:v>
      </x:c>
      <x:c r="O715" t="n">
        <x:f>D715*N715</x:f>
        <x:v>1549800</x:v>
      </x:c>
      <x:c r="P715" s="22" t="n">
        <x:f>IF(O715=0,0,(M715-O715)/O715)</x:f>
        <x:v>-0.32863172667440965</x:v>
      </x:c>
      <x:c r="Q715" s="20" t="n">
        <x:v>45979</x:v>
      </x:c>
    </x:row>
    <x:row r="716" ht="20" customHeight="1">
      <x:c r="A716" t="str">
        <x:v>WO00706</x:v>
      </x:c>
      <x:c r="B716" t="str">
        <x:v>LOT00706</x:v>
      </x:c>
      <x:c r="C716" t="str">
        <x:v>PM-VAC-B</x:v>
      </x:c>
      <x:c r="D716" t="n">
        <x:v>488</x:v>
      </x:c>
      <x:c r="E716" t="n">
        <x:v>4641872.14</x:v>
      </x:c>
      <x:c r="F716" t="n">
        <x:v>4.49</x:v>
      </x:c>
      <x:c r="G716" t="n">
        <x:v>0</x:v>
      </x:c>
      <x:c r="H716" t="n">
        <x:v>1</x:v>
      </x:c>
      <x:c r="I716" t="n">
        <x:v>1.58</x:v>
      </x:c>
      <x:c r="J716" t="n">
        <x:v>3398.5</x:v>
      </x:c>
      <x:c r="K716" t="n">
        <x:v>536512.35</x:v>
      </x:c>
      <x:c r="L716" t="n">
        <x:v>2340.2</x:v>
      </x:c>
      <x:c r="M716" t="n">
        <x:f>SUM(E716,J716:L716)</x:f>
        <x:v>5184123.1899999995</x:v>
      </x:c>
      <x:c r="N716" t="n">
        <x:v>15500</x:v>
      </x:c>
      <x:c r="O716" t="n">
        <x:f>D716*N716</x:f>
        <x:v>7564000</x:v>
      </x:c>
      <x:c r="P716" s="22" t="n">
        <x:f>IF(O716=0,0,(M716-O716)/O716)</x:f>
        <x:v>-0.3146320478582761</x:v>
      </x:c>
      <x:c r="Q716" s="20" t="n">
        <x:v>46001</x:v>
      </x:c>
    </x:row>
    <x:row r="717" ht="20" customHeight="1">
      <x:c r="A717" t="str">
        <x:v>WO00712</x:v>
      </x:c>
      <x:c r="B717" t="str">
        <x:v>LOT00712</x:v>
      </x:c>
      <x:c r="C717" t="str">
        <x:v>PM-VAC-A</x:v>
      </x:c>
      <x:c r="D717" t="n">
        <x:v>583</x:v>
      </x:c>
      <x:c r="E717" t="n">
        <x:v>3822460.36</x:v>
      </x:c>
      <x:c r="F717" t="n">
        <x:v>5.1</x:v>
      </x:c>
      <x:c r="G717" t="n">
        <x:v>0</x:v>
      </x:c>
      <x:c r="H717" t="n">
        <x:v>0.99</x:v>
      </x:c>
      <x:c r="I717" t="n">
        <x:v>1.73</x:v>
      </x:c>
      <x:c r="J717" t="n">
        <x:v>3790.2</x:v>
      </x:c>
      <x:c r="K717" t="n">
        <x:v>530363.26</x:v>
      </x:c>
      <x:c r="L717" t="n">
        <x:v>2615.4</x:v>
      </x:c>
      <x:c r="M717" t="n">
        <x:f>SUM(E717,J717:L717)</x:f>
        <x:v>4359229.22</x:v>
      </x:c>
      <x:c r="N717" t="n">
        <x:v>10800</x:v>
      </x:c>
      <x:c r="O717" t="n">
        <x:f>D717*N717</x:f>
        <x:v>6296400</x:v>
      </x:c>
      <x:c r="P717" s="22" t="n">
        <x:f>IF(O717=0,0,(M717-O717)/O717)</x:f>
        <x:v>-0.307663232958516</x:v>
      </x:c>
      <x:c r="Q717" s="20" t="n">
        <x:v>45999</x:v>
      </x:c>
    </x:row>
    <x:row r="718" ht="20" customHeight="1">
      <x:c r="A718" t="str">
        <x:v>WO00716</x:v>
      </x:c>
      <x:c r="B718" t="str">
        <x:v>LOT00716</x:v>
      </x:c>
      <x:c r="C718" t="str">
        <x:v>AUTO-BS-B</x:v>
      </x:c>
      <x:c r="D718" t="n">
        <x:v>6992</x:v>
      </x:c>
      <x:c r="E718" t="n">
        <x:v>2736009.4</x:v>
      </x:c>
      <x:c r="F718" t="n">
        <x:v>35.45</x:v>
      </x:c>
      <x:c r="G718" t="n">
        <x:v>0</x:v>
      </x:c>
      <x:c r="H718" t="n">
        <x:v>5.73</x:v>
      </x:c>
      <x:c r="I718" t="n">
        <x:v>1.23</x:v>
      </x:c>
      <x:c r="J718" t="n">
        <x:v>25792.9</x:v>
      </x:c>
      <x:c r="K718" t="n">
        <x:v>252432.81</x:v>
      </x:c>
      <x:c r="L718" t="n">
        <x:v>14756.8</x:v>
      </x:c>
      <x:c r="M718" t="n">
        <x:f>SUM(E718,J718:L718)</x:f>
        <x:v>3028991.91</x:v>
      </x:c>
      <x:c r="N718" t="n">
        <x:v>650</x:v>
      </x:c>
      <x:c r="O718" t="n">
        <x:f>D718*N718</x:f>
        <x:v>4544800</x:v>
      </x:c>
      <x:c r="P718" s="22" t="n">
        <x:f>IF(O718=0,0,(M718-O718)/O718)</x:f>
        <x:v>-0.3335258075162823</x:v>
      </x:c>
      <x:c r="Q718" s="20" t="n">
        <x:v>45978</x:v>
      </x:c>
    </x:row>
    <x:row r="719" ht="20" customHeight="1">
      <x:c r="A719" t="str">
        <x:v>WO00708</x:v>
      </x:c>
      <x:c r="B719" t="str">
        <x:v>LOT00708</x:v>
      </x:c>
      <x:c r="C719" t="str">
        <x:v>AUTO-MH-B</x:v>
      </x:c>
      <x:c r="D719" t="n">
        <x:v>4973</x:v>
      </x:c>
      <x:c r="E719" t="n">
        <x:v>7857971.82</x:v>
      </x:c>
      <x:c r="F719" t="n">
        <x:v>25.94</x:v>
      </x:c>
      <x:c r="G719" t="n">
        <x:v>0</x:v>
      </x:c>
      <x:c r="H719" t="n">
        <x:v>4.43</x:v>
      </x:c>
      <x:c r="I719" t="n">
        <x:v>1.14</x:v>
      </x:c>
      <x:c r="J719" t="n">
        <x:v>18987.4</x:v>
      </x:c>
      <x:c r="K719" t="n">
        <x:v>500102.87</x:v>
      </x:c>
      <x:c r="L719" t="n">
        <x:v>10908</x:v>
      </x:c>
      <x:c r="M719" t="n">
        <x:f>SUM(E719,J719:L719)</x:f>
        <x:v>8387970.09</x:v>
      </x:c>
      <x:c r="N719" t="n">
        <x:v>2320</x:v>
      </x:c>
      <x:c r="O719" t="n">
        <x:f>D719*N719</x:f>
        <x:v>11537360</x:v>
      </x:c>
      <x:c r="P719" s="22" t="n">
        <x:f>IF(O719=0,0,(M719-O719)/O719)</x:f>
        <x:v>-0.27297318537343035</x:v>
      </x:c>
      <x:c r="Q719" s="20" t="n">
        <x:v>45992</x:v>
      </x:c>
    </x:row>
    <x:row r="720" ht="20" customHeight="1">
      <x:c r="A720" t="str">
        <x:v>WO00711</x:v>
      </x:c>
      <x:c r="B720" t="str">
        <x:v>LOT00711</x:v>
      </x:c>
      <x:c r="C720" t="str">
        <x:v>PM-VAC-A</x:v>
      </x:c>
      <x:c r="D720" t="n">
        <x:v>592</x:v>
      </x:c>
      <x:c r="E720" t="n">
        <x:v>3631411.49</x:v>
      </x:c>
      <x:c r="F720" t="n">
        <x:v>5.46</x:v>
      </x:c>
      <x:c r="G720" t="n">
        <x:v>0</x:v>
      </x:c>
      <x:c r="H720" t="n">
        <x:v>1.18</x:v>
      </x:c>
      <x:c r="I720" t="n">
        <x:v>1.81</x:v>
      </x:c>
      <x:c r="J720" t="n">
        <x:v>4115.4</x:v>
      </x:c>
      <x:c r="K720" t="n">
        <x:v>441488.97</x:v>
      </x:c>
      <x:c r="L720" t="n">
        <x:v>2806.6</x:v>
      </x:c>
      <x:c r="M720" t="n">
        <x:f>SUM(E720,J720:L720)</x:f>
        <x:v>4079822.46</x:v>
      </x:c>
      <x:c r="N720" t="n">
        <x:v>10800</x:v>
      </x:c>
      <x:c r="O720" t="n">
        <x:f>D720*N720</x:f>
        <x:v>6393600</x:v>
      </x:c>
      <x:c r="P720" s="22" t="n">
        <x:f>IF(O720=0,0,(M720-O720)/O720)</x:f>
        <x:v>-0.3618896302552553</x:v>
      </x:c>
      <x:c r="Q720" s="20" t="n">
        <x:v>45998</x:v>
      </x:c>
    </x:row>
    <x:row r="721" ht="20" customHeight="1">
      <x:c r="A721" t="str">
        <x:v>WO00729</x:v>
      </x:c>
      <x:c r="B721" t="str">
        <x:v>LOT00729</x:v>
      </x:c>
      <x:c r="C721" t="str">
        <x:v>PM-BRG-B</x:v>
      </x:c>
      <x:c r="D721" t="n">
        <x:v>295</x:v>
      </x:c>
      <x:c r="E721" t="n">
        <x:v>992883.89</x:v>
      </x:c>
      <x:c r="F721" t="n">
        <x:v>2.53</x:v>
      </x:c>
      <x:c r="G721" t="n">
        <x:v>0</x:v>
      </x:c>
      <x:c r="H721" t="n">
        <x:v>0.51</x:v>
      </x:c>
      <x:c r="I721" t="n">
        <x:v>1.99</x:v>
      </x:c>
      <x:c r="J721" t="n">
        <x:v>1889.3</x:v>
      </x:c>
      <x:c r="K721" t="n">
        <x:v>83148.1</x:v>
      </x:c>
      <x:c r="L721" t="n">
        <x:v>1640</x:v>
      </x:c>
      <x:c r="M721" t="n">
        <x:f>SUM(E721,J721:L721)</x:f>
        <x:v>1079561.29</x:v>
      </x:c>
      <x:c r="N721" t="n">
        <x:v>5400</x:v>
      </x:c>
      <x:c r="O721" t="n">
        <x:f>D721*N721</x:f>
        <x:v>1593000</x:v>
      </x:c>
      <x:c r="P721" s="22" t="n">
        <x:f>IF(O721=0,0,(M721-O721)/O721)</x:f>
        <x:v>-0.32230929692404264</x:v>
      </x:c>
      <x:c r="Q721" s="20" t="n">
        <x:v>45987</x:v>
      </x:c>
    </x:row>
    <x:row r="722" ht="20" customHeight="1">
      <x:c r="A722" t="str">
        <x:v>WO00707</x:v>
      </x:c>
      <x:c r="B722" t="str">
        <x:v>LOT00707</x:v>
      </x:c>
      <x:c r="C722" t="str">
        <x:v>AUTO-MH-B</x:v>
      </x:c>
      <x:c r="D722" t="n">
        <x:v>4968</x:v>
      </x:c>
      <x:c r="E722" t="n">
        <x:v>7932413.43</x:v>
      </x:c>
      <x:c r="F722" t="n">
        <x:v>23.77</x:v>
      </x:c>
      <x:c r="G722" t="n">
        <x:v>0</x:v>
      </x:c>
      <x:c r="H722" t="n">
        <x:v>3.9</x:v>
      </x:c>
      <x:c r="I722" t="n">
        <x:v>1.34</x:v>
      </x:c>
      <x:c r="J722" t="n">
        <x:v>17322.5</x:v>
      </x:c>
      <x:c r="K722" t="n">
        <x:v>452861.99</x:v>
      </x:c>
      <x:c r="L722" t="n">
        <x:v>10058.6</x:v>
      </x:c>
      <x:c r="M722" t="n">
        <x:f>SUM(E722,J722:L722)</x:f>
        <x:v>8412656.52</x:v>
      </x:c>
      <x:c r="N722" t="n">
        <x:v>2320</x:v>
      </x:c>
      <x:c r="O722" t="n">
        <x:f>D722*N722</x:f>
        <x:v>11525760</x:v>
      </x:c>
      <x:c r="P722" s="22" t="n">
        <x:f>IF(O722=0,0,(M722-O722)/O722)</x:f>
        <x:v>-0.27009962726969855</x:v>
      </x:c>
      <x:c r="Q722" s="20" t="n">
        <x:v>45993</x:v>
      </x:c>
    </x:row>
    <x:row r="723" ht="20" customHeight="1">
      <x:c r="A723" t="str">
        <x:v>WO00740</x:v>
      </x:c>
      <x:c r="B723" t="str">
        <x:v>LOT00740</x:v>
      </x:c>
      <x:c r="C723" t="str">
        <x:v>MECH-STG-B</x:v>
      </x:c>
      <x:c r="D723" t="n">
        <x:v>10</x:v>
      </x:c>
      <x:c r="E723" t="n">
        <x:v>955649</x:v>
      </x:c>
      <x:c r="F723" t="n">
        <x:v>764.03</x:v>
      </x:c>
      <x:c r="G723" t="n">
        <x:v>2799.41</x:v>
      </x:c>
      <x:c r="H723" t="n">
        <x:v>1688.09</x:v>
      </x:c>
      <x:c r="I723" t="n">
        <x:v>2.92</x:v>
      </x:c>
      <x:c r="J723" t="n">
        <x:v>2762595.9</x:v>
      </x:c>
      <x:c r="K723" t="n">
        <x:v>83173.6</x:v>
      </x:c>
      <x:c r="L723" t="n">
        <x:v>1121183.8</x:v>
      </x:c>
      <x:c r="M723" t="n">
        <x:f>SUM(E723,J723:L723)</x:f>
        <x:v>4922602.3</x:v>
      </x:c>
      <x:c r="N723" t="n">
        <x:v>151000</x:v>
      </x:c>
      <x:c r="O723" t="n">
        <x:f>D723*N723</x:f>
        <x:v>1510000</x:v>
      </x:c>
      <x:c r="P723" s="22" t="n">
        <x:f>IF(O723=0,0,(M723-O723)/O723)</x:f>
        <x:v>2.2600015231788078</x:v>
      </x:c>
      <x:c r="Q723" s="20" t="n">
        <x:v>46024</x:v>
      </x:c>
    </x:row>
    <x:row r="724" ht="20" customHeight="1">
      <x:c r="A724" t="str">
        <x:v>WO00732</x:v>
      </x:c>
      <x:c r="B724" t="str">
        <x:v>LOT00732</x:v>
      </x:c>
      <x:c r="C724" t="str">
        <x:v>MECH-CON-A</x:v>
      </x:c>
      <x:c r="D724" t="n">
        <x:v>10</x:v>
      </x:c>
      <x:c r="E724" t="n">
        <x:v>513638.97</x:v>
      </x:c>
      <x:c r="F724" t="n">
        <x:v>853.75</x:v>
      </x:c>
      <x:c r="G724" t="n">
        <x:v>2422.04</x:v>
      </x:c>
      <x:c r="H724" t="n">
        <x:v>1850.77</x:v>
      </x:c>
      <x:c r="I724" t="n">
        <x:v>2.86</x:v>
      </x:c>
      <x:c r="J724" t="n">
        <x:v>2702767.9</x:v>
      </x:c>
      <x:c r="K724" t="n">
        <x:v>46448</x:v>
      </x:c>
      <x:c r="L724" t="n">
        <x:v>1105814.2</x:v>
      </x:c>
      <x:c r="M724" t="n">
        <x:f>SUM(E724,J724:L724)</x:f>
        <x:v>4368669.069999999</x:v>
      </x:c>
      <x:c r="N724" t="n">
        <x:v>83000</x:v>
      </x:c>
      <x:c r="O724" t="n">
        <x:f>D724*N724</x:f>
        <x:v>830000</x:v>
      </x:c>
      <x:c r="P724" s="22" t="n">
        <x:f>IF(O724=0,0,(M724-O724)/O724)</x:f>
        <x:v>4.263456710843372</x:v>
      </x:c>
      <x:c r="Q724" s="20" t="n">
        <x:v>46008</x:v>
      </x:c>
    </x:row>
    <x:row r="725" ht="20" customHeight="1">
      <x:c r="A725" t="str">
        <x:v>WO00741</x:v>
      </x:c>
      <x:c r="B725" t="str">
        <x:v>LOT00741</x:v>
      </x:c>
      <x:c r="C725" t="str">
        <x:v>SEMI-CHB-A</x:v>
      </x:c>
      <x:c r="D725" t="n">
        <x:v>39</x:v>
      </x:c>
      <x:c r="E725" t="n">
        <x:v>1776499.48</x:v>
      </x:c>
      <x:c r="F725" t="n">
        <x:v>1.02</x:v>
      </x:c>
      <x:c r="G725" t="n">
        <x:v>0</x:v>
      </x:c>
      <x:c r="H725" t="n">
        <x:v>0.35</x:v>
      </x:c>
      <x:c r="I725" t="n">
        <x:v>2.52</x:v>
      </x:c>
      <x:c r="J725" t="n">
        <x:v>831</x:v>
      </x:c>
      <x:c r="K725" t="n">
        <x:v>182532.8</x:v>
      </x:c>
      <x:c r="L725" t="n">
        <x:v>1199.6</x:v>
      </x:c>
      <x:c r="M725" t="n">
        <x:f>SUM(E725,J725:L725)</x:f>
        <x:v>1961062.88</x:v>
      </x:c>
      <x:c r="N725" t="n">
        <x:v>70000</x:v>
      </x:c>
      <x:c r="O725" t="n">
        <x:f>D725*N725</x:f>
        <x:v>2730000</x:v>
      </x:c>
      <x:c r="P725" s="22" t="n">
        <x:f>IF(O725=0,0,(M725-O725)/O725)</x:f>
        <x:v>-0.28166194871794875</x:v>
      </x:c>
      <x:c r="Q725" s="20" t="n">
        <x:v>46024</x:v>
      </x:c>
    </x:row>
    <x:row r="726" ht="20" customHeight="1">
      <x:c r="A726" t="str">
        <x:v>WO00730</x:v>
      </x:c>
      <x:c r="B726" t="str">
        <x:v>LOT00730</x:v>
      </x:c>
      <x:c r="C726" t="str">
        <x:v>AUTO-BS-A</x:v>
      </x:c>
      <x:c r="D726" t="n">
        <x:v>4959</x:v>
      </x:c>
      <x:c r="E726" t="n">
        <x:v>1562344.35</x:v>
      </x:c>
      <x:c r="F726" t="n">
        <x:v>25.77</x:v>
      </x:c>
      <x:c r="G726" t="n">
        <x:v>0</x:v>
      </x:c>
      <x:c r="H726" t="n">
        <x:v>3.64</x:v>
      </x:c>
      <x:c r="I726" t="n">
        <x:v>1.33</x:v>
      </x:c>
      <x:c r="J726" t="n">
        <x:v>18497.7</x:v>
      </x:c>
      <x:c r="K726" t="n">
        <x:v>145722.04</x:v>
      </x:c>
      <x:c r="L726" t="n">
        <x:v>10774</x:v>
      </x:c>
      <x:c r="M726" t="n">
        <x:f>SUM(E726,J726:L726)</x:f>
        <x:v>1737338.09</x:v>
      </x:c>
      <x:c r="N726" t="n">
        <x:v>550</x:v>
      </x:c>
      <x:c r="O726" t="n">
        <x:f>D726*N726</x:f>
        <x:v>2727450</x:v>
      </x:c>
      <x:c r="P726" s="22" t="n">
        <x:f>IF(O726=0,0,(M726-O726)/O726)</x:f>
        <x:v>-0.36301743753322696</x:v>
      </x:c>
      <x:c r="Q726" s="20" t="n">
        <x:v>45991</x:v>
      </x:c>
    </x:row>
    <x:row r="727" ht="20" customHeight="1">
      <x:c r="A727" t="str">
        <x:v>WO00728</x:v>
      </x:c>
      <x:c r="B727" t="str">
        <x:v>LOT00728</x:v>
      </x:c>
      <x:c r="C727" t="str">
        <x:v>PM-ALB-A</x:v>
      </x:c>
      <x:c r="D727" t="n">
        <x:v>777</x:v>
      </x:c>
      <x:c r="E727" t="n">
        <x:v>4383150.14</x:v>
      </x:c>
      <x:c r="F727" t="n">
        <x:v>7.49</x:v>
      </x:c>
      <x:c r="G727" t="n">
        <x:v>0</x:v>
      </x:c>
      <x:c r="H727" t="n">
        <x:v>1.42</x:v>
      </x:c>
      <x:c r="I727" t="n">
        <x:v>1.91</x:v>
      </x:c>
      <x:c r="J727" t="n">
        <x:v>5550.1</x:v>
      </x:c>
      <x:c r="K727" t="n">
        <x:v>241500.23</x:v>
      </x:c>
      <x:c r="L727" t="n">
        <x:v>3646.4</x:v>
      </x:c>
      <x:c r="M727" t="n">
        <x:f>SUM(E727,J727:L727)</x:f>
        <x:v>4633846.87</x:v>
      </x:c>
      <x:c r="N727" t="n">
        <x:v>8100</x:v>
      </x:c>
      <x:c r="O727" t="n">
        <x:f>D727*N727</x:f>
        <x:v>6293700</x:v>
      </x:c>
      <x:c r="P727" s="22" t="n">
        <x:f>IF(O727=0,0,(M727-O727)/O727)</x:f>
        <x:v>-0.2637324832769277</x:v>
      </x:c>
      <x:c r="Q727" s="20" t="n">
        <x:v>46008</x:v>
      </x:c>
    </x:row>
    <x:row r="728" ht="20" customHeight="1">
      <x:c r="A728" t="str">
        <x:v>WO00727</x:v>
      </x:c>
      <x:c r="B728" t="str">
        <x:v>LOT00727</x:v>
      </x:c>
      <x:c r="C728" t="str">
        <x:v>PM-ALB-A</x:v>
      </x:c>
      <x:c r="D728" t="n">
        <x:v>786</x:v>
      </x:c>
      <x:c r="E728" t="n">
        <x:v>4445682.36</x:v>
      </x:c>
      <x:c r="F728" t="n">
        <x:v>6.9</x:v>
      </x:c>
      <x:c r="G728" t="n">
        <x:v>0</x:v>
      </x:c>
      <x:c r="H728" t="n">
        <x:v>1.63</x:v>
      </x:c>
      <x:c r="I728" t="n">
        <x:v>1.65</x:v>
      </x:c>
      <x:c r="J728" t="n">
        <x:v>5267.4</x:v>
      </x:c>
      <x:c r="K728" t="n">
        <x:v>267707.7</x:v>
      </x:c>
      <x:c r="L728" t="n">
        <x:v>3377.8</x:v>
      </x:c>
      <x:c r="M728" t="n">
        <x:f>SUM(E728,J728:L728)</x:f>
        <x:v>4722035.260000001</x:v>
      </x:c>
      <x:c r="N728" t="n">
        <x:v>8100</x:v>
      </x:c>
      <x:c r="O728" t="n">
        <x:f>D728*N728</x:f>
        <x:v>6366600</x:v>
      </x:c>
      <x:c r="P728" s="22" t="n">
        <x:f>IF(O728=0,0,(M728-O728)/O728)</x:f>
        <x:v>-0.2583113027361542</x:v>
      </x:c>
      <x:c r="Q728" s="20" t="n">
        <x:v>46002</x:v>
      </x:c>
    </x:row>
    <x:row r="729" ht="20" customHeight="1">
      <x:c r="A729" t="str">
        <x:v>WO00733</x:v>
      </x:c>
      <x:c r="B729" t="str">
        <x:v>LOT00733</x:v>
      </x:c>
      <x:c r="C729" t="str">
        <x:v>MECH-STG-B</x:v>
      </x:c>
      <x:c r="D729" t="n">
        <x:v>17</x:v>
      </x:c>
      <x:c r="E729" t="n">
        <x:v>1606278.78</x:v>
      </x:c>
      <x:c r="F729" t="n">
        <x:v>1344.5</x:v>
      </x:c>
      <x:c r="G729" t="n">
        <x:v>3761.51</x:v>
      </x:c>
      <x:c r="H729" t="n">
        <x:v>2989.81</x:v>
      </x:c>
      <x:c r="I729" t="n">
        <x:v>3.09</x:v>
      </x:c>
      <x:c r="J729" t="n">
        <x:v>4265019</x:v>
      </x:c>
      <x:c r="K729" t="n">
        <x:v>149386.92</x:v>
      </x:c>
      <x:c r="L729" t="n">
        <x:v>1742508.6</x:v>
      </x:c>
      <x:c r="M729" t="n">
        <x:f>SUM(E729,J729:L729)</x:f>
        <x:v>7763193.3</x:v>
      </x:c>
      <x:c r="N729" t="n">
        <x:v>151000</x:v>
      </x:c>
      <x:c r="O729" t="n">
        <x:f>D729*N729</x:f>
        <x:v>2567000</x:v>
      </x:c>
      <x:c r="P729" s="22" t="n">
        <x:f>IF(O729=0,0,(M729-O729)/O729)</x:f>
        <x:v>2.024228009349435</x:v>
      </x:c>
      <x:c r="Q729" s="20" t="n">
        <x:v>46039</x:v>
      </x:c>
    </x:row>
    <x:row r="730" ht="20" customHeight="1">
      <x:c r="A730" t="str">
        <x:v>WO00734</x:v>
      </x:c>
      <x:c r="B730" t="str">
        <x:v>LOT00734</x:v>
      </x:c>
      <x:c r="C730" t="str">
        <x:v>MECH-STG-B</x:v>
      </x:c>
      <x:c r="D730" t="n">
        <x:v>17</x:v>
      </x:c>
      <x:c r="E730" t="n">
        <x:v>1664252</x:v>
      </x:c>
      <x:c r="F730" t="n">
        <x:v>1210.79</x:v>
      </x:c>
      <x:c r="G730" t="n">
        <x:v>3781.91</x:v>
      </x:c>
      <x:c r="H730" t="n">
        <x:v>2830.31</x:v>
      </x:c>
      <x:c r="I730" t="n">
        <x:v>2.94</x:v>
      </x:c>
      <x:c r="J730" t="n">
        <x:v>4112155.5</x:v>
      </x:c>
      <x:c r="K730" t="n">
        <x:v>141129.96</x:v>
      </x:c>
      <x:c r="L730" t="n">
        <x:v>1670213.8</x:v>
      </x:c>
      <x:c r="M730" t="n">
        <x:f>SUM(E730,J730:L730)</x:f>
        <x:v>7587751.26</x:v>
      </x:c>
      <x:c r="N730" t="n">
        <x:v>151000</x:v>
      </x:c>
      <x:c r="O730" t="n">
        <x:f>D730*N730</x:f>
        <x:v>2567000</x:v>
      </x:c>
      <x:c r="P730" s="22" t="n">
        <x:f>IF(O730=0,0,(M730-O730)/O730)</x:f>
        <x:v>1.9558828437865212</x:v>
      </x:c>
      <x:c r="Q730" s="20" t="n">
        <x:v>46031</x:v>
      </x:c>
    </x:row>
    <x:row r="731" ht="20" customHeight="1">
      <x:c r="A731" t="str">
        <x:v>WO00723</x:v>
      </x:c>
      <x:c r="B731" t="str">
        <x:v>LOT00723</x:v>
      </x:c>
      <x:c r="C731" t="str">
        <x:v>SEMI-CHB-A</x:v>
      </x:c>
      <x:c r="D731" t="n">
        <x:v>79</x:v>
      </x:c>
      <x:c r="E731" t="n">
        <x:v>3417038.75</x:v>
      </x:c>
      <x:c r="F731" t="n">
        <x:v>2.19</x:v>
      </x:c>
      <x:c r="G731" t="n">
        <x:v>0</x:v>
      </x:c>
      <x:c r="H731" t="n">
        <x:v>0.74</x:v>
      </x:c>
      <x:c r="I731" t="n">
        <x:v>2.92</x:v>
      </x:c>
      <x:c r="J731" t="n">
        <x:v>1778.7</x:v>
      </x:c>
      <x:c r="K731" t="n">
        <x:v>441193.32</x:v>
      </x:c>
      <x:c r="L731" t="n">
        <x:v>1826.6</x:v>
      </x:c>
      <x:c r="M731" t="n">
        <x:f>SUM(E731,J731:L731)</x:f>
        <x:v>3861837.37</x:v>
      </x:c>
      <x:c r="N731" t="n">
        <x:v>70000</x:v>
      </x:c>
      <x:c r="O731" t="n">
        <x:f>D731*N731</x:f>
        <x:v>5530000</x:v>
      </x:c>
      <x:c r="P731" s="22" t="n">
        <x:f>IF(O731=0,0,(M731-O731)/O731)</x:f>
        <x:v>-0.3016568951175407</x:v>
      </x:c>
      <x:c r="Q731" s="20" t="n">
        <x:v>46038</x:v>
      </x:c>
    </x:row>
    <x:row r="732" ht="20" customHeight="1">
      <x:c r="A732" t="str">
        <x:v>WO00726</x:v>
      </x:c>
      <x:c r="B732" t="str">
        <x:v>LOT00726</x:v>
      </x:c>
      <x:c r="C732" t="str">
        <x:v>AUTO-BRK-B</x:v>
      </x:c>
      <x:c r="D732" t="n">
        <x:v>4945</x:v>
      </x:c>
      <x:c r="E732" t="n">
        <x:v>5805920.45</x:v>
      </x:c>
      <x:c r="F732" t="n">
        <x:v>25.99</x:v>
      </x:c>
      <x:c r="G732" t="n">
        <x:v>0</x:v>
      </x:c>
      <x:c r="H732" t="n">
        <x:v>3.56</x:v>
      </x:c>
      <x:c r="I732" t="n">
        <x:v>1.12</x:v>
      </x:c>
      <x:c r="J732" t="n">
        <x:v>18602.3</x:v>
      </x:c>
      <x:c r="K732" t="n">
        <x:v>481820.55</x:v>
      </x:c>
      <x:c r="L732" t="n">
        <x:v>10781.8</x:v>
      </x:c>
      <x:c r="M732" t="n">
        <x:f>SUM(E732,J732:L732)</x:f>
        <x:v>6317125.100000001</x:v>
      </x:c>
      <x:c r="N732" t="n">
        <x:v>1660</x:v>
      </x:c>
      <x:c r="O732" t="n">
        <x:f>D732*N732</x:f>
        <x:v>8208700</x:v>
      </x:c>
      <x:c r="P732" s="22" t="n">
        <x:f>IF(O732=0,0,(M732-O732)/O732)</x:f>
        <x:v>-0.23043537953634552</x:v>
      </x:c>
      <x:c r="Q732" s="20" t="n">
        <x:v>46006</x:v>
      </x:c>
    </x:row>
    <x:row r="733" ht="20" customHeight="1">
      <x:c r="A733" t="str">
        <x:v>WO00735</x:v>
      </x:c>
      <x:c r="B733" t="str">
        <x:v>LOT00735</x:v>
      </x:c>
      <x:c r="C733" t="str">
        <x:v>MECH-STG-B</x:v>
      </x:c>
      <x:c r="D733" t="n">
        <x:v>16</x:v>
      </x:c>
      <x:c r="E733" t="n">
        <x:v>1630925.05</x:v>
      </x:c>
      <x:c r="F733" t="n">
        <x:v>1311.81</x:v>
      </x:c>
      <x:c r="G733" t="n">
        <x:v>3974.06</x:v>
      </x:c>
      <x:c r="H733" t="n">
        <x:v>2964.02</x:v>
      </x:c>
      <x:c r="I733" t="n">
        <x:v>3.08</x:v>
      </x:c>
      <x:c r="J733" t="n">
        <x:v>4341917.3</x:v>
      </x:c>
      <x:c r="K733" t="n">
        <x:v>137516.24</x:v>
      </x:c>
      <x:c r="L733" t="n">
        <x:v>1768467</x:v>
      </x:c>
      <x:c r="M733" t="n">
        <x:f>SUM(E733,J733:L733)</x:f>
        <x:v>7878825.59</x:v>
      </x:c>
      <x:c r="N733" t="n">
        <x:v>151000</x:v>
      </x:c>
      <x:c r="O733" t="n">
        <x:f>D733*N733</x:f>
        <x:v>2416000</x:v>
      </x:c>
      <x:c r="P733" s="22" t="n">
        <x:f>IF(O733=0,0,(M733-O733)/O733)</x:f>
        <x:v>2.261103307119205</x:v>
      </x:c>
      <x:c r="Q733" s="20" t="n">
        <x:v>46033</x:v>
      </x:c>
    </x:row>
    <x:row r="734" ht="20" customHeight="1">
      <x:c r="A734" t="str">
        <x:v>WO00721</x:v>
      </x:c>
      <x:c r="B734" t="str">
        <x:v>LOT00721</x:v>
      </x:c>
      <x:c r="C734" t="str">
        <x:v>PM-ALB-B</x:v>
      </x:c>
      <x:c r="D734" t="n">
        <x:v>293</x:v>
      </x:c>
      <x:c r="E734" t="n">
        <x:v>2498640.87</x:v>
      </x:c>
      <x:c r="F734" t="n">
        <x:v>2.49</x:v>
      </x:c>
      <x:c r="G734" t="n">
        <x:v>0</x:v>
      </x:c>
      <x:c r="H734" t="n">
        <x:v>0.57</x:v>
      </x:c>
      <x:c r="I734" t="n">
        <x:v>1.5</x:v>
      </x:c>
      <x:c r="J734" t="n">
        <x:v>1892.1</x:v>
      </x:c>
      <x:c r="K734" t="n">
        <x:v>144401.89</x:v>
      </x:c>
      <x:c r="L734" t="n">
        <x:v>1487.4</x:v>
      </x:c>
      <x:c r="M734" t="n">
        <x:f>SUM(E734,J734:L734)</x:f>
        <x:v>2646422.2600000002</x:v>
      </x:c>
      <x:c r="N734" t="n">
        <x:v>11750</x:v>
      </x:c>
      <x:c r="O734" t="n">
        <x:f>D734*N734</x:f>
        <x:v>3442750</x:v>
      </x:c>
      <x:c r="P734" s="22" t="n">
        <x:f>IF(O734=0,0,(M734-O734)/O734)</x:f>
        <x:v>-0.23130571200348551</x:v>
      </x:c>
      <x:c r="Q734" s="20" t="n">
        <x:v>46012</x:v>
      </x:c>
    </x:row>
    <x:row r="735" ht="20" customHeight="1">
      <x:c r="A735" t="str">
        <x:v>WO00724</x:v>
      </x:c>
      <x:c r="B735" t="str">
        <x:v>LOT00724</x:v>
      </x:c>
      <x:c r="C735" t="str">
        <x:v>SEMI-CHB-A</x:v>
      </x:c>
      <x:c r="D735" t="n">
        <x:v>78</x:v>
      </x:c>
      <x:c r="E735" t="n">
        <x:v>3265031.25</x:v>
      </x:c>
      <x:c r="F735" t="n">
        <x:v>2.02</x:v>
      </x:c>
      <x:c r="G735" t="n">
        <x:v>0</x:v>
      </x:c>
      <x:c r="H735" t="n">
        <x:v>0.73</x:v>
      </x:c>
      <x:c r="I735" t="n">
        <x:v>2.76</x:v>
      </x:c>
      <x:c r="J735" t="n">
        <x:v>1663.4</x:v>
      </x:c>
      <x:c r="K735" t="n">
        <x:v>440675.89</x:v>
      </x:c>
      <x:c r="L735" t="n">
        <x:v>1712.4</x:v>
      </x:c>
      <x:c r="M735" t="n">
        <x:f>SUM(E735,J735:L735)</x:f>
        <x:v>3709082.94</x:v>
      </x:c>
      <x:c r="N735" t="n">
        <x:v>70000</x:v>
      </x:c>
      <x:c r="O735" t="n">
        <x:f>D735*N735</x:f>
        <x:v>5460000</x:v>
      </x:c>
      <x:c r="P735" s="22" t="n">
        <x:f>IF(O735=0,0,(M735-O735)/O735)</x:f>
        <x:v>-0.32068078021978025</x:v>
      </x:c>
      <x:c r="Q735" s="20" t="n">
        <x:v>46038</x:v>
      </x:c>
    </x:row>
    <x:row r="736" ht="20" customHeight="1">
      <x:c r="A736" t="str">
        <x:v>WO00731</x:v>
      </x:c>
      <x:c r="B736" t="str">
        <x:v>LOT00731</x:v>
      </x:c>
      <x:c r="C736" t="str">
        <x:v>AUTO-MH-A</x:v>
      </x:c>
      <x:c r="D736" t="n">
        <x:v>2971</x:v>
      </x:c>
      <x:c r="E736" t="n">
        <x:v>3930882.65</x:v>
      </x:c>
      <x:c r="F736" t="n">
        <x:v>16.67</x:v>
      </x:c>
      <x:c r="G736" t="n">
        <x:v>0</x:v>
      </x:c>
      <x:c r="H736" t="n">
        <x:v>2.7</x:v>
      </x:c>
      <x:c r="I736" t="n">
        <x:v>1.2</x:v>
      </x:c>
      <x:c r="J736" t="n">
        <x:v>12131.5</x:v>
      </x:c>
      <x:c r="K736" t="n">
        <x:v>218048.33</x:v>
      </x:c>
      <x:c r="L736" t="n">
        <x:v>7126.6</x:v>
      </x:c>
      <x:c r="M736" t="n">
        <x:f>SUM(E736,J736:L736)</x:f>
        <x:v>4168189.08</x:v>
      </x:c>
      <x:c r="N736" t="n">
        <x:v>1970</x:v>
      </x:c>
      <x:c r="O736" t="n">
        <x:f>D736*N736</x:f>
        <x:v>5852870</x:v>
      </x:c>
      <x:c r="P736" s="22" t="n">
        <x:f>IF(O736=0,0,(M736-O736)/O736)</x:f>
        <x:v>-0.2878384314020301</x:v>
      </x:c>
      <x:c r="Q736" s="20" t="n">
        <x:v>46009</x:v>
      </x:c>
    </x:row>
    <x:row r="737" ht="20" customHeight="1">
      <x:c r="A737" t="str">
        <x:v>WO00739</x:v>
      </x:c>
      <x:c r="B737" t="str">
        <x:v>LOT00739</x:v>
      </x:c>
      <x:c r="C737" t="str">
        <x:v>MECH-CON-A</x:v>
      </x:c>
      <x:c r="D737" t="n">
        <x:v>20</x:v>
      </x:c>
      <x:c r="E737" t="n">
        <x:v>1062578.6</x:v>
      </x:c>
      <x:c r="F737" t="n">
        <x:v>1746.91</x:v>
      </x:c>
      <x:c r="G737" t="n">
        <x:v>5220.07</x:v>
      </x:c>
      <x:c r="H737" t="n">
        <x:v>3652.3</x:v>
      </x:c>
      <x:c r="I737" t="n">
        <x:v>3.13</x:v>
      </x:c>
      <x:c r="J737" t="n">
        <x:v>5603031.9</x:v>
      </x:c>
      <x:c r="K737" t="n">
        <x:v>101937.73</x:v>
      </x:c>
      <x:c r="L737" t="n">
        <x:v>2293146.8</x:v>
      </x:c>
      <x:c r="M737" t="n">
        <x:f>SUM(E737,J737:L737)</x:f>
        <x:v>9060695.030000001</x:v>
      </x:c>
      <x:c r="N737" t="n">
        <x:v>83000</x:v>
      </x:c>
      <x:c r="O737" t="n">
        <x:f>D737*N737</x:f>
        <x:v>1660000</x:v>
      </x:c>
      <x:c r="P737" s="22" t="n">
        <x:f>IF(O737=0,0,(M737-O737)/O737)</x:f>
        <x:v>4.45825001807229</x:v>
      </x:c>
      <x:c r="Q737" s="20" t="n">
        <x:v>46019</x:v>
      </x:c>
    </x:row>
    <x:row r="738" ht="20" customHeight="1">
      <x:c r="A738" t="str">
        <x:v>WO00722</x:v>
      </x:c>
      <x:c r="B738" t="str">
        <x:v>LOT00722</x:v>
      </x:c>
      <x:c r="C738" t="str">
        <x:v>PM-VAC-A</x:v>
      </x:c>
      <x:c r="D738" t="n">
        <x:v>489</x:v>
      </x:c>
      <x:c r="E738" t="n">
        <x:v>3312770.08</x:v>
      </x:c>
      <x:c r="F738" t="n">
        <x:v>4.46</x:v>
      </x:c>
      <x:c r="G738" t="n">
        <x:v>0</x:v>
      </x:c>
      <x:c r="H738" t="n">
        <x:v>0.94</x:v>
      </x:c>
      <x:c r="I738" t="n">
        <x:v>1.81</x:v>
      </x:c>
      <x:c r="J738" t="n">
        <x:v>3350.2</x:v>
      </x:c>
      <x:c r="K738" t="n">
        <x:v>380743.4</x:v>
      </x:c>
      <x:c r="L738" t="n">
        <x:v>2388.2</x:v>
      </x:c>
      <x:c r="M738" t="n">
        <x:f>SUM(E738,J738:L738)</x:f>
        <x:v>3699251.88</x:v>
      </x:c>
      <x:c r="N738" t="n">
        <x:v>10800</x:v>
      </x:c>
      <x:c r="O738" t="n">
        <x:f>D738*N738</x:f>
        <x:v>5281200</x:v>
      </x:c>
      <x:c r="P738" s="22" t="n">
        <x:f>IF(O738=0,0,(M738-O738)/O738)</x:f>
        <x:v>-0.2995433083390139</x:v>
      </x:c>
      <x:c r="Q738" s="20" t="n">
        <x:v>46014</x:v>
      </x:c>
    </x:row>
    <x:row r="739" ht="20" customHeight="1">
      <x:c r="A739" t="str">
        <x:v>WO00736</x:v>
      </x:c>
      <x:c r="B739" t="str">
        <x:v>LOT00736</x:v>
      </x:c>
      <x:c r="C739" t="str">
        <x:v>SEMI-WH-A</x:v>
      </x:c>
      <x:c r="D739" t="n">
        <x:v>58</x:v>
      </x:c>
      <x:c r="E739" t="n">
        <x:v>3114101.54</x:v>
      </x:c>
      <x:c r="F739" t="n">
        <x:v>1.57</x:v>
      </x:c>
      <x:c r="G739" t="n">
        <x:v>0</x:v>
      </x:c>
      <x:c r="H739" t="n">
        <x:v>0.52</x:v>
      </x:c>
      <x:c r="I739" t="n">
        <x:v>2.83</x:v>
      </x:c>
      <x:c r="J739" t="n">
        <x:v>1270.1</x:v>
      </x:c>
      <x:c r="K739" t="n">
        <x:v>431827.27</x:v>
      </x:c>
      <x:c r="L739" t="n">
        <x:v>1528.8</x:v>
      </x:c>
      <x:c r="M739" t="n">
        <x:f>SUM(E739,J739:L739)</x:f>
        <x:v>3548727.71</x:v>
      </x:c>
      <x:c r="N739" t="n">
        <x:v>88000</x:v>
      </x:c>
      <x:c r="O739" t="n">
        <x:f>D739*N739</x:f>
        <x:v>5104000</x:v>
      </x:c>
      <x:c r="P739" s="22" t="n">
        <x:f>IF(O739=0,0,(M739-O739)/O739)</x:f>
        <x:v>-0.3047163577586207</x:v>
      </x:c>
      <x:c r="Q739" s="20" t="n">
        <x:v>46041</x:v>
      </x:c>
    </x:row>
    <x:row r="740" ht="20" customHeight="1">
      <x:c r="A740" t="str">
        <x:v>WO00737</x:v>
      </x:c>
      <x:c r="B740" t="str">
        <x:v>LOT00737</x:v>
      </x:c>
      <x:c r="C740" t="str">
        <x:v>AUTO-LG-A</x:v>
      </x:c>
      <x:c r="D740" t="n">
        <x:v>6404</x:v>
      </x:c>
      <x:c r="E740" t="n">
        <x:v>3582957.06</x:v>
      </x:c>
      <x:c r="F740" t="n">
        <x:v>35.67</x:v>
      </x:c>
      <x:c r="G740" t="n">
        <x:v>0</x:v>
      </x:c>
      <x:c r="H740" t="n">
        <x:v>4.92</x:v>
      </x:c>
      <x:c r="I740" t="n">
        <x:v>1.16</x:v>
      </x:c>
      <x:c r="J740" t="n">
        <x:v>25547.1</x:v>
      </x:c>
      <x:c r="K740" t="n">
        <x:v>262379.72</x:v>
      </x:c>
      <x:c r="L740" t="n">
        <x:v>14689.8</x:v>
      </x:c>
      <x:c r="M740" t="n">
        <x:f>SUM(E740,J740:L740)</x:f>
        <x:v>3885573.68</x:v>
      </x:c>
      <x:c r="N740" t="n">
        <x:v>840</x:v>
      </x:c>
      <x:c r="O740" t="n">
        <x:f>D740*N740</x:f>
        <x:v>5379360</x:v>
      </x:c>
      <x:c r="P740" s="22" t="n">
        <x:f>IF(O740=0,0,(M740-O740)/O740)</x:f>
        <x:v>-0.27768848338835844</x:v>
      </x:c>
      <x:c r="Q740" s="20" t="n">
        <x:v>46017</x:v>
      </x:c>
    </x:row>
    <x:row r="741" ht="20" customHeight="1">
      <x:c r="A741" t="str">
        <x:v>WO00738</x:v>
      </x:c>
      <x:c r="B741" t="str">
        <x:v>LOT00738</x:v>
      </x:c>
      <x:c r="C741" t="str">
        <x:v>AUTO-LG-A</x:v>
      </x:c>
      <x:c r="D741" t="n">
        <x:v>6414</x:v>
      </x:c>
      <x:c r="E741" t="n">
        <x:v>3608120.91</x:v>
      </x:c>
      <x:c r="F741" t="n">
        <x:v>34.34</x:v>
      </x:c>
      <x:c r="G741" t="n">
        <x:v>0</x:v>
      </x:c>
      <x:c r="H741" t="n">
        <x:v>5.75</x:v>
      </x:c>
      <x:c r="I741" t="n">
        <x:v>1.21</x:v>
      </x:c>
      <x:c r="J741" t="n">
        <x:v>25081</x:v>
      </x:c>
      <x:c r="K741" t="n">
        <x:v>278983.5</x:v>
      </x:c>
      <x:c r="L741" t="n">
        <x:v>14332.2</x:v>
      </x:c>
      <x:c r="M741" t="n">
        <x:f>SUM(E741,J741:L741)</x:f>
        <x:v>3926517.6100000003</x:v>
      </x:c>
      <x:c r="N741" t="n">
        <x:v>840</x:v>
      </x:c>
      <x:c r="O741" t="n">
        <x:f>D741*N741</x:f>
        <x:v>5387760</x:v>
      </x:c>
      <x:c r="P741" s="22" t="n">
        <x:f>IF(O741=0,0,(M741-O741)/O741)</x:f>
        <x:v>-0.27121519703921476</x:v>
      </x:c>
      <x:c r="Q741" s="20" t="n">
        <x:v>46012</x:v>
      </x:c>
    </x:row>
    <x:row r="742" ht="20" customHeight="1">
      <x:c r="A742" t="str">
        <x:v>WO00725</x:v>
      </x:c>
      <x:c r="B742" t="str">
        <x:v>LOT00725</x:v>
      </x:c>
      <x:c r="C742" t="str">
        <x:v>AUTO-LG-A</x:v>
      </x:c>
      <x:c r="D742" t="n">
        <x:v>2976</x:v>
      </x:c>
      <x:c r="E742" t="n">
        <x:v>1584223.57</x:v>
      </x:c>
      <x:c r="F742" t="n">
        <x:v>15.98</x:v>
      </x:c>
      <x:c r="G742" t="n">
        <x:v>0</x:v>
      </x:c>
      <x:c r="H742" t="n">
        <x:v>2.47</x:v>
      </x:c>
      <x:c r="I742" t="n">
        <x:v>1.04</x:v>
      </x:c>
      <x:c r="J742" t="n">
        <x:v>11572.6</x:v>
      </x:c>
      <x:c r="K742" t="n">
        <x:v>108004.84</x:v>
      </x:c>
      <x:c r="L742" t="n">
        <x:v>6779.6</x:v>
      </x:c>
      <x:c r="M742" t="n">
        <x:f>SUM(E742,J742:L742)</x:f>
        <x:v>1710580.61</x:v>
      </x:c>
      <x:c r="N742" t="n">
        <x:v>840</x:v>
      </x:c>
      <x:c r="O742" t="n">
        <x:f>D742*N742</x:f>
        <x:v>2499840</x:v>
      </x:c>
      <x:c r="P742" s="22" t="n">
        <x:f>IF(O742=0,0,(M742-O742)/O742)</x:f>
        <x:v>-0.3157239623335893</x:v>
      </x:c>
      <x:c r="Q742" s="20" t="n">
        <x:v>46008</x:v>
      </x:c>
    </x:row>
    <x:row r="743" ht="20" customHeight="1">
      <x:c r="A743" t="str">
        <x:v>WO00753</x:v>
      </x:c>
      <x:c r="B743" t="str">
        <x:v>LOT00753</x:v>
      </x:c>
      <x:c r="C743" t="str">
        <x:v>AUTO-LG-B</x:v>
      </x:c>
      <x:c r="D743" t="n">
        <x:v>6926</x:v>
      </x:c>
      <x:c r="E743" t="n">
        <x:v>4052760.18</x:v>
      </x:c>
      <x:c r="F743" t="n">
        <x:v>34.31</x:v>
      </x:c>
      <x:c r="G743" t="n">
        <x:v>0</x:v>
      </x:c>
      <x:c r="H743" t="n">
        <x:v>6.45</x:v>
      </x:c>
      <x:c r="I743" t="n">
        <x:v>1.15</x:v>
      </x:c>
      <x:c r="J743" t="n">
        <x:v>25397.5</x:v>
      </x:c>
      <x:c r="K743" t="n">
        <x:v>321691.13</x:v>
      </x:c>
      <x:c r="L743" t="n">
        <x:v>14414.8</x:v>
      </x:c>
      <x:c r="M743" t="n">
        <x:f>SUM(E743,J743:L743)</x:f>
        <x:v>4414263.61</x:v>
      </x:c>
      <x:c r="N743" t="n">
        <x:v>925</x:v>
      </x:c>
      <x:c r="O743" t="n">
        <x:f>D743*N743</x:f>
        <x:v>6406550</x:v>
      </x:c>
      <x:c r="P743" s="22" t="n">
        <x:f>IF(O743=0,0,(M743-O743)/O743)</x:f>
        <x:v>-0.31097648344272655</x:v>
      </x:c>
      <x:c r="Q743" s="20" t="n">
        <x:v>46028</x:v>
      </x:c>
    </x:row>
    <x:row r="744" ht="20" customHeight="1">
      <x:c r="A744" t="str">
        <x:v>WO00746</x:v>
      </x:c>
      <x:c r="B744" t="str">
        <x:v>LOT00746</x:v>
      </x:c>
      <x:c r="C744" t="str">
        <x:v>MECH-CON-A</x:v>
      </x:c>
      <x:c r="D744" t="n">
        <x:v>17</x:v>
      </x:c>
      <x:c r="E744" t="n">
        <x:v>917759.43</x:v>
      </x:c>
      <x:c r="F744" t="n">
        <x:v>1168.49</x:v>
      </x:c>
      <x:c r="G744" t="n">
        <x:v>4129.9</x:v>
      </x:c>
      <x:c r="H744" t="n">
        <x:v>2626.58</x:v>
      </x:c>
      <x:c r="I744" t="n">
        <x:v>3.1</x:v>
      </x:c>
      <x:c r="J744" t="n">
        <x:v>4167824.9</x:v>
      </x:c>
      <x:c r="K744" t="n">
        <x:v>85300.72</x:v>
      </x:c>
      <x:c r="L744" t="n">
        <x:v>1691189</x:v>
      </x:c>
      <x:c r="M744" t="n">
        <x:f>SUM(E744,J744:L744)</x:f>
        <x:v>6862074.05</x:v>
      </x:c>
      <x:c r="N744" t="n">
        <x:v>83000</x:v>
      </x:c>
      <x:c r="O744" t="n">
        <x:f>D744*N744</x:f>
        <x:v>1411000</x:v>
      </x:c>
      <x:c r="P744" s="22" t="n">
        <x:f>IF(O744=0,0,(M744-O744)/O744)</x:f>
        <x:v>3.8632700566973774</x:v>
      </x:c>
      <x:c r="Q744" s="20" t="n">
        <x:v>46044</x:v>
      </x:c>
    </x:row>
    <x:row r="745" ht="20" customHeight="1">
      <x:c r="A745" t="str">
        <x:v>WO00745</x:v>
      </x:c>
      <x:c r="B745" t="str">
        <x:v>LOT00745</x:v>
      </x:c>
      <x:c r="C745" t="str">
        <x:v>MECH-CON-A</x:v>
      </x:c>
      <x:c r="D745" t="n">
        <x:v>17</x:v>
      </x:c>
      <x:c r="E745" t="n">
        <x:v>865388.1</x:v>
      </x:c>
      <x:c r="F745" t="n">
        <x:v>1226.29</x:v>
      </x:c>
      <x:c r="G745" t="n">
        <x:v>4787.47</x:v>
      </x:c>
      <x:c r="H745" t="n">
        <x:v>2839.81</x:v>
      </x:c>
      <x:c r="I745" t="n">
        <x:v>3.22</x:v>
      </x:c>
      <x:c r="J745" t="n">
        <x:v>4649681.7</x:v>
      </x:c>
      <x:c r="K745" t="n">
        <x:v>78670.13</x:v>
      </x:c>
      <x:c r="L745" t="n">
        <x:v>1878819.8</x:v>
      </x:c>
      <x:c r="M745" t="n">
        <x:f>SUM(E745,J745:L745)</x:f>
        <x:v>7472559.7299999995</x:v>
      </x:c>
      <x:c r="N745" t="n">
        <x:v>83000</x:v>
      </x:c>
      <x:c r="O745" t="n">
        <x:f>D745*N745</x:f>
        <x:v>1411000</x:v>
      </x:c>
      <x:c r="P745" s="22" t="n">
        <x:f>IF(O745=0,0,(M745-O745)/O745)</x:f>
        <x:v>4.295931771793054</x:v>
      </x:c>
      <x:c r="Q745" s="20" t="n">
        <x:v>46041</x:v>
      </x:c>
    </x:row>
    <x:row r="746" ht="20" customHeight="1">
      <x:c r="A746" t="str">
        <x:v>WO00764</x:v>
      </x:c>
      <x:c r="B746" t="str">
        <x:v>LOT00764</x:v>
      </x:c>
      <x:c r="C746" t="str">
        <x:v>AUTO-BS-A</x:v>
      </x:c>
      <x:c r="D746" t="n">
        <x:v>2959</x:v>
      </x:c>
      <x:c r="E746" t="n">
        <x:v>998369.09</x:v>
      </x:c>
      <x:c r="F746" t="n">
        <x:v>15.65</x:v>
      </x:c>
      <x:c r="G746" t="n">
        <x:v>0</x:v>
      </x:c>
      <x:c r="H746" t="n">
        <x:v>2.29</x:v>
      </x:c>
      <x:c r="I746" t="n">
        <x:v>1.25</x:v>
      </x:c>
      <x:c r="J746" t="n">
        <x:v>11271.7</x:v>
      </x:c>
      <x:c r="K746" t="n">
        <x:v>98470.83</x:v>
      </x:c>
      <x:c r="L746" t="n">
        <x:v>6688.4</x:v>
      </x:c>
      <x:c r="M746" t="n">
        <x:f>SUM(E746,J746:L746)</x:f>
        <x:v>1114800.02</x:v>
      </x:c>
      <x:c r="N746" t="n">
        <x:v>550</x:v>
      </x:c>
      <x:c r="O746" t="n">
        <x:f>D746*N746</x:f>
        <x:v>1627450</x:v>
      </x:c>
      <x:c r="P746" s="22" t="n">
        <x:f>IF(O746=0,0,(M746-O746)/O746)</x:f>
        <x:v>-0.31500198469999074</x:v>
      </x:c>
      <x:c r="Q746" s="20" t="n">
        <x:v>46031</x:v>
      </x:c>
    </x:row>
    <x:row r="747" ht="20" customHeight="1">
      <x:c r="A747" t="str">
        <x:v>WO00747</x:v>
      </x:c>
      <x:c r="B747" t="str">
        <x:v>LOT00747</x:v>
      </x:c>
      <x:c r="C747" t="str">
        <x:v>MECH-CON-A</x:v>
      </x:c>
      <x:c r="D747" t="n">
        <x:v>16</x:v>
      </x:c>
      <x:c r="E747" t="n">
        <x:v>841108.48</x:v>
      </x:c>
      <x:c r="F747" t="n">
        <x:v>1253.24</x:v>
      </x:c>
      <x:c r="G747" t="n">
        <x:v>4111.94</x:v>
      </x:c>
      <x:c r="H747" t="n">
        <x:v>2487.18</x:v>
      </x:c>
      <x:c r="I747" t="n">
        <x:v>2.78</x:v>
      </x:c>
      <x:c r="J747" t="n">
        <x:v>4146661.2</x:v>
      </x:c>
      <x:c r="K747" t="n">
        <x:v>79240.56</x:v>
      </x:c>
      <x:c r="L747" t="n">
        <x:v>1697402</x:v>
      </x:c>
      <x:c r="M747" t="n">
        <x:f>SUM(E747,J747:L747)</x:f>
        <x:v>6764412.24</x:v>
      </x:c>
      <x:c r="N747" t="n">
        <x:v>83000</x:v>
      </x:c>
      <x:c r="O747" t="n">
        <x:f>D747*N747</x:f>
        <x:v>1328000</x:v>
      </x:c>
      <x:c r="P747" s="22" t="n">
        <x:f>IF(O747=0,0,(M747-O747)/O747)</x:f>
        <x:v>4.093683915662651</x:v>
      </x:c>
      <x:c r="Q747" s="20" t="n">
        <x:v>46041</x:v>
      </x:c>
    </x:row>
    <x:row r="748" ht="20" customHeight="1">
      <x:c r="A748" t="str">
        <x:v>WO00742</x:v>
      </x:c>
      <x:c r="B748" t="str">
        <x:v>LOT00742</x:v>
      </x:c>
      <x:c r="C748" t="str">
        <x:v>MECH-STG-A</x:v>
      </x:c>
      <x:c r="D748" t="n">
        <x:v>10</x:v>
      </x:c>
      <x:c r="E748" t="n">
        <x:v>681208.79</x:v>
      </x:c>
      <x:c r="F748" t="n">
        <x:v>736.68</x:v>
      </x:c>
      <x:c r="G748" t="n">
        <x:v>2144.25</x:v>
      </x:c>
      <x:c r="H748" t="n">
        <x:v>1658.57</x:v>
      </x:c>
      <x:c r="I748" t="n">
        <x:v>2.94</x:v>
      </x:c>
      <x:c r="J748" t="n">
        <x:v>2389965.6</x:v>
      </x:c>
      <x:c r="K748" t="n">
        <x:v>55534.69</x:v>
      </x:c>
      <x:c r="L748" t="n">
        <x:v>975041.6</x:v>
      </x:c>
      <x:c r="M748" t="n">
        <x:f>SUM(E748,J748:L748)</x:f>
        <x:v>4101750.68</x:v>
      </x:c>
      <x:c r="N748" t="n">
        <x:v>104000</x:v>
      </x:c>
      <x:c r="O748" t="n">
        <x:f>D748*N748</x:f>
        <x:v>1040000</x:v>
      </x:c>
      <x:c r="P748" s="22" t="n">
        <x:f>IF(O748=0,0,(M748-O748)/O748)</x:f>
        <x:v>2.9439910384615384</x:v>
      </x:c>
      <x:c r="Q748" s="20" t="n">
        <x:v>46054</x:v>
      </x:c>
    </x:row>
    <x:row r="749" ht="20" customHeight="1">
      <x:c r="A749" t="str">
        <x:v>WO00758</x:v>
      </x:c>
      <x:c r="B749" t="str">
        <x:v>LOT00758</x:v>
      </x:c>
      <x:c r="C749" t="str">
        <x:v>SEMI-CHB-B</x:v>
      </x:c>
      <x:c r="D749" t="n">
        <x:v>78</x:v>
      </x:c>
      <x:c r="E749" t="n">
        <x:v>5758263.42</x:v>
      </x:c>
      <x:c r="F749" t="n">
        <x:v>1.89</x:v>
      </x:c>
      <x:c r="G749" t="n">
        <x:v>0</x:v>
      </x:c>
      <x:c r="H749" t="n">
        <x:v>0.74</x:v>
      </x:c>
      <x:c r="I749" t="n">
        <x:v>2.77</x:v>
      </x:c>
      <x:c r="J749" t="n">
        <x:v>1583.7</x:v>
      </x:c>
      <x:c r="K749" t="n">
        <x:v>694994.93</x:v>
      </x:c>
      <x:c r="L749" t="n">
        <x:v>1667.6</x:v>
      </x:c>
      <x:c r="M749" t="n">
        <x:f>SUM(E749,J749:L749)</x:f>
        <x:v>6456509.65</x:v>
      </x:c>
      <x:c r="N749" t="n">
        <x:v>111000</x:v>
      </x:c>
      <x:c r="O749" t="n">
        <x:f>D749*N749</x:f>
        <x:v>8658000</x:v>
      </x:c>
      <x:c r="P749" s="22" t="n">
        <x:f>IF(O749=0,0,(M749-O749)/O749)</x:f>
        <x:v>-0.25427238969738963</x:v>
      </x:c>
      <x:c r="Q749" s="20" t="n">
        <x:v>46070</x:v>
      </x:c>
    </x:row>
    <x:row r="750" ht="20" customHeight="1">
      <x:c r="A750" t="str">
        <x:v>WO00763</x:v>
      </x:c>
      <x:c r="B750" t="str">
        <x:v>LOT00763</x:v>
      </x:c>
      <x:c r="C750" t="str">
        <x:v>AUTO-KN-B</x:v>
      </x:c>
      <x:c r="D750" t="n">
        <x:v>4952</x:v>
      </x:c>
      <x:c r="E750" t="n">
        <x:v>8274316.67</x:v>
      </x:c>
      <x:c r="F750" t="n">
        <x:v>29.28</x:v>
      </x:c>
      <x:c r="G750" t="n">
        <x:v>0</x:v>
      </x:c>
      <x:c r="H750" t="n">
        <x:v>4.33</x:v>
      </x:c>
      <x:c r="I750" t="n">
        <x:v>1.21</x:v>
      </x:c>
      <x:c r="J750" t="n">
        <x:v>21110.4</x:v>
      </x:c>
      <x:c r="K750" t="n">
        <x:v>615903.25</x:v>
      </x:c>
      <x:c r="L750" t="n">
        <x:v>12182.2</x:v>
      </x:c>
      <x:c r="M750" t="n">
        <x:f>SUM(E750,J750:L750)</x:f>
        <x:v>8923512.52</x:v>
      </x:c>
      <x:c r="N750" t="n">
        <x:v>2590</x:v>
      </x:c>
      <x:c r="O750" t="n">
        <x:f>D750*N750</x:f>
        <x:v>12825680</x:v>
      </x:c>
      <x:c r="P750" s="22" t="n">
        <x:f>IF(O750=0,0,(M750-O750)/O750)</x:f>
        <x:v>-0.30424643995484063</x:v>
      </x:c>
      <x:c r="Q750" s="20" t="n">
        <x:v>46040</x:v>
      </x:c>
    </x:row>
    <x:row r="751" ht="20" customHeight="1">
      <x:c r="A751" t="str">
        <x:v>WO00766</x:v>
      </x:c>
      <x:c r="B751" t="str">
        <x:v>LOT00766</x:v>
      </x:c>
      <x:c r="C751" t="str">
        <x:v>PM-ALB-A</x:v>
      </x:c>
      <x:c r="D751" t="n">
        <x:v>298</x:v>
      </x:c>
      <x:c r="E751" t="n">
        <x:v>1574693.38</x:v>
      </x:c>
      <x:c r="F751" t="n">
        <x:v>2.47</x:v>
      </x:c>
      <x:c r="G751" t="n">
        <x:v>0</x:v>
      </x:c>
      <x:c r="H751" t="n">
        <x:v>0.51</x:v>
      </x:c>
      <x:c r="I751" t="n">
        <x:v>1.74</x:v>
      </x:c>
      <x:c r="J751" t="n">
        <x:v>1850.3</x:v>
      </x:c>
      <x:c r="K751" t="n">
        <x:v>89069.05</x:v>
      </x:c>
      <x:c r="L751" t="n">
        <x:v>1542.2</x:v>
      </x:c>
      <x:c r="M751" t="n">
        <x:f>SUM(E751,J751:L751)</x:f>
        <x:v>1667154.93</x:v>
      </x:c>
      <x:c r="N751" t="n">
        <x:v>8100</x:v>
      </x:c>
      <x:c r="O751" t="n">
        <x:f>D751*N751</x:f>
        <x:v>2413800</x:v>
      </x:c>
      <x:c r="P751" s="22" t="n">
        <x:f>IF(O751=0,0,(M751-O751)/O751)</x:f>
        <x:v>-0.30932350236142186</x:v>
      </x:c>
      <x:c r="Q751" s="20" t="n">
        <x:v>46039</x:v>
      </x:c>
    </x:row>
    <x:row r="752" ht="20" customHeight="1">
      <x:c r="A752" t="str">
        <x:v>WO00751</x:v>
      </x:c>
      <x:c r="B752" t="str">
        <x:v>LOT00751</x:v>
      </x:c>
      <x:c r="C752" t="str">
        <x:v>AUTO-KN-A</x:v>
      </x:c>
      <x:c r="D752" t="n">
        <x:v>6365</x:v>
      </x:c>
      <x:c r="E752" t="n">
        <x:v>9799530.6</x:v>
      </x:c>
      <x:c r="F752" t="n">
        <x:v>35.22</x:v>
      </x:c>
      <x:c r="G752" t="n">
        <x:v>0</x:v>
      </x:c>
      <x:c r="H752" t="n">
        <x:v>4.75</x:v>
      </x:c>
      <x:c r="I752" t="n">
        <x:v>1.17</x:v>
      </x:c>
      <x:c r="J752" t="n">
        <x:v>25173</x:v>
      </x:c>
      <x:c r="K752" t="n">
        <x:v>776099.24</x:v>
      </x:c>
      <x:c r="L752" t="n">
        <x:v>14494.6</x:v>
      </x:c>
      <x:c r="M752" t="n">
        <x:f>SUM(E752,J752:L752)</x:f>
        <x:v>10615297.44</x:v>
      </x:c>
      <x:c r="N752" t="n">
        <x:v>2210</x:v>
      </x:c>
      <x:c r="O752" t="n">
        <x:f>D752*N752</x:f>
        <x:v>14066650</x:v>
      </x:c>
      <x:c r="P752" s="22" t="n">
        <x:f>IF(O752=0,0,(M752-O752)/O752)</x:f>
        <x:v>-0.24535710776908506</x:v>
      </x:c>
      <x:c r="Q752" s="20" t="n">
        <x:v>46050</x:v>
      </x:c>
    </x:row>
    <x:row r="753" ht="20" customHeight="1">
      <x:c r="A753" t="str">
        <x:v>WO00757</x:v>
      </x:c>
      <x:c r="B753" t="str">
        <x:v>LOT00757</x:v>
      </x:c>
      <x:c r="C753" t="str">
        <x:v>SEMI-CHB-B</x:v>
      </x:c>
      <x:c r="D753" t="n">
        <x:v>79</x:v>
      </x:c>
      <x:c r="E753" t="n">
        <x:v>5512861</x:v>
      </x:c>
      <x:c r="F753" t="n">
        <x:v>2.1</x:v>
      </x:c>
      <x:c r="G753" t="n">
        <x:v>0</x:v>
      </x:c>
      <x:c r="H753" t="n">
        <x:v>0.73</x:v>
      </x:c>
      <x:c r="I753" t="n">
        <x:v>3.11</x:v>
      </x:c>
      <x:c r="J753" t="n">
        <x:v>1715.4</x:v>
      </x:c>
      <x:c r="K753" t="n">
        <x:v>710945.9</x:v>
      </x:c>
      <x:c r="L753" t="n">
        <x:v>1847.8</x:v>
      </x:c>
      <x:c r="M753" t="n">
        <x:f>SUM(E753,J753:L753)</x:f>
        <x:v>6227370.1</x:v>
      </x:c>
      <x:c r="N753" t="n">
        <x:v>111000</x:v>
      </x:c>
      <x:c r="O753" t="n">
        <x:f>D753*N753</x:f>
        <x:v>8769000</x:v>
      </x:c>
      <x:c r="P753" s="22" t="n">
        <x:f>IF(O753=0,0,(M753-O753)/O753)</x:f>
        <x:v>-0.28984261603375533</x:v>
      </x:c>
      <x:c r="Q753" s="20" t="n">
        <x:v>46074</x:v>
      </x:c>
    </x:row>
    <x:row r="754" ht="20" customHeight="1">
      <x:c r="A754" t="str">
        <x:v>WO00752</x:v>
      </x:c>
      <x:c r="B754" t="str">
        <x:v>LOT00752</x:v>
      </x:c>
      <x:c r="C754" t="str">
        <x:v>AUTO-KN-A</x:v>
      </x:c>
      <x:c r="D754" t="n">
        <x:v>6456</x:v>
      </x:c>
      <x:c r="E754" t="n">
        <x:v>9696297.7</x:v>
      </x:c>
      <x:c r="F754" t="n">
        <x:v>31.88</x:v>
      </x:c>
      <x:c r="G754" t="n">
        <x:v>0</x:v>
      </x:c>
      <x:c r="H754" t="n">
        <x:v>5</x:v>
      </x:c>
      <x:c r="I754" t="n">
        <x:v>1.28</x:v>
      </x:c>
      <x:c r="J754" t="n">
        <x:v>23122</x:v>
      </x:c>
      <x:c r="K754" t="n">
        <x:v>825924.71</x:v>
      </x:c>
      <x:c r="L754" t="n">
        <x:v>13298.4</x:v>
      </x:c>
      <x:c r="M754" t="n">
        <x:f>SUM(E754,J754:L754)</x:f>
        <x:v>10558642.809999999</x:v>
      </x:c>
      <x:c r="N754" t="n">
        <x:v>2210</x:v>
      </x:c>
      <x:c r="O754" t="n">
        <x:f>D754*N754</x:f>
        <x:v>14267760</x:v>
      </x:c>
      <x:c r="P754" s="22" t="n">
        <x:f>IF(O754=0,0,(M754-O754)/O754)</x:f>
        <x:v>-0.2599649272205309</x:v>
      </x:c>
      <x:c r="Q754" s="20" t="n">
        <x:v>46038</x:v>
      </x:c>
    </x:row>
    <x:row r="755" ht="20" customHeight="1">
      <x:c r="A755" t="str">
        <x:v>WO00754</x:v>
      </x:c>
      <x:c r="B755" t="str">
        <x:v>LOT00754</x:v>
      </x:c>
      <x:c r="C755" t="str">
        <x:v>AUTO-FL-B</x:v>
      </x:c>
      <x:c r="D755" t="n">
        <x:v>4895</x:v>
      </x:c>
      <x:c r="E755" t="n">
        <x:v>3849411.14</x:v>
      </x:c>
      <x:c r="F755" t="n">
        <x:v>23.67</x:v>
      </x:c>
      <x:c r="G755" t="n">
        <x:v>0</x:v>
      </x:c>
      <x:c r="H755" t="n">
        <x:v>4.16</x:v>
      </x:c>
      <x:c r="I755" t="n">
        <x:v>1.08</x:v>
      </x:c>
      <x:c r="J755" t="n">
        <x:v>17382.3</x:v>
      </x:c>
      <x:c r="K755" t="n">
        <x:v>311492.64</x:v>
      </x:c>
      <x:c r="L755" t="n">
        <x:v>9984.2</x:v>
      </x:c>
      <x:c r="M755" t="n">
        <x:f>SUM(E755,J755:L755)</x:f>
        <x:v>4188270.2800000003</x:v>
      </x:c>
      <x:c r="N755" t="n">
        <x:v>1170</x:v>
      </x:c>
      <x:c r="O755" t="n">
        <x:f>D755*N755</x:f>
        <x:v>5727150</x:v>
      </x:c>
      <x:c r="P755" s="22" t="n">
        <x:f>IF(O755=0,0,(M755-O755)/O755)</x:f>
        <x:v>-0.2686990422810647</x:v>
      </x:c>
      <x:c r="Q755" s="20" t="n">
        <x:v>46035</x:v>
      </x:c>
    </x:row>
    <x:row r="756" ht="20" customHeight="1">
      <x:c r="A756" t="str">
        <x:v>WO00760</x:v>
      </x:c>
      <x:c r="B756" t="str">
        <x:v>LOT00760</x:v>
      </x:c>
      <x:c r="C756" t="str">
        <x:v>MECH-CON-B</x:v>
      </x:c>
      <x:c r="D756" t="n">
        <x:v>20</x:v>
      </x:c>
      <x:c r="E756" t="n">
        <x:v>1519111</x:v>
      </x:c>
      <x:c r="F756" t="n">
        <x:v>1562.3</x:v>
      </x:c>
      <x:c r="G756" t="n">
        <x:v>5104.43</x:v>
      </x:c>
      <x:c r="H756" t="n">
        <x:v>3621.48</x:v>
      </x:c>
      <x:c r="I756" t="n">
        <x:v>3.25</x:v>
      </x:c>
      <x:c r="J756" t="n">
        <x:v>5408109</x:v>
      </x:c>
      <x:c r="K756" t="n">
        <x:v>128553.95</x:v>
      </x:c>
      <x:c r="L756" t="n">
        <x:v>2194971.8</x:v>
      </x:c>
      <x:c r="M756" t="n">
        <x:f>SUM(E756,J756:L756)</x:f>
        <x:v>9250745.75</x:v>
      </x:c>
      <x:c r="N756" t="n">
        <x:v>119000</x:v>
      </x:c>
      <x:c r="O756" t="n">
        <x:f>D756*N756</x:f>
        <x:v>2380000</x:v>
      </x:c>
      <x:c r="P756" s="22" t="n">
        <x:f>IF(O756=0,0,(M756-O756)/O756)</x:f>
        <x:v>2.886867962184874</x:v>
      </x:c>
      <x:c r="Q756" s="20" t="n">
        <x:v>46067</x:v>
      </x:c>
    </x:row>
    <x:row r="757" ht="20" customHeight="1">
      <x:c r="A757" t="str">
        <x:v>WO00756</x:v>
      </x:c>
      <x:c r="B757" t="str">
        <x:v>LOT00756</x:v>
      </x:c>
      <x:c r="C757" t="str">
        <x:v>PM-BRG-A</x:v>
      </x:c>
      <x:c r="D757" t="n">
        <x:v>787</x:v>
      </x:c>
      <x:c r="E757" t="n">
        <x:v>2104065.09</x:v>
      </x:c>
      <x:c r="F757" t="n">
        <x:v>6.88</x:v>
      </x:c>
      <x:c r="G757" t="n">
        <x:v>0</x:v>
      </x:c>
      <x:c r="H757" t="n">
        <x:v>1.27</x:v>
      </x:c>
      <x:c r="I757" t="n">
        <x:v>1.77</x:v>
      </x:c>
      <x:c r="J757" t="n">
        <x:v>5081.6</x:v>
      </x:c>
      <x:c r="K757" t="n">
        <x:v>163560.62</x:v>
      </x:c>
      <x:c r="L757" t="n">
        <x:v>3348.6</x:v>
      </x:c>
      <x:c r="M757" t="n">
        <x:f>SUM(E757,J757:L757)</x:f>
        <x:v>2276055.9099999997</x:v>
      </x:c>
      <x:c r="N757" t="n">
        <x:v>4450</x:v>
      </x:c>
      <x:c r="O757" t="n">
        <x:f>D757*N757</x:f>
        <x:v>3502150</x:v>
      </x:c>
      <x:c r="P757" s="22" t="n">
        <x:f>IF(O757=0,0,(M757-O757)/O757)</x:f>
        <x:v>-0.350097537227132</x:v>
      </x:c>
      <x:c r="Q757" s="20" t="n">
        <x:v>46040</x:v>
      </x:c>
    </x:row>
    <x:row r="758" ht="20" customHeight="1">
      <x:c r="A758" t="str">
        <x:v>WO00767</x:v>
      </x:c>
      <x:c r="B758" t="str">
        <x:v>LOT00767</x:v>
      </x:c>
      <x:c r="C758" t="str">
        <x:v>AUTO-BRK-B</x:v>
      </x:c>
      <x:c r="D758" t="n">
        <x:v>6959</x:v>
      </x:c>
      <x:c r="E758" t="n">
        <x:v>7674090.2</x:v>
      </x:c>
      <x:c r="F758" t="n">
        <x:v>38.63</x:v>
      </x:c>
      <x:c r="G758" t="n">
        <x:v>0</x:v>
      </x:c>
      <x:c r="H758" t="n">
        <x:v>4.96</x:v>
      </x:c>
      <x:c r="I758" t="n">
        <x:v>1.31</x:v>
      </x:c>
      <x:c r="J758" t="n">
        <x:v>27490.3</x:v>
      </x:c>
      <x:c r="K758" t="n">
        <x:v>657319.68</x:v>
      </x:c>
      <x:c r="L758" t="n">
        <x:v>15866</x:v>
      </x:c>
      <x:c r="M758" t="n">
        <x:f>SUM(E758,J758:L758)</x:f>
        <x:v>8374766.180000001</x:v>
      </x:c>
      <x:c r="N758" t="n">
        <x:v>1660</x:v>
      </x:c>
      <x:c r="O758" t="n">
        <x:f>D758*N758</x:f>
        <x:v>11551940</x:v>
      </x:c>
      <x:c r="P758" s="22" t="n">
        <x:f>IF(O758=0,0,(M758-O758)/O758)</x:f>
        <x:v>-0.27503378826413566</x:v>
      </x:c>
      <x:c r="Q758" s="20" t="n">
        <x:v>46038</x:v>
      </x:c>
    </x:row>
    <x:row r="759" ht="20" customHeight="1">
      <x:c r="A759" t="str">
        <x:v>WO00743</x:v>
      </x:c>
      <x:c r="B759" t="str">
        <x:v>LOT00743</x:v>
      </x:c>
      <x:c r="C759" t="str">
        <x:v>AUTO-FL-B</x:v>
      </x:c>
      <x:c r="D759" t="n">
        <x:v>4912</x:v>
      </x:c>
      <x:c r="E759" t="n">
        <x:v>3881776.82</x:v>
      </x:c>
      <x:c r="F759" t="n">
        <x:v>23.66</x:v>
      </x:c>
      <x:c r="G759" t="n">
        <x:v>0</x:v>
      </x:c>
      <x:c r="H759" t="n">
        <x:v>4.57</x:v>
      </x:c>
      <x:c r="I759" t="n">
        <x:v>1.21</x:v>
      </x:c>
      <x:c r="J759" t="n">
        <x:v>17572.6</x:v>
      </x:c>
      <x:c r="K759" t="n">
        <x:v>287368.83</x:v>
      </x:c>
      <x:c r="L759" t="n">
        <x:v>10085</x:v>
      </x:c>
      <x:c r="M759" t="n">
        <x:f>SUM(E759,J759:L759)</x:f>
        <x:v>4196803.25</x:v>
      </x:c>
      <x:c r="N759" t="n">
        <x:v>1170</x:v>
      </x:c>
      <x:c r="O759" t="n">
        <x:f>D759*N759</x:f>
        <x:v>5747040</x:v>
      </x:c>
      <x:c r="P759" s="22" t="n">
        <x:f>IF(O759=0,0,(M759-O759)/O759)</x:f>
        <x:v>-0.2697452514685821</x:v>
      </x:c>
      <x:c r="Q759" s="20" t="n">
        <x:v>46042</x:v>
      </x:c>
    </x:row>
    <x:row r="760" ht="20" customHeight="1">
      <x:c r="A760" t="str">
        <x:v>WO00744</x:v>
      </x:c>
      <x:c r="B760" t="str">
        <x:v>LOT00744</x:v>
      </x:c>
      <x:c r="C760" t="str">
        <x:v>AUTO-FL-B</x:v>
      </x:c>
      <x:c r="D760" t="n">
        <x:v>4869</x:v>
      </x:c>
      <x:c r="E760" t="n">
        <x:v>3806919.51</x:v>
      </x:c>
      <x:c r="F760" t="n">
        <x:v>27.74</x:v>
      </x:c>
      <x:c r="G760" t="n">
        <x:v>0</x:v>
      </x:c>
      <x:c r="H760" t="n">
        <x:v>4.16</x:v>
      </x:c>
      <x:c r="I760" t="n">
        <x:v>0.97</x:v>
      </x:c>
      <x:c r="J760" t="n">
        <x:v>20027.8</x:v>
      </x:c>
      <x:c r="K760" t="n">
        <x:v>281377.78</x:v>
      </x:c>
      <x:c r="L760" t="n">
        <x:v>11497.8</x:v>
      </x:c>
      <x:c r="M760" t="n">
        <x:f>SUM(E760,J760:L760)</x:f>
        <x:v>4119822.8899999997</x:v>
      </x:c>
      <x:c r="N760" t="n">
        <x:v>1170</x:v>
      </x:c>
      <x:c r="O760" t="n">
        <x:f>D760*N760</x:f>
        <x:v>5696730</x:v>
      </x:c>
      <x:c r="P760" s="22" t="n">
        <x:f>IF(O760=0,0,(M760-O760)/O760)</x:f>
        <x:v>-0.27680917122630005</x:v>
      </x:c>
      <x:c r="Q760" s="20" t="n">
        <x:v>46043</x:v>
      </x:c>
    </x:row>
    <x:row r="761" ht="20" customHeight="1">
      <x:c r="A761" t="str">
        <x:v>WO00762</x:v>
      </x:c>
      <x:c r="B761" t="str">
        <x:v>LOT00762</x:v>
      </x:c>
      <x:c r="C761" t="str">
        <x:v>AUTO-FL-B</x:v>
      </x:c>
      <x:c r="D761" t="n">
        <x:v>4988</x:v>
      </x:c>
      <x:c r="E761" t="n">
        <x:v>4016505.69</x:v>
      </x:c>
      <x:c r="F761" t="n">
        <x:v>22.53</x:v>
      </x:c>
      <x:c r="G761" t="n">
        <x:v>0</x:v>
      </x:c>
      <x:c r="H761" t="n">
        <x:v>3.62</x:v>
      </x:c>
      <x:c r="I761" t="n">
        <x:v>1.21</x:v>
      </x:c>
      <x:c r="J761" t="n">
        <x:v>16382.1</x:v>
      </x:c>
      <x:c r="K761" t="n">
        <x:v>335417.77</x:v>
      </x:c>
      <x:c r="L761" t="n">
        <x:v>9503.6</x:v>
      </x:c>
      <x:c r="M761" t="n">
        <x:f>SUM(E761,J761:L761)</x:f>
        <x:v>4377809.16</x:v>
      </x:c>
      <x:c r="N761" t="n">
        <x:v>1170</x:v>
      </x:c>
      <x:c r="O761" t="n">
        <x:f>D761*N761</x:f>
        <x:v>5835960</x:v>
      </x:c>
      <x:c r="P761" s="22" t="n">
        <x:f>IF(O761=0,0,(M761-O761)/O761)</x:f>
        <x:v>-0.24985620874714698</x:v>
      </x:c>
      <x:c r="Q761" s="20" t="n">
        <x:v>46037</x:v>
      </x:c>
    </x:row>
    <x:row r="762" ht="20" customHeight="1">
      <x:c r="A762" t="str">
        <x:v>WO00761</x:v>
      </x:c>
      <x:c r="B762" t="str">
        <x:v>LOT00761</x:v>
      </x:c>
      <x:c r="C762" t="str">
        <x:v>AUTO-FL-B</x:v>
      </x:c>
      <x:c r="D762" t="n">
        <x:v>4964</x:v>
      </x:c>
      <x:c r="E762" t="n">
        <x:v>3678681.6</x:v>
      </x:c>
      <x:c r="F762" t="n">
        <x:v>25.54</x:v>
      </x:c>
      <x:c r="G762" t="n">
        <x:v>0</x:v>
      </x:c>
      <x:c r="H762" t="n">
        <x:v>3.84</x:v>
      </x:c>
      <x:c r="I762" t="n">
        <x:v>1.06</x:v>
      </x:c>
      <x:c r="J762" t="n">
        <x:v>18444.2</x:v>
      </x:c>
      <x:c r="K762" t="n">
        <x:v>327926.81</x:v>
      </x:c>
      <x:c r="L762" t="n">
        <x:v>10637.6</x:v>
      </x:c>
      <x:c r="M762" t="n">
        <x:f>SUM(E762,J762:L762)</x:f>
        <x:v>4035690.21</x:v>
      </x:c>
      <x:c r="N762" t="n">
        <x:v>1170</x:v>
      </x:c>
      <x:c r="O762" t="n">
        <x:f>D762*N762</x:f>
        <x:v>5807880</x:v>
      </x:c>
      <x:c r="P762" s="22" t="n">
        <x:f>IF(O762=0,0,(M762-O762)/O762)</x:f>
        <x:v>-0.30513540052480426</x:v>
      </x:c>
      <x:c r="Q762" s="20" t="n">
        <x:v>46037</x:v>
      </x:c>
    </x:row>
    <x:row r="763" ht="20" customHeight="1">
      <x:c r="A763" t="str">
        <x:v>WO00755</x:v>
      </x:c>
      <x:c r="B763" t="str">
        <x:v>LOT00755</x:v>
      </x:c>
      <x:c r="C763" t="str">
        <x:v>AUTO-BS-A</x:v>
      </x:c>
      <x:c r="D763" t="n">
        <x:v>2973</x:v>
      </x:c>
      <x:c r="E763" t="n">
        <x:v>929442.64</x:v>
      </x:c>
      <x:c r="F763" t="n">
        <x:v>16.08</x:v>
      </x:c>
      <x:c r="G763" t="n">
        <x:v>0</x:v>
      </x:c>
      <x:c r="H763" t="n">
        <x:v>2.77</x:v>
      </x:c>
      <x:c r="I763" t="n">
        <x:v>1.06</x:v>
      </x:c>
      <x:c r="J763" t="n">
        <x:v>11781.6</x:v>
      </x:c>
      <x:c r="K763" t="n">
        <x:v>82491.39</x:v>
      </x:c>
      <x:c r="L763" t="n">
        <x:v>6871.6</x:v>
      </x:c>
      <x:c r="M763" t="n">
        <x:f>SUM(E763,J763:L763)</x:f>
        <x:v>1030587.23</x:v>
      </x:c>
      <x:c r="N763" t="n">
        <x:v>550</x:v>
      </x:c>
      <x:c r="O763" t="n">
        <x:f>D763*N763</x:f>
        <x:v>1635150</x:v>
      </x:c>
      <x:c r="P763" s="22" t="n">
        <x:f>IF(O763=0,0,(M763-O763)/O763)</x:f>
        <x:v>-0.36972924196556894</x:v>
      </x:c>
      <x:c r="Q763" s="20" t="n">
        <x:v>46036</x:v>
      </x:c>
    </x:row>
    <x:row r="764" ht="20" customHeight="1">
      <x:c r="A764" t="str">
        <x:v>WO00748</x:v>
      </x:c>
      <x:c r="B764" t="str">
        <x:v>LOT00748</x:v>
      </x:c>
      <x:c r="C764" t="str">
        <x:v>AUTO-MH-A</x:v>
      </x:c>
      <x:c r="D764" t="n">
        <x:v>6975</x:v>
      </x:c>
      <x:c r="E764" t="n">
        <x:v>9887450.99</x:v>
      </x:c>
      <x:c r="F764" t="n">
        <x:v>36.9</x:v>
      </x:c>
      <x:c r="G764" t="n">
        <x:v>0</x:v>
      </x:c>
      <x:c r="H764" t="n">
        <x:v>4.95</x:v>
      </x:c>
      <x:c r="I764" t="n">
        <x:v>1.3</x:v>
      </x:c>
      <x:c r="J764" t="n">
        <x:v>26361</x:v>
      </x:c>
      <x:c r="K764" t="n">
        <x:v>584620.23</x:v>
      </x:c>
      <x:c r="L764" t="n">
        <x:v>15204</x:v>
      </x:c>
      <x:c r="M764" t="n">
        <x:f>SUM(E764,J764:L764)</x:f>
        <x:v>10513636.22</x:v>
      </x:c>
      <x:c r="N764" t="n">
        <x:v>1970</x:v>
      </x:c>
      <x:c r="O764" t="n">
        <x:f>D764*N764</x:f>
        <x:v>13740750</x:v>
      </x:c>
      <x:c r="P764" s="22" t="n">
        <x:f>IF(O764=0,0,(M764-O764)/O764)</x:f>
        <x:v>-0.23485717882939428</x:v>
      </x:c>
      <x:c r="Q764" s="20" t="n">
        <x:v>46041</x:v>
      </x:c>
    </x:row>
    <x:row r="765" ht="20" customHeight="1">
      <x:c r="A765" t="str">
        <x:v>WO00750</x:v>
      </x:c>
      <x:c r="B765" t="str">
        <x:v>LOT00750</x:v>
      </x:c>
      <x:c r="C765" t="str">
        <x:v>MECH-STG-A</x:v>
      </x:c>
      <x:c r="D765" t="n">
        <x:v>15</x:v>
      </x:c>
      <x:c r="E765" t="n">
        <x:v>1032979.07</x:v>
      </x:c>
      <x:c r="F765" t="n">
        <x:v>1125.23</x:v>
      </x:c>
      <x:c r="G765" t="n">
        <x:v>3401.23</x:v>
      </x:c>
      <x:c r="H765" t="n">
        <x:v>2750.09</x:v>
      </x:c>
      <x:c r="I765" t="n">
        <x:v>2.95</x:v>
      </x:c>
      <x:c r="J765" t="n">
        <x:v>3820082.3</x:v>
      </x:c>
      <x:c r="K765" t="n">
        <x:v>90131.01</x:v>
      </x:c>
      <x:c r="L765" t="n">
        <x:v>1548732.8</x:v>
      </x:c>
      <x:c r="M765" t="n">
        <x:f>SUM(E765,J765:L765)</x:f>
        <x:v>6491925.18</x:v>
      </x:c>
      <x:c r="N765" t="n">
        <x:v>104000</x:v>
      </x:c>
      <x:c r="O765" t="n">
        <x:f>D765*N765</x:f>
        <x:v>1560000</x:v>
      </x:c>
      <x:c r="P765" s="22" t="n">
        <x:f>IF(O765=0,0,(M765-O765)/O765)</x:f>
        <x:v>3.1614904999999998</x:v>
      </x:c>
      <x:c r="Q765" s="20" t="n">
        <x:v>46069</x:v>
      </x:c>
    </x:row>
    <x:row r="766" ht="20" customHeight="1">
      <x:c r="A766" t="str">
        <x:v>WO00749</x:v>
      </x:c>
      <x:c r="B766" t="str">
        <x:v>LOT00749</x:v>
      </x:c>
      <x:c r="C766" t="str">
        <x:v>MECH-STG-A</x:v>
      </x:c>
      <x:c r="D766" t="n">
        <x:v>15</x:v>
      </x:c>
      <x:c r="E766" t="n">
        <x:v>993747.13</x:v>
      </x:c>
      <x:c r="F766" t="n">
        <x:v>1209.6</x:v>
      </x:c>
      <x:c r="G766" t="n">
        <x:v>3188.36</x:v>
      </x:c>
      <x:c r="H766" t="n">
        <x:v>2387.84</x:v>
      </x:c>
      <x:c r="I766" t="n">
        <x:v>2.91</x:v>
      </x:c>
      <x:c r="J766" t="n">
        <x:v>3590350.4</x:v>
      </x:c>
      <x:c r="K766" t="n">
        <x:v>81442.13</x:v>
      </x:c>
      <x:c r="L766" t="n">
        <x:v>1480247.4</x:v>
      </x:c>
      <x:c r="M766" t="n">
        <x:f>SUM(E766,J766:L766)</x:f>
        <x:v>6145787.06</x:v>
      </x:c>
      <x:c r="N766" t="n">
        <x:v>104000</x:v>
      </x:c>
      <x:c r="O766" t="n">
        <x:f>D766*N766</x:f>
        <x:v>1560000</x:v>
      </x:c>
      <x:c r="P766" s="22" t="n">
        <x:f>IF(O766=0,0,(M766-O766)/O766)</x:f>
        <x:v>2.9396070897435895</x:v>
      </x:c>
      <x:c r="Q766" s="20" t="n">
        <x:v>46065</x:v>
      </x:c>
    </x:row>
    <x:row r="767" ht="20" customHeight="1">
      <x:c r="A767" t="str">
        <x:v>WO00759</x:v>
      </x:c>
      <x:c r="B767" t="str">
        <x:v>LOT00759</x:v>
      </x:c>
      <x:c r="C767" t="str">
        <x:v>MECH-CON-A</x:v>
      </x:c>
      <x:c r="D767" t="n">
        <x:v>20</x:v>
      </x:c>
      <x:c r="E767" t="n">
        <x:v>1046983.06</x:v>
      </x:c>
      <x:c r="F767" t="n">
        <x:v>1742.75</x:v>
      </x:c>
      <x:c r="G767" t="n">
        <x:v>4317.84</x:v>
      </x:c>
      <x:c r="H767" t="n">
        <x:v>3706.02</x:v>
      </x:c>
      <x:c r="I767" t="n">
        <x:v>3.25</x:v>
      </x:c>
      <x:c r="J767" t="n">
        <x:v>5156953.9</x:v>
      </x:c>
      <x:c r="K767" t="n">
        <x:v>91093.85</x:v>
      </x:c>
      <x:c r="L767" t="n">
        <x:v>2119751.2</x:v>
      </x:c>
      <x:c r="M767" t="n">
        <x:f>SUM(E767,J767:L767)</x:f>
        <x:v>8414782.01</x:v>
      </x:c>
      <x:c r="N767" t="n">
        <x:v>83000</x:v>
      </x:c>
      <x:c r="O767" t="n">
        <x:f>D767*N767</x:f>
        <x:v>1660000</x:v>
      </x:c>
      <x:c r="P767" s="22" t="n">
        <x:f>IF(O767=0,0,(M767-O767)/O767)</x:f>
        <x:v>4.069145789156626</x:v>
      </x:c>
      <x:c r="Q767" s="20" t="n">
        <x:v>46064</x:v>
      </x:c>
    </x:row>
    <x:row r="768" ht="20" customHeight="1">
      <x:c r="A768" t="str">
        <x:v>WO00765</x:v>
      </x:c>
      <x:c r="B768" t="str">
        <x:v>LOT00765</x:v>
      </x:c>
      <x:c r="C768" t="str">
        <x:v>SEMI-WH-B</x:v>
      </x:c>
      <x:c r="D768" t="n">
        <x:v>39</x:v>
      </x:c>
      <x:c r="E768" t="n">
        <x:v>3184585.67</x:v>
      </x:c>
      <x:c r="F768" t="n">
        <x:v>1.03</x:v>
      </x:c>
      <x:c r="G768" t="n">
        <x:v>0</x:v>
      </x:c>
      <x:c r="H768" t="n">
        <x:v>0.34</x:v>
      </x:c>
      <x:c r="I768" t="n">
        <x:v>2.86</x:v>
      </x:c>
      <x:c r="J768" t="n">
        <x:v>832.7</x:v>
      </x:c>
      <x:c r="K768" t="n">
        <x:v>413935.57</x:v>
      </x:c>
      <x:c r="L768" t="n">
        <x:v>1303.8</x:v>
      </x:c>
      <x:c r="M768" t="n">
        <x:f>SUM(E768,J768:L768)</x:f>
        <x:v>3600657.7399999998</x:v>
      </x:c>
      <x:c r="N768" t="n">
        <x:v>130000</x:v>
      </x:c>
      <x:c r="O768" t="n">
        <x:f>D768*N768</x:f>
        <x:v>5070000</x:v>
      </x:c>
      <x:c r="P768" s="22" t="n">
        <x:f>IF(O768=0,0,(M768-O768)/O768)</x:f>
        <x:v>-0.2898110966469428</x:v>
      </x:c>
      <x:c r="Q768" s="20" t="n">
        <x:v>46086</x:v>
      </x:c>
    </x:row>
    <x:row r="769" ht="20" customHeight="1">
      <x:c r="A769" t="str">
        <x:v>WO00786</x:v>
      </x:c>
      <x:c r="B769" t="str">
        <x:v>LOT00786</x:v>
      </x:c>
      <x:c r="C769" t="str">
        <x:v>SEMI-WH-B</x:v>
      </x:c>
      <x:c r="D769" t="n">
        <x:v>79</x:v>
      </x:c>
      <x:c r="E769" t="n">
        <x:v>6070735.99</x:v>
      </x:c>
      <x:c r="F769" t="n">
        <x:v>2.18</x:v>
      </x:c>
      <x:c r="G769" t="n">
        <x:v>0</x:v>
      </x:c>
      <x:c r="H769" t="n">
        <x:v>0.72</x:v>
      </x:c>
      <x:c r="I769" t="n">
        <x:v>2.66</x:v>
      </x:c>
      <x:c r="J769" t="n">
        <x:v>1762.6</x:v>
      </x:c>
      <x:c r="K769" t="n">
        <x:v>834554.4</x:v>
      </x:c>
      <x:c r="L769" t="n">
        <x:v>1741.6</x:v>
      </x:c>
      <x:c r="M769" t="n">
        <x:f>SUM(E769,J769:L769)</x:f>
        <x:v>6908794.59</x:v>
      </x:c>
      <x:c r="N769" t="n">
        <x:v>130000</x:v>
      </x:c>
      <x:c r="O769" t="n">
        <x:f>D769*N769</x:f>
        <x:v>10270000</x:v>
      </x:c>
      <x:c r="P769" s="22" t="n">
        <x:f>IF(O769=0,0,(M769-O769)/O769)</x:f>
        <x:v>-0.32728387633885103</x:v>
      </x:c>
      <x:c r="Q769" s="20" t="n">
        <x:v>46092</x:v>
      </x:c>
    </x:row>
    <x:row r="770" ht="20" customHeight="1">
      <x:c r="A770" t="str">
        <x:v>WO00787</x:v>
      </x:c>
      <x:c r="B770" t="str">
        <x:v>LOT00787</x:v>
      </x:c>
      <x:c r="C770" t="str">
        <x:v>SEMI-WH-B</x:v>
      </x:c>
      <x:c r="D770" t="n">
        <x:v>78</x:v>
      </x:c>
      <x:c r="E770" t="n">
        <x:v>6060101.34</x:v>
      </x:c>
      <x:c r="F770" t="n">
        <x:v>2.19</x:v>
      </x:c>
      <x:c r="G770" t="n">
        <x:v>0</x:v>
      </x:c>
      <x:c r="H770" t="n">
        <x:v>0.78</x:v>
      </x:c>
      <x:c r="I770" t="n">
        <x:v>3.04</x:v>
      </x:c>
      <x:c r="J770" t="n">
        <x:v>1797.9</x:v>
      </x:c>
      <x:c r="K770" t="n">
        <x:v>828765.63</x:v>
      </x:c>
      <x:c r="L770" t="n">
        <x:v>1869</x:v>
      </x:c>
      <x:c r="M770" t="n">
        <x:f>SUM(E770,J770:L770)</x:f>
        <x:v>6892533.87</x:v>
      </x:c>
      <x:c r="N770" t="n">
        <x:v>130000</x:v>
      </x:c>
      <x:c r="O770" t="n">
        <x:f>D770*N770</x:f>
        <x:v>10140000</x:v>
      </x:c>
      <x:c r="P770" s="22" t="n">
        <x:f>IF(O770=0,0,(M770-O770)/O770)</x:f>
        <x:v>-0.3202629319526627</x:v>
      </x:c>
      <x:c r="Q770" s="20" t="n">
        <x:v>46094</x:v>
      </x:c>
    </x:row>
    <x:row r="771" ht="20" customHeight="1">
      <x:c r="A771" t="str">
        <x:v>WO00797</x:v>
      </x:c>
      <x:c r="B771" t="str">
        <x:v>LOT00797</x:v>
      </x:c>
      <x:c r="C771" t="str">
        <x:v>AUTO-KN-A</x:v>
      </x:c>
      <x:c r="D771" t="n">
        <x:v>4942</x:v>
      </x:c>
      <x:c r="E771" t="n">
        <x:v>7647696.72</x:v>
      </x:c>
      <x:c r="F771" t="n">
        <x:v>25.96</x:v>
      </x:c>
      <x:c r="G771" t="n">
        <x:v>0</x:v>
      </x:c>
      <x:c r="H771" t="n">
        <x:v>4.04</x:v>
      </x:c>
      <x:c r="I771" t="n">
        <x:v>1.07</x:v>
      </x:c>
      <x:c r="J771" t="n">
        <x:v>18813.2</x:v>
      </x:c>
      <x:c r="K771" t="n">
        <x:v>568716.68</x:v>
      </x:c>
      <x:c r="L771" t="n">
        <x:v>10832.2</x:v>
      </x:c>
      <x:c r="M771" t="n">
        <x:f>SUM(E771,J771:L771)</x:f>
        <x:v>8246058.8</x:v>
      </x:c>
      <x:c r="N771" t="n">
        <x:v>2210</x:v>
      </x:c>
      <x:c r="O771" t="n">
        <x:f>D771*N771</x:f>
        <x:v>10921820</x:v>
      </x:c>
      <x:c r="P771" s="22" t="n">
        <x:f>IF(O771=0,0,(M771-O771)/O771)</x:f>
        <x:v>-0.24499224488226323</x:v>
      </x:c>
      <x:c r="Q771" s="20" t="n">
        <x:v>46053</x:v>
      </x:c>
    </x:row>
    <x:row r="772" ht="20" customHeight="1">
      <x:c r="A772" t="str">
        <x:v>WO00798</x:v>
      </x:c>
      <x:c r="B772" t="str">
        <x:v>LOT00798</x:v>
      </x:c>
      <x:c r="C772" t="str">
        <x:v>AUTO-KN-A</x:v>
      </x:c>
      <x:c r="D772" t="n">
        <x:v>4951</x:v>
      </x:c>
      <x:c r="E772" t="n">
        <x:v>7100990.35</x:v>
      </x:c>
      <x:c r="F772" t="n">
        <x:v>25.21</x:v>
      </x:c>
      <x:c r="G772" t="n">
        <x:v>0</x:v>
      </x:c>
      <x:c r="H772" t="n">
        <x:v>4.55</x:v>
      </x:c>
      <x:c r="I772" t="n">
        <x:v>1.39</x:v>
      </x:c>
      <x:c r="J772" t="n">
        <x:v>18570.5</x:v>
      </x:c>
      <x:c r="K772" t="n">
        <x:v>657439.35</x:v>
      </x:c>
      <x:c r="L772" t="n">
        <x:v>10724.8</x:v>
      </x:c>
      <x:c r="M772" t="n">
        <x:f>SUM(E772,J772:L772)</x:f>
        <x:v>7787725</x:v>
      </x:c>
      <x:c r="N772" t="n">
        <x:v>2210</x:v>
      </x:c>
      <x:c r="O772" t="n">
        <x:f>D772*N772</x:f>
        <x:v>10941710</x:v>
      </x:c>
      <x:c r="P772" s="22" t="n">
        <x:f>IF(O772=0,0,(M772-O772)/O772)</x:f>
        <x:v>-0.2882533900094227</x:v>
      </x:c>
      <x:c r="Q772" s="20" t="n">
        <x:v>46051</x:v>
      </x:c>
    </x:row>
    <x:row r="773" ht="20" customHeight="1">
      <x:c r="A773" t="str">
        <x:v>WO00782</x:v>
      </x:c>
      <x:c r="B773" t="str">
        <x:v>LOT00782</x:v>
      </x:c>
      <x:c r="C773" t="str">
        <x:v>PM-BRG-B</x:v>
      </x:c>
      <x:c r="D773" t="n">
        <x:v>791</x:v>
      </x:c>
      <x:c r="E773" t="n">
        <x:v>2463133.95</x:v>
      </x:c>
      <x:c r="F773" t="n">
        <x:v>7.16</x:v>
      </x:c>
      <x:c r="G773" t="n">
        <x:v>0</x:v>
      </x:c>
      <x:c r="H773" t="n">
        <x:v>1.65</x:v>
      </x:c>
      <x:c r="I773" t="n">
        <x:v>1.8</x:v>
      </x:c>
      <x:c r="J773" t="n">
        <x:v>5446</x:v>
      </x:c>
      <x:c r="K773" t="n">
        <x:v>201675.98</x:v>
      </x:c>
      <x:c r="L773" t="n">
        <x:v>3524.8</x:v>
      </x:c>
      <x:c r="M773" t="n">
        <x:f>SUM(E773,J773:L773)</x:f>
        <x:v>2673780.73</x:v>
      </x:c>
      <x:c r="N773" t="n">
        <x:v>5400</x:v>
      </x:c>
      <x:c r="O773" t="n">
        <x:f>D773*N773</x:f>
        <x:v>4271400</x:v>
      </x:c>
      <x:c r="P773" s="22" t="n">
        <x:f>IF(O773=0,0,(M773-O773)/O773)</x:f>
        <x:v>-0.37402708011424823</x:v>
      </x:c>
      <x:c r="Q773" s="20" t="n">
        <x:v>46048</x:v>
      </x:c>
    </x:row>
    <x:row r="774" ht="20" customHeight="1">
      <x:c r="A774" t="str">
        <x:v>WO00774</x:v>
      </x:c>
      <x:c r="B774" t="str">
        <x:v>LOT00774</x:v>
      </x:c>
      <x:c r="C774" t="str">
        <x:v>AUTO-BRK-A</x:v>
      </x:c>
      <x:c r="D774" t="n">
        <x:v>6893</x:v>
      </x:c>
      <x:c r="E774" t="n">
        <x:v>6244013.02</x:v>
      </x:c>
      <x:c r="F774" t="n">
        <x:v>34.3</x:v>
      </x:c>
      <x:c r="G774" t="n">
        <x:v>0</x:v>
      </x:c>
      <x:c r="H774" t="n">
        <x:v>5.66</x:v>
      </x:c>
      <x:c r="I774" t="n">
        <x:v>1.23</x:v>
      </x:c>
      <x:c r="J774" t="n">
        <x:v>25011.8</x:v>
      </x:c>
      <x:c r="K774" t="n">
        <x:v>602129.25</x:v>
      </x:c>
      <x:c r="L774" t="n">
        <x:v>14308.6</x:v>
      </x:c>
      <x:c r="M774" t="n">
        <x:f>SUM(E774,J774:L774)</x:f>
        <x:v>6885462.67</x:v>
      </x:c>
      <x:c r="N774" t="n">
        <x:v>1380</x:v>
      </x:c>
      <x:c r="O774" t="n">
        <x:f>D774*N774</x:f>
        <x:v>9512340</x:v>
      </x:c>
      <x:c r="P774" s="22" t="n">
        <x:f>IF(O774=0,0,(M774-O774)/O774)</x:f>
        <x:v>-0.2761546927464746</x:v>
      </x:c>
      <x:c r="Q774" s="20" t="n">
        <x:v>46053</x:v>
      </x:c>
    </x:row>
    <x:row r="775" ht="20" customHeight="1">
      <x:c r="A775" t="str">
        <x:v>WO00795</x:v>
      </x:c>
      <x:c r="B775" t="str">
        <x:v>LOT00795</x:v>
      </x:c>
      <x:c r="C775" t="str">
        <x:v>MECH-CON-A</x:v>
      </x:c>
      <x:c r="D775" t="n">
        <x:v>19</x:v>
      </x:c>
      <x:c r="E775" t="n">
        <x:v>1045297.96</x:v>
      </x:c>
      <x:c r="F775" t="n">
        <x:v>1456.36</x:v>
      </x:c>
      <x:c r="G775" t="n">
        <x:v>5340.48</x:v>
      </x:c>
      <x:c r="H775" t="n">
        <x:v>3777.79</x:v>
      </x:c>
      <x:c r="I775" t="n">
        <x:v>2.76</x:v>
      </x:c>
      <x:c r="J775" t="n">
        <x:v>5537022.8</x:v>
      </x:c>
      <x:c r="K775" t="n">
        <x:v>104727.84</x:v>
      </x:c>
      <x:c r="L775" t="n">
        <x:v>2226787.2</x:v>
      </x:c>
      <x:c r="M775" t="n">
        <x:f>SUM(E775,J775:L775)</x:f>
        <x:v>8913835.8</x:v>
      </x:c>
      <x:c r="N775" t="n">
        <x:v>83000</x:v>
      </x:c>
      <x:c r="O775" t="n">
        <x:f>D775*N775</x:f>
        <x:v>1577000</x:v>
      </x:c>
      <x:c r="P775" s="22" t="n">
        <x:f>IF(O775=0,0,(M775-O775)/O775)</x:f>
        <x:v>4.652400634115409</x:v>
      </x:c>
      <x:c r="Q775" s="20" t="n">
        <x:v>46075</x:v>
      </x:c>
    </x:row>
    <x:row r="776" ht="20" customHeight="1">
      <x:c r="A776" t="str">
        <x:v>WO00785</x:v>
      </x:c>
      <x:c r="B776" t="str">
        <x:v>LOT00785</x:v>
      </x:c>
      <x:c r="C776" t="str">
        <x:v>AUTO-MH-B</x:v>
      </x:c>
      <x:c r="D776" t="n">
        <x:v>6436</x:v>
      </x:c>
      <x:c r="E776" t="n">
        <x:v>10070337.7</x:v>
      </x:c>
      <x:c r="F776" t="n">
        <x:v>35.15</x:v>
      </x:c>
      <x:c r="G776" t="n">
        <x:v>0</x:v>
      </x:c>
      <x:c r="H776" t="n">
        <x:v>4.83</x:v>
      </x:c>
      <x:c r="I776" t="n">
        <x:v>1.25</x:v>
      </x:c>
      <x:c r="J776" t="n">
        <x:v>25165.9</x:v>
      </x:c>
      <x:c r="K776" t="n">
        <x:v>622699.99</x:v>
      </x:c>
      <x:c r="L776" t="n">
        <x:v>14504.8</x:v>
      </x:c>
      <x:c r="M776" t="n">
        <x:f>SUM(E776,J776:L776)</x:f>
        <x:v>10732708.389999999</x:v>
      </x:c>
      <x:c r="N776" t="n">
        <x:v>2320</x:v>
      </x:c>
      <x:c r="O776" t="n">
        <x:f>D776*N776</x:f>
        <x:v>14931520</x:v>
      </x:c>
      <x:c r="P776" s="22" t="n">
        <x:f>IF(O776=0,0,(M776-O776)/O776)</x:f>
        <x:v>-0.2812045665812992</x:v>
      </x:c>
      <x:c r="Q776" s="20" t="n">
        <x:v>46061</x:v>
      </x:c>
    </x:row>
    <x:row r="777" ht="20" customHeight="1">
      <x:c r="A777" t="str">
        <x:v>WO00769</x:v>
      </x:c>
      <x:c r="B777" t="str">
        <x:v>LOT00769</x:v>
      </x:c>
      <x:c r="C777" t="str">
        <x:v>AUTO-KN-A</x:v>
      </x:c>
      <x:c r="D777" t="n">
        <x:v>4940</x:v>
      </x:c>
      <x:c r="E777" t="n">
        <x:v>7633644.28</x:v>
      </x:c>
      <x:c r="F777" t="n">
        <x:v>27.33</x:v>
      </x:c>
      <x:c r="G777" t="n">
        <x:v>0</x:v>
      </x:c>
      <x:c r="H777" t="n">
        <x:v>4.21</x:v>
      </x:c>
      <x:c r="I777" t="n">
        <x:v>1.24</x:v>
      </x:c>
      <x:c r="J777" t="n">
        <x:v>19785.3</x:v>
      </x:c>
      <x:c r="K777" t="n">
        <x:v>543938.36</x:v>
      </x:c>
      <x:c r="L777" t="n">
        <x:v>11431</x:v>
      </x:c>
      <x:c r="M777" t="n">
        <x:f>SUM(E777,J777:L777)</x:f>
        <x:v>8208798.94</x:v>
      </x:c>
      <x:c r="N777" t="n">
        <x:v>2210</x:v>
      </x:c>
      <x:c r="O777" t="n">
        <x:f>D777*N777</x:f>
        <x:v>10917400</x:v>
      </x:c>
      <x:c r="P777" s="22" t="n">
        <x:f>IF(O777=0,0,(M777-O777)/O777)</x:f>
        <x:v>-0.24809946141022585</x:v>
      </x:c>
      <x:c r="Q777" s="20" t="n">
        <x:v>46062</x:v>
      </x:c>
    </x:row>
    <x:row r="778" ht="20" customHeight="1">
      <x:c r="A778" t="str">
        <x:v>WO00784</x:v>
      </x:c>
      <x:c r="B778" t="str">
        <x:v>LOT00784</x:v>
      </x:c>
      <x:c r="C778" t="str">
        <x:v>AUTO-MH-B</x:v>
      </x:c>
      <x:c r="D778" t="n">
        <x:v>6415</x:v>
      </x:c>
      <x:c r="E778" t="n">
        <x:v>10586963.74</x:v>
      </x:c>
      <x:c r="F778" t="n">
        <x:v>32.84</x:v>
      </x:c>
      <x:c r="G778" t="n">
        <x:v>0</x:v>
      </x:c>
      <x:c r="H778" t="n">
        <x:v>4.6</x:v>
      </x:c>
      <x:c r="I778" t="n">
        <x:v>1.13</x:v>
      </x:c>
      <x:c r="J778" t="n">
        <x:v>23554</x:v>
      </x:c>
      <x:c r="K778" t="n">
        <x:v>565493.3</x:v>
      </x:c>
      <x:c r="L778" t="n">
        <x:v>13554.2</x:v>
      </x:c>
      <x:c r="M778" t="n">
        <x:f>SUM(E778,J778:L778)</x:f>
        <x:v>11189565.24</x:v>
      </x:c>
      <x:c r="N778" t="n">
        <x:v>2320</x:v>
      </x:c>
      <x:c r="O778" t="n">
        <x:f>D778*N778</x:f>
        <x:v>14882800</x:v>
      </x:c>
      <x:c r="P778" s="22" t="n">
        <x:f>IF(O778=0,0,(M778-O778)/O778)</x:f>
        <x:v>-0.24815456500120944</x:v>
      </x:c>
      <x:c r="Q778" s="20" t="n">
        <x:v>46069</x:v>
      </x:c>
    </x:row>
    <x:row r="779" ht="20" customHeight="1">
      <x:c r="A779" t="str">
        <x:v>WO00768</x:v>
      </x:c>
      <x:c r="B779" t="str">
        <x:v>LOT00768</x:v>
      </x:c>
      <x:c r="C779" t="str">
        <x:v>AUTO-KN-A</x:v>
      </x:c>
      <x:c r="D779" t="n">
        <x:v>4949</x:v>
      </x:c>
      <x:c r="E779" t="n">
        <x:v>7558574.2</x:v>
      </x:c>
      <x:c r="F779" t="n">
        <x:v>27.88</x:v>
      </x:c>
      <x:c r="G779" t="n">
        <x:v>0</x:v>
      </x:c>
      <x:c r="H779" t="n">
        <x:v>4.19</x:v>
      </x:c>
      <x:c r="I779" t="n">
        <x:v>1.27</x:v>
      </x:c>
      <x:c r="J779" t="n">
        <x:v>20133.2</x:v>
      </x:c>
      <x:c r="K779" t="n">
        <x:v>577551.06</x:v>
      </x:c>
      <x:c r="L779" t="n">
        <x:v>11645.8</x:v>
      </x:c>
      <x:c r="M779" t="n">
        <x:f>SUM(E779,J779:L779)</x:f>
        <x:v>8167904.26</x:v>
      </x:c>
      <x:c r="N779" t="n">
        <x:v>2210</x:v>
      </x:c>
      <x:c r="O779" t="n">
        <x:f>D779*N779</x:f>
        <x:v>10937290</x:v>
      </x:c>
      <x:c r="P779" s="22" t="n">
        <x:f>IF(O779=0,0,(M779-O779)/O779)</x:f>
        <x:v>-0.25320584349505226</x:v>
      </x:c>
      <x:c r="Q779" s="20" t="n">
        <x:v>46063</x:v>
      </x:c>
    </x:row>
    <x:row r="780" ht="20" customHeight="1">
      <x:c r="A780" t="str">
        <x:v>WO00772</x:v>
      </x:c>
      <x:c r="B780" t="str">
        <x:v>LOT00772</x:v>
      </x:c>
      <x:c r="C780" t="str">
        <x:v>AUTO-FL-A</x:v>
      </x:c>
      <x:c r="D780" t="n">
        <x:v>6421</x:v>
      </x:c>
      <x:c r="E780" t="n">
        <x:v>4214468.2</x:v>
      </x:c>
      <x:c r="F780" t="n">
        <x:v>32.4</x:v>
      </x:c>
      <x:c r="G780" t="n">
        <x:v>0</x:v>
      </x:c>
      <x:c r="H780" t="n">
        <x:v>6.04</x:v>
      </x:c>
      <x:c r="I780" t="n">
        <x:v>1.19</x:v>
      </x:c>
      <x:c r="J780" t="n">
        <x:v>23959.2</x:v>
      </x:c>
      <x:c r="K780" t="n">
        <x:v>294035.19</x:v>
      </x:c>
      <x:c r="L780" t="n">
        <x:v>13635.4</x:v>
      </x:c>
      <x:c r="M780" t="n">
        <x:f>SUM(E780,J780:L780)</x:f>
        <x:v>4546097.99</x:v>
      </x:c>
      <x:c r="N780" t="n">
        <x:v>970</x:v>
      </x:c>
      <x:c r="O780" t="n">
        <x:f>D780*N780</x:f>
        <x:v>6228370</x:v>
      </x:c>
      <x:c r="P780" s="22" t="n">
        <x:f>IF(O780=0,0,(M780-O780)/O780)</x:f>
        <x:v>-0.2700982777195317</x:v>
      </x:c>
      <x:c r="Q780" s="20" t="n">
        <x:v>46059</x:v>
      </x:c>
    </x:row>
    <x:row r="781" ht="20" customHeight="1">
      <x:c r="A781" t="str">
        <x:v>WO00775</x:v>
      </x:c>
      <x:c r="B781" t="str">
        <x:v>LOT00775</x:v>
      </x:c>
      <x:c r="C781" t="str">
        <x:v>AUTO-BS-A</x:v>
      </x:c>
      <x:c r="D781" t="n">
        <x:v>5000</x:v>
      </x:c>
      <x:c r="E781" t="n">
        <x:v>1682630.96</x:v>
      </x:c>
      <x:c r="F781" t="n">
        <x:v>25.35</x:v>
      </x:c>
      <x:c r="G781" t="n">
        <x:v>0</x:v>
      </x:c>
      <x:c r="H781" t="n">
        <x:v>3.67</x:v>
      </x:c>
      <x:c r="I781" t="n">
        <x:v>1.22</x:v>
      </x:c>
      <x:c r="J781" t="n">
        <x:v>18239.1</x:v>
      </x:c>
      <x:c r="K781" t="n">
        <x:v>144410.4</x:v>
      </x:c>
      <x:c r="L781" t="n">
        <x:v>10586.2</x:v>
      </x:c>
      <x:c r="M781" t="n">
        <x:f>SUM(E781,J781:L781)</x:f>
        <x:v>1855866.66</x:v>
      </x:c>
      <x:c r="N781" t="n">
        <x:v>550</x:v>
      </x:c>
      <x:c r="O781" t="n">
        <x:f>D781*N781</x:f>
        <x:v>2750000</x:v>
      </x:c>
      <x:c r="P781" s="22" t="n">
        <x:f>IF(O781=0,0,(M781-O781)/O781)</x:f>
        <x:v>-0.32513939636363637</x:v>
      </x:c>
      <x:c r="Q781" s="20" t="n">
        <x:v>46053</x:v>
      </x:c>
    </x:row>
    <x:row r="782" ht="20" customHeight="1">
      <x:c r="A782" t="str">
        <x:v>WO00776</x:v>
      </x:c>
      <x:c r="B782" t="str">
        <x:v>LOT00776</x:v>
      </x:c>
      <x:c r="C782" t="str">
        <x:v>AUTO-BS-A</x:v>
      </x:c>
      <x:c r="D782" t="n">
        <x:v>4929</x:v>
      </x:c>
      <x:c r="E782" t="n">
        <x:v>1684901.88</x:v>
      </x:c>
      <x:c r="F782" t="n">
        <x:v>25.47</x:v>
      </x:c>
      <x:c r="G782" t="n">
        <x:v>0</x:v>
      </x:c>
      <x:c r="H782" t="n">
        <x:v>3.74</x:v>
      </x:c>
      <x:c r="I782" t="n">
        <x:v>1.24</x:v>
      </x:c>
      <x:c r="J782" t="n">
        <x:v>18350.7</x:v>
      </x:c>
      <x:c r="K782" t="n">
        <x:v>146339.46</x:v>
      </x:c>
      <x:c r="L782" t="n">
        <x:v>10649</x:v>
      </x:c>
      <x:c r="M782" t="n">
        <x:f>SUM(E782,J782:L782)</x:f>
        <x:v>1860241.0399999998</x:v>
      </x:c>
      <x:c r="N782" t="n">
        <x:v>550</x:v>
      </x:c>
      <x:c r="O782" t="n">
        <x:f>D782*N782</x:f>
        <x:v>2710950</x:v>
      </x:c>
      <x:c r="P782" s="22" t="n">
        <x:f>IF(O782=0,0,(M782-O782)/O782)</x:f>
        <x:v>-0.3138047400357809</x:v>
      </x:c>
      <x:c r="Q782" s="20" t="n">
        <x:v>46052</x:v>
      </x:c>
    </x:row>
    <x:row r="783" ht="20" customHeight="1">
      <x:c r="A783" t="str">
        <x:v>WO00771</x:v>
      </x:c>
      <x:c r="B783" t="str">
        <x:v>LOT00771</x:v>
      </x:c>
      <x:c r="C783" t="str">
        <x:v>AUTO-FL-A</x:v>
      </x:c>
      <x:c r="D783" t="n">
        <x:v>6380</x:v>
      </x:c>
      <x:c r="E783" t="n">
        <x:v>4114302.38</x:v>
      </x:c>
      <x:c r="F783" t="n">
        <x:v>31.75</x:v>
      </x:c>
      <x:c r="G783" t="n">
        <x:v>0</x:v>
      </x:c>
      <x:c r="H783" t="n">
        <x:v>6.07</x:v>
      </x:c>
      <x:c r="I783" t="n">
        <x:v>1.18</x:v>
      </x:c>
      <x:c r="J783" t="n">
        <x:v>23551.1</x:v>
      </x:c>
      <x:c r="K783" t="n">
        <x:v>325942.16</x:v>
      </x:c>
      <x:c r="L783" t="n">
        <x:v>13390.2</x:v>
      </x:c>
      <x:c r="M783" t="n">
        <x:f>SUM(E783,J783:L783)</x:f>
        <x:v>4477185.84</x:v>
      </x:c>
      <x:c r="N783" t="n">
        <x:v>970</x:v>
      </x:c>
      <x:c r="O783" t="n">
        <x:f>D783*N783</x:f>
        <x:v>6188600</x:v>
      </x:c>
      <x:c r="P783" s="22" t="n">
        <x:f>IF(O783=0,0,(M783-O783)/O783)</x:f>
        <x:v>-0.27654302427043276</x:v>
      </x:c>
      <x:c r="Q783" s="20" t="n">
        <x:v>46057</x:v>
      </x:c>
    </x:row>
    <x:row r="784" ht="20" customHeight="1">
      <x:c r="A784" t="str">
        <x:v>WO00788</x:v>
      </x:c>
      <x:c r="B784" t="str">
        <x:v>LOT00788</x:v>
      </x:c>
      <x:c r="C784" t="str">
        <x:v>AUTO-FL-B</x:v>
      </x:c>
      <x:c r="D784" t="n">
        <x:v>6400</x:v>
      </x:c>
      <x:c r="E784" t="n">
        <x:v>4918415.21</x:v>
      </x:c>
      <x:c r="F784" t="n">
        <x:v>32.47</x:v>
      </x:c>
      <x:c r="G784" t="n">
        <x:v>0</x:v>
      </x:c>
      <x:c r="H784" t="n">
        <x:v>5.33</x:v>
      </x:c>
      <x:c r="I784" t="n">
        <x:v>1.17</x:v>
      </x:c>
      <x:c r="J784" t="n">
        <x:v>23663.9</x:v>
      </x:c>
      <x:c r="K784" t="n">
        <x:v>427715.8</x:v>
      </x:c>
      <x:c r="L784" t="n">
        <x:v>13542.4</x:v>
      </x:c>
      <x:c r="M784" t="n">
        <x:f>SUM(E784,J784:L784)</x:f>
        <x:v>5383337.31</x:v>
      </x:c>
      <x:c r="N784" t="n">
        <x:v>1170</x:v>
      </x:c>
      <x:c r="O784" t="n">
        <x:f>D784*N784</x:f>
        <x:v>7488000</x:v>
      </x:c>
      <x:c r="P784" s="22" t="n">
        <x:f>IF(O784=0,0,(M784-O784)/O784)</x:f>
        <x:v>-0.28107140625000004</x:v>
      </x:c>
      <x:c r="Q784" s="20" t="n">
        <x:v>46066</x:v>
      </x:c>
    </x:row>
    <x:row r="785" ht="20" customHeight="1">
      <x:c r="A785" t="str">
        <x:v>WO00793</x:v>
      </x:c>
      <x:c r="B785" t="str">
        <x:v>LOT00793</x:v>
      </x:c>
      <x:c r="C785" t="str">
        <x:v>AUTO-KN-A</x:v>
      </x:c>
      <x:c r="D785" t="n">
        <x:v>6922</x:v>
      </x:c>
      <x:c r="E785" t="n">
        <x:v>10190972.57</x:v>
      </x:c>
      <x:c r="F785" t="n">
        <x:v>37.54</x:v>
      </x:c>
      <x:c r="G785" t="n">
        <x:v>0</x:v>
      </x:c>
      <x:c r="H785" t="n">
        <x:v>6.3</x:v>
      </x:c>
      <x:c r="I785" t="n">
        <x:v>1.18</x:v>
      </x:c>
      <x:c r="J785" t="n">
        <x:v>27425</x:v>
      </x:c>
      <x:c r="K785" t="n">
        <x:v>839462.14</x:v>
      </x:c>
      <x:c r="L785" t="n">
        <x:v>15627.2</x:v>
      </x:c>
      <x:c r="M785" t="n">
        <x:f>SUM(E785,J785:L785)</x:f>
        <x:v>11073486.91</x:v>
      </x:c>
      <x:c r="N785" t="n">
        <x:v>2210</x:v>
      </x:c>
      <x:c r="O785" t="n">
        <x:f>D785*N785</x:f>
        <x:v>15297620</x:v>
      </x:c>
      <x:c r="P785" s="22" t="n">
        <x:f>IF(O785=0,0,(M785-O785)/O785)</x:f>
        <x:v>-0.27613008363392477</x:v>
      </x:c>
      <x:c r="Q785" s="20" t="n">
        <x:v>46061</x:v>
      </x:c>
    </x:row>
    <x:row r="786" ht="20" customHeight="1">
      <x:c r="A786" t="str">
        <x:v>WO00781</x:v>
      </x:c>
      <x:c r="B786" t="str">
        <x:v>LOT00781</x:v>
      </x:c>
      <x:c r="C786" t="str">
        <x:v>PM-VAC-B</x:v>
      </x:c>
      <x:c r="D786" t="n">
        <x:v>295</x:v>
      </x:c>
      <x:c r="E786" t="n">
        <x:v>2776562.91</x:v>
      </x:c>
      <x:c r="F786" t="n">
        <x:v>2.64</x:v>
      </x:c>
      <x:c r="G786" t="n">
        <x:v>0</x:v>
      </x:c>
      <x:c r="H786" t="n">
        <x:v>0.6</x:v>
      </x:c>
      <x:c r="I786" t="n">
        <x:v>1.81</x:v>
      </x:c>
      <x:c r="J786" t="n">
        <x:v>2004</x:v>
      </x:c>
      <x:c r="K786" t="n">
        <x:v>356005.48</x:v>
      </x:c>
      <x:c r="L786" t="n">
        <x:v>1642.2</x:v>
      </x:c>
      <x:c r="M786" t="n">
        <x:f>SUM(E786,J786:L786)</x:f>
        <x:v>3136214.5900000003</x:v>
      </x:c>
      <x:c r="N786" t="n">
        <x:v>15500</x:v>
      </x:c>
      <x:c r="O786" t="n">
        <x:f>D786*N786</x:f>
        <x:v>4572500</x:v>
      </x:c>
      <x:c r="P786" s="22" t="n">
        <x:f>IF(O786=0,0,(M786-O786)/O786)</x:f>
        <x:v>-0.3141138130125751</x:v>
      </x:c>
      <x:c r="Q786" s="20" t="n">
        <x:v>46080</x:v>
      </x:c>
    </x:row>
    <x:row r="787" ht="20" customHeight="1">
      <x:c r="A787" t="str">
        <x:v>WO00789</x:v>
      </x:c>
      <x:c r="B787" t="str">
        <x:v>LOT00789</x:v>
      </x:c>
      <x:c r="C787" t="str">
        <x:v>AUTO-FL-B</x:v>
      </x:c>
      <x:c r="D787" t="n">
        <x:v>6460</x:v>
      </x:c>
      <x:c r="E787" t="n">
        <x:v>4859609.65</x:v>
      </x:c>
      <x:c r="F787" t="n">
        <x:v>36.81</x:v>
      </x:c>
      <x:c r="G787" t="n">
        <x:v>0</x:v>
      </x:c>
      <x:c r="H787" t="n">
        <x:v>4.73</x:v>
      </x:c>
      <x:c r="I787" t="n">
        <x:v>1.27</x:v>
      </x:c>
      <x:c r="J787" t="n">
        <x:v>26196.9</x:v>
      </x:c>
      <x:c r="K787" t="n">
        <x:v>396551.01</x:v>
      </x:c>
      <x:c r="L787" t="n">
        <x:v>15125.6</x:v>
      </x:c>
      <x:c r="M787" t="n">
        <x:f>SUM(E787,J787:L787)</x:f>
        <x:v>5297483.16</x:v>
      </x:c>
      <x:c r="N787" t="n">
        <x:v>1170</x:v>
      </x:c>
      <x:c r="O787" t="n">
        <x:f>D787*N787</x:f>
        <x:v>7558200</x:v>
      </x:c>
      <x:c r="P787" s="22" t="n">
        <x:f>IF(O787=0,0,(M787-O787)/O787)</x:f>
        <x:v>-0.29910783519885686</x:v>
      </x:c>
      <x:c r="Q787" s="20" t="n">
        <x:v>46060</x:v>
      </x:c>
    </x:row>
    <x:row r="788" ht="20" customHeight="1">
      <x:c r="A788" t="str">
        <x:v>WO00794</x:v>
      </x:c>
      <x:c r="B788" t="str">
        <x:v>LOT00794</x:v>
      </x:c>
      <x:c r="C788" t="str">
        <x:v>AUTO-KN-B</x:v>
      </x:c>
      <x:c r="D788" t="n">
        <x:v>4928</x:v>
      </x:c>
      <x:c r="E788" t="n">
        <x:v>8978628.62</x:v>
      </x:c>
      <x:c r="F788" t="n">
        <x:v>23.96</x:v>
      </x:c>
      <x:c r="G788" t="n">
        <x:v>0</x:v>
      </x:c>
      <x:c r="H788" t="n">
        <x:v>3.91</x:v>
      </x:c>
      <x:c r="I788" t="n">
        <x:v>1.11</x:v>
      </x:c>
      <x:c r="J788" t="n">
        <x:v>17450.8</x:v>
      </x:c>
      <x:c r="K788" t="n">
        <x:v>680766.26</x:v>
      </x:c>
      <x:c r="L788" t="n">
        <x:v>10063.4</x:v>
      </x:c>
      <x:c r="M788" t="n">
        <x:f>SUM(E788,J788:L788)</x:f>
        <x:v>9686909.08</x:v>
      </x:c>
      <x:c r="N788" t="n">
        <x:v>2590</x:v>
      </x:c>
      <x:c r="O788" t="n">
        <x:f>D788*N788</x:f>
        <x:v>12763520</x:v>
      </x:c>
      <x:c r="P788" s="22" t="n">
        <x:f>IF(O788=0,0,(M788-O788)/O788)</x:f>
        <x:v>-0.24104721268114124</x:v>
      </x:c>
      <x:c r="Q788" s="20" t="n">
        <x:v>46067</x:v>
      </x:c>
    </x:row>
    <x:row r="789" ht="20" customHeight="1">
      <x:c r="A789" t="str">
        <x:v>WO00778</x:v>
      </x:c>
      <x:c r="B789" t="str">
        <x:v>LOT00778</x:v>
      </x:c>
      <x:c r="C789" t="str">
        <x:v>AUTO-MH-B</x:v>
      </x:c>
      <x:c r="D789" t="n">
        <x:v>4948</x:v>
      </x:c>
      <x:c r="E789" t="n">
        <x:v>7904625.71</x:v>
      </x:c>
      <x:c r="F789" t="n">
        <x:v>26.03</x:v>
      </x:c>
      <x:c r="G789" t="n">
        <x:v>0</x:v>
      </x:c>
      <x:c r="H789" t="n">
        <x:v>3.98</x:v>
      </x:c>
      <x:c r="I789" t="n">
        <x:v>1.2</x:v>
      </x:c>
      <x:c r="J789" t="n">
        <x:v>18829.9</x:v>
      </x:c>
      <x:c r="K789" t="n">
        <x:v>478477.35</x:v>
      </x:c>
      <x:c r="L789" t="n">
        <x:v>10888.2</x:v>
      </x:c>
      <x:c r="M789" t="n">
        <x:f>SUM(E789,J789:L789)</x:f>
        <x:v>8412821.16</x:v>
      </x:c>
      <x:c r="N789" t="n">
        <x:v>2320</x:v>
      </x:c>
      <x:c r="O789" t="n">
        <x:f>D789*N789</x:f>
        <x:v>11479360</x:v>
      </x:c>
      <x:c r="P789" s="22" t="n">
        <x:f>IF(O789=0,0,(M789-O789)/O789)</x:f>
        <x:v>-0.2671350005575224</x:v>
      </x:c>
      <x:c r="Q789" s="20" t="n">
        <x:v>46065</x:v>
      </x:c>
    </x:row>
    <x:row r="790" ht="20" customHeight="1">
      <x:c r="A790" t="str">
        <x:v>WO00777</x:v>
      </x:c>
      <x:c r="B790" t="str">
        <x:v>LOT00777</x:v>
      </x:c>
      <x:c r="C790" t="str">
        <x:v>AUTO-MH-B</x:v>
      </x:c>
      <x:c r="D790" t="n">
        <x:v>4917</x:v>
      </x:c>
      <x:c r="E790" t="n">
        <x:v>8203914.37</x:v>
      </x:c>
      <x:c r="F790" t="n">
        <x:v>25.29</x:v>
      </x:c>
      <x:c r="G790" t="n">
        <x:v>0</x:v>
      </x:c>
      <x:c r="H790" t="n">
        <x:v>4.06</x:v>
      </x:c>
      <x:c r="I790" t="n">
        <x:v>1.27</x:v>
      </x:c>
      <x:c r="J790" t="n">
        <x:v>18387.3</x:v>
      </x:c>
      <x:c r="K790" t="n">
        <x:v>497620.6</x:v>
      </x:c>
      <x:c r="L790" t="n">
        <x:v>10640.8</x:v>
      </x:c>
      <x:c r="M790" t="n">
        <x:f>SUM(E790,J790:L790)</x:f>
        <x:v>8730563.07</x:v>
      </x:c>
      <x:c r="N790" t="n">
        <x:v>2320</x:v>
      </x:c>
      <x:c r="O790" t="n">
        <x:f>D790*N790</x:f>
        <x:v>11407440</x:v>
      </x:c>
      <x:c r="P790" s="22" t="n">
        <x:f>IF(O790=0,0,(M790-O790)/O790)</x:f>
        <x:v>-0.23466061885927075</x:v>
      </x:c>
      <x:c r="Q790" s="20" t="n">
        <x:v>46070</x:v>
      </x:c>
    </x:row>
    <x:row r="791" ht="20" customHeight="1">
      <x:c r="A791" t="str">
        <x:v>WO00770</x:v>
      </x:c>
      <x:c r="B791" t="str">
        <x:v>LOT00770</x:v>
      </x:c>
      <x:c r="C791" t="str">
        <x:v>AUTO-FL-B</x:v>
      </x:c>
      <x:c r="D791" t="n">
        <x:v>6917</x:v>
      </x:c>
      <x:c r="E791" t="n">
        <x:v>5308405.28</x:v>
      </x:c>
      <x:c r="F791" t="n">
        <x:v>33.08</x:v>
      </x:c>
      <x:c r="G791" t="n">
        <x:v>0</x:v>
      </x:c>
      <x:c r="H791" t="n">
        <x:v>5.99</x:v>
      </x:c>
      <x:c r="I791" t="n">
        <x:v>1.12</x:v>
      </x:c>
      <x:c r="J791" t="n">
        <x:v>24377.2</x:v>
      </x:c>
      <x:c r="K791" t="n">
        <x:v>384748.55</x:v>
      </x:c>
      <x:c r="L791" t="n">
        <x:v>13864.8</x:v>
      </x:c>
      <x:c r="M791" t="n">
        <x:f>SUM(E791,J791:L791)</x:f>
        <x:v>5731395.83</x:v>
      </x:c>
      <x:c r="N791" t="n">
        <x:v>1170</x:v>
      </x:c>
      <x:c r="O791" t="n">
        <x:f>D791*N791</x:f>
        <x:v>8092890</x:v>
      </x:c>
      <x:c r="P791" s="22" t="n">
        <x:f>IF(O791=0,0,(M791-O791)/O791)</x:f>
        <x:v>-0.2917986244716041</x:v>
      </x:c>
      <x:c r="Q791" s="20" t="n">
        <x:v>46072</x:v>
      </x:c>
    </x:row>
    <x:row r="792" ht="20" customHeight="1">
      <x:c r="A792" t="str">
        <x:v>WO00783</x:v>
      </x:c>
      <x:c r="B792" t="str">
        <x:v>LOT00783</x:v>
      </x:c>
      <x:c r="C792" t="str">
        <x:v>MECH-STG-A</x:v>
      </x:c>
      <x:c r="D792" t="n">
        <x:v>20</x:v>
      </x:c>
      <x:c r="E792" t="n">
        <x:v>1364680.63</x:v>
      </x:c>
      <x:c r="F792" t="n">
        <x:v>1496.62</x:v>
      </x:c>
      <x:c r="G792" t="n">
        <x:v>4910.53</x:v>
      </x:c>
      <x:c r="H792" t="n">
        <x:v>3481.82</x:v>
      </x:c>
      <x:c r="I792" t="n">
        <x:v>2.93</x:v>
      </x:c>
      <x:c r="J792" t="n">
        <x:v>5197552.2</x:v>
      </x:c>
      <x:c r="K792" t="n">
        <x:v>128488.04</x:v>
      </x:c>
      <x:c r="L792" t="n">
        <x:v>2108791.8</x:v>
      </x:c>
      <x:c r="M792" t="n">
        <x:f>SUM(E792,J792:L792)</x:f>
        <x:v>8799512.67</x:v>
      </x:c>
      <x:c r="N792" t="n">
        <x:v>104000</x:v>
      </x:c>
      <x:c r="O792" t="n">
        <x:f>D792*N792</x:f>
        <x:v>2080000</x:v>
      </x:c>
      <x:c r="P792" s="22" t="n">
        <x:f>IF(O792=0,0,(M792-O792)/O792)</x:f>
        <x:v>3.2305349375</x:v>
      </x:c>
      <x:c r="Q792" s="20" t="n">
        <x:v>46093</x:v>
      </x:c>
    </x:row>
    <x:row r="793" ht="20" customHeight="1">
      <x:c r="A793" t="str">
        <x:v>WO00780</x:v>
      </x:c>
      <x:c r="B793" t="str">
        <x:v>LOT00780</x:v>
      </x:c>
      <x:c r="C793" t="str">
        <x:v>AUTO-BRK-A</x:v>
      </x:c>
      <x:c r="D793" t="n">
        <x:v>4946</x:v>
      </x:c>
      <x:c r="E793" t="n">
        <x:v>4438952.02</x:v>
      </x:c>
      <x:c r="F793" t="n">
        <x:v>27.12</x:v>
      </x:c>
      <x:c r="G793" t="n">
        <x:v>0</x:v>
      </x:c>
      <x:c r="H793" t="n">
        <x:v>4.16</x:v>
      </x:c>
      <x:c r="I793" t="n">
        <x:v>1.16</x:v>
      </x:c>
      <x:c r="J793" t="n">
        <x:v>19624.8</x:v>
      </x:c>
      <x:c r="K793" t="n">
        <x:v>392028.41</x:v>
      </x:c>
      <x:c r="L793" t="n">
        <x:v>11319.2</x:v>
      </x:c>
      <x:c r="M793" t="n">
        <x:f>SUM(E793,J793:L793)</x:f>
        <x:v>4861924.43</x:v>
      </x:c>
      <x:c r="N793" t="n">
        <x:v>1380</x:v>
      </x:c>
      <x:c r="O793" t="n">
        <x:f>D793*N793</x:f>
        <x:v>6825480</x:v>
      </x:c>
      <x:c r="P793" s="22" t="n">
        <x:f>IF(O793=0,0,(M793-O793)/O793)</x:f>
        <x:v>-0.28768021736200244</x:v>
      </x:c>
      <x:c r="Q793" s="20" t="n">
        <x:v>46072</x:v>
      </x:c>
    </x:row>
    <x:row r="794" ht="20" customHeight="1">
      <x:c r="A794" t="str">
        <x:v>WO00773</x:v>
      </x:c>
      <x:c r="B794" t="str">
        <x:v>LOT00773</x:v>
      </x:c>
      <x:c r="C794" t="str">
        <x:v>AUTO-FL-B</x:v>
      </x:c>
      <x:c r="D794" t="n">
        <x:v>6973</x:v>
      </x:c>
      <x:c r="E794" t="n">
        <x:v>5199995.41</x:v>
      </x:c>
      <x:c r="F794" t="n">
        <x:v>40.58</x:v>
      </x:c>
      <x:c r="G794" t="n">
        <x:v>0</x:v>
      </x:c>
      <x:c r="H794" t="n">
        <x:v>5.43</x:v>
      </x:c>
      <x:c r="I794" t="n">
        <x:v>1.05</x:v>
      </x:c>
      <x:c r="J794" t="n">
        <x:v>28983.4</x:v>
      </x:c>
      <x:c r="K794" t="n">
        <x:v>390929.96</x:v>
      </x:c>
      <x:c r="L794" t="n">
        <x:v>16604.2</x:v>
      </x:c>
      <x:c r="M794" t="n">
        <x:f>SUM(E794,J794:L794)</x:f>
        <x:v>5636512.970000001</x:v>
      </x:c>
      <x:c r="N794" t="n">
        <x:v>1170</x:v>
      </x:c>
      <x:c r="O794" t="n">
        <x:f>D794*N794</x:f>
        <x:v>8158410</x:v>
      </x:c>
      <x:c r="P794" s="22" t="n">
        <x:f>IF(O794=0,0,(M794-O794)/O794)</x:f>
        <x:v>-0.3091162407871141</x:v>
      </x:c>
      <x:c r="Q794" s="20" t="n">
        <x:v>46070</x:v>
      </x:c>
    </x:row>
    <x:row r="795" ht="20" customHeight="1">
      <x:c r="A795" t="str">
        <x:v>WO00791</x:v>
      </x:c>
      <x:c r="B795" t="str">
        <x:v>LOT00791</x:v>
      </x:c>
      <x:c r="C795" t="str">
        <x:v>AUTO-BS-A</x:v>
      </x:c>
      <x:c r="D795" t="n">
        <x:v>4948</x:v>
      </x:c>
      <x:c r="E795" t="n">
        <x:v>1606626.63</x:v>
      </x:c>
      <x:c r="F795" t="n">
        <x:v>25.28</x:v>
      </x:c>
      <x:c r="G795" t="n">
        <x:v>0</x:v>
      </x:c>
      <x:c r="H795" t="n">
        <x:v>4.27</x:v>
      </x:c>
      <x:c r="I795" t="n">
        <x:v>1.21</x:v>
      </x:c>
      <x:c r="J795" t="n">
        <x:v>18481.6</x:v>
      </x:c>
      <x:c r="K795" t="n">
        <x:v>146273.1</x:v>
      </x:c>
      <x:c r="L795" t="n">
        <x:v>10652.6</x:v>
      </x:c>
      <x:c r="M795" t="n">
        <x:f>SUM(E795,J795:L795)</x:f>
        <x:v>1782033.93</x:v>
      </x:c>
      <x:c r="N795" t="n">
        <x:v>550</x:v>
      </x:c>
      <x:c r="O795" t="n">
        <x:f>D795*N795</x:f>
        <x:v>2721400</x:v>
      </x:c>
      <x:c r="P795" s="22" t="n">
        <x:f>IF(O795=0,0,(M795-O795)/O795)</x:f>
        <x:v>-0.34517750790034546</x:v>
      </x:c>
      <x:c r="Q795" s="20" t="n">
        <x:v>46069</x:v>
      </x:c>
    </x:row>
    <x:row r="796" ht="20" customHeight="1">
      <x:c r="A796" t="str">
        <x:v>WO00796</x:v>
      </x:c>
      <x:c r="B796" t="str">
        <x:v>LOT00796</x:v>
      </x:c>
      <x:c r="C796" t="str">
        <x:v>MECH-STG-A</x:v>
      </x:c>
      <x:c r="D796" t="n">
        <x:v>20</x:v>
      </x:c>
      <x:c r="E796" t="n">
        <x:v>1378484.07</x:v>
      </x:c>
      <x:c r="F796" t="n">
        <x:v>1405.28</x:v>
      </x:c>
      <x:c r="G796" t="n">
        <x:v>5403.29</x:v>
      </x:c>
      <x:c r="H796" t="n">
        <x:v>3708.11</x:v>
      </x:c>
      <x:c r="I796" t="n">
        <x:v>2.87</x:v>
      </x:c>
      <x:c r="J796" t="n">
        <x:v>5503035.6</x:v>
      </x:c>
      <x:c r="K796" t="n">
        <x:v>112356.19</x:v>
      </x:c>
      <x:c r="L796" t="n">
        <x:v>2208823</x:v>
      </x:c>
      <x:c r="M796" t="n">
        <x:f>SUM(E796,J796:L796)</x:f>
        <x:v>9202698.86</x:v>
      </x:c>
      <x:c r="N796" t="n">
        <x:v>104000</x:v>
      </x:c>
      <x:c r="O796" t="n">
        <x:f>D796*N796</x:f>
        <x:v>2080000</x:v>
      </x:c>
      <x:c r="P796" s="22" t="n">
        <x:f>IF(O796=0,0,(M796-O796)/O796)</x:f>
        <x:v>3.4243744519230765</x:v>
      </x:c>
      <x:c r="Q796" s="20" t="n">
        <x:v>46097</x:v>
      </x:c>
    </x:row>
    <x:row r="797" ht="20" customHeight="1">
      <x:c r="A797" t="str">
        <x:v>WO00779</x:v>
      </x:c>
      <x:c r="B797" t="str">
        <x:v>LOT00779</x:v>
      </x:c>
      <x:c r="C797" t="str">
        <x:v>AUTO-BRK-A</x:v>
      </x:c>
      <x:c r="D797" t="n">
        <x:v>4898</x:v>
      </x:c>
      <x:c r="E797" t="n">
        <x:v>4498200.5</x:v>
      </x:c>
      <x:c r="F797" t="n">
        <x:v>25.96</x:v>
      </x:c>
      <x:c r="G797" t="n">
        <x:v>0</x:v>
      </x:c>
      <x:c r="H797" t="n">
        <x:v>3.63</x:v>
      </x:c>
      <x:c r="I797" t="n">
        <x:v>1.2</x:v>
      </x:c>
      <x:c r="J797" t="n">
        <x:v>18616.4</x:v>
      </x:c>
      <x:c r="K797" t="n">
        <x:v>406752.24</x:v>
      </x:c>
      <x:c r="L797" t="n">
        <x:v>10805.6</x:v>
      </x:c>
      <x:c r="M797" t="n">
        <x:f>SUM(E797,J797:L797)</x:f>
        <x:v>4934374.74</x:v>
      </x:c>
      <x:c r="N797" t="n">
        <x:v>1380</x:v>
      </x:c>
      <x:c r="O797" t="n">
        <x:f>D797*N797</x:f>
        <x:v>6759240</x:v>
      </x:c>
      <x:c r="P797" s="22" t="n">
        <x:f>IF(O797=0,0,(M797-O797)/O797)</x:f>
        <x:v>-0.26998083512347537</x:v>
      </x:c>
      <x:c r="Q797" s="20" t="n">
        <x:v>46071</x:v>
      </x:c>
    </x:row>
    <x:row r="798" ht="20" customHeight="1">
      <x:c r="A798" t="str">
        <x:v>WO00792</x:v>
      </x:c>
      <x:c r="B798" t="str">
        <x:v>LOT00792</x:v>
      </x:c>
      <x:c r="C798" t="str">
        <x:v>AUTO-FL-A</x:v>
      </x:c>
      <x:c r="D798" t="n">
        <x:v>4949</x:v>
      </x:c>
      <x:c r="E798" t="n">
        <x:v>3246840.74</x:v>
      </x:c>
      <x:c r="F798" t="n">
        <x:v>24.43</x:v>
      </x:c>
      <x:c r="G798" t="n">
        <x:v>0</x:v>
      </x:c>
      <x:c r="H798" t="n">
        <x:v>4.27</x:v>
      </x:c>
      <x:c r="I798" t="n">
        <x:v>1.16</x:v>
      </x:c>
      <x:c r="J798" t="n">
        <x:v>17929.1</x:v>
      </x:c>
      <x:c r="K798" t="n">
        <x:v>275651.28</x:v>
      </x:c>
      <x:c r="L798" t="n">
        <x:v>10314.6</x:v>
      </x:c>
      <x:c r="M798" t="n">
        <x:f>SUM(E798,J798:L798)</x:f>
        <x:v>3550735.72</x:v>
      </x:c>
      <x:c r="N798" t="n">
        <x:v>970</x:v>
      </x:c>
      <x:c r="O798" t="n">
        <x:f>D798*N798</x:f>
        <x:v>4800530</x:v>
      </x:c>
      <x:c r="P798" s="22" t="n">
        <x:f>IF(O798=0,0,(M798-O798)/O798)</x:f>
        <x:v>-0.26034506189941525</x:v>
      </x:c>
      <x:c r="Q798" s="20" t="n">
        <x:v>46069</x:v>
      </x:c>
    </x:row>
    <x:row r="799" ht="20" customHeight="1">
      <x:c r="A799" t="str">
        <x:v>WO00810</x:v>
      </x:c>
      <x:c r="B799" t="str">
        <x:v>LOT00810</x:v>
      </x:c>
      <x:c r="C799" t="str">
        <x:v>AUTO-KN-A</x:v>
      </x:c>
      <x:c r="D799" t="n">
        <x:v>2936</x:v>
      </x:c>
      <x:c r="E799" t="n">
        <x:v>4213476.94</x:v>
      </x:c>
      <x:c r="F799" t="n">
        <x:v>14.69</x:v>
      </x:c>
      <x:c r="G799" t="n">
        <x:v>0</x:v>
      </x:c>
      <x:c r="H799" t="n">
        <x:v>2.82</x:v>
      </x:c>
      <x:c r="I799" t="n">
        <x:v>1.2</x:v>
      </x:c>
      <x:c r="J799" t="n">
        <x:v>10902.1</x:v>
      </x:c>
      <x:c r="K799" t="n">
        <x:v>381896</x:v>
      </x:c>
      <x:c r="L799" t="n">
        <x:v>6393.4</x:v>
      </x:c>
      <x:c r="M799" t="n">
        <x:f>SUM(E799,J799:L799)</x:f>
        <x:v>4612668.44</x:v>
      </x:c>
      <x:c r="N799" t="n">
        <x:v>2210</x:v>
      </x:c>
      <x:c r="O799" t="n">
        <x:f>D799*N799</x:f>
        <x:v>6488560</x:v>
      </x:c>
      <x:c r="P799" s="22" t="n">
        <x:f>IF(O799=0,0,(M799-O799)/O799)</x:f>
        <x:v>-0.28910753079265655</x:v>
      </x:c>
      <x:c r="Q799" s="20" t="n">
        <x:v>46085</x:v>
      </x:c>
    </x:row>
    <x:row r="800" ht="20" customHeight="1">
      <x:c r="A800" t="str">
        <x:v>WO00790</x:v>
      </x:c>
      <x:c r="B800" t="str">
        <x:v>LOT00790</x:v>
      </x:c>
      <x:c r="C800" t="str">
        <x:v>SEMI-WH-B</x:v>
      </x:c>
      <x:c r="D800" t="n">
        <x:v>78</x:v>
      </x:c>
      <x:c r="E800" t="n">
        <x:v>6244153.25</x:v>
      </x:c>
      <x:c r="F800" t="n">
        <x:v>2.23</x:v>
      </x:c>
      <x:c r="G800" t="n">
        <x:v>0</x:v>
      </x:c>
      <x:c r="H800" t="n">
        <x:v>0.67</x:v>
      </x:c>
      <x:c r="I800" t="n">
        <x:v>2.88</x:v>
      </x:c>
      <x:c r="J800" t="n">
        <x:v>1771.1</x:v>
      </x:c>
      <x:c r="K800" t="n">
        <x:v>878215.43</x:v>
      </x:c>
      <x:c r="L800" t="n">
        <x:v>1818.6</x:v>
      </x:c>
      <x:c r="M800" t="n">
        <x:f>SUM(E800,J800:L800)</x:f>
        <x:v>7125958.38</x:v>
      </x:c>
      <x:c r="N800" t="n">
        <x:v>130000</x:v>
      </x:c>
      <x:c r="O800" t="n">
        <x:f>D800*N800</x:f>
        <x:v>10140000</x:v>
      </x:c>
      <x:c r="P800" s="22" t="n">
        <x:f>IF(O800=0,0,(M800-O800)/O800)</x:f>
        <x:v>-0.2972427633136095</x:v>
      </x:c>
      <x:c r="Q800" s="20" t="n">
        <x:v>46121</x:v>
      </x:c>
    </x:row>
    <x:row r="801" ht="20" customHeight="1">
      <x:c r="A801" t="str">
        <x:v>WO00805</x:v>
      </x:c>
      <x:c r="B801" t="str">
        <x:v>LOT00805</x:v>
      </x:c>
      <x:c r="C801" t="str">
        <x:v>SEMI-WH-B</x:v>
      </x:c>
      <x:c r="D801" t="n">
        <x:v>59</x:v>
      </x:c>
      <x:c r="E801" t="n">
        <x:v>4663373.04</x:v>
      </x:c>
      <x:c r="F801" t="n">
        <x:v>1.61</x:v>
      </x:c>
      <x:c r="G801" t="n">
        <x:v>0</x:v>
      </x:c>
      <x:c r="H801" t="n">
        <x:v>0.57</x:v>
      </x:c>
      <x:c r="I801" t="n">
        <x:v>2.66</x:v>
      </x:c>
      <x:c r="J801" t="n">
        <x:v>1320.1</x:v>
      </x:c>
      <x:c r="K801" t="n">
        <x:v>638637.33</x:v>
      </x:c>
      <x:c r="L801" t="n">
        <x:v>1501</x:v>
      </x:c>
      <x:c r="M801" t="n">
        <x:f>SUM(E801,J801:L801)</x:f>
        <x:v>5304831.47</x:v>
      </x:c>
      <x:c r="N801" t="n">
        <x:v>130000</x:v>
      </x:c>
      <x:c r="O801" t="n">
        <x:f>D801*N801</x:f>
        <x:v>7670000</x:v>
      </x:c>
      <x:c r="P801" s="22" t="n">
        <x:f>IF(O801=0,0,(M801-O801)/O801)</x:f>
        <x:v>-0.3083661707953064</x:v>
      </x:c>
      <x:c r="Q801" s="20" t="n">
        <x:v>46123</x:v>
      </x:c>
    </x:row>
    <x:row r="802" ht="20" customHeight="1">
      <x:c r="A802" t="str">
        <x:v>WO00817</x:v>
      </x:c>
      <x:c r="B802" t="str">
        <x:v>LOT00817</x:v>
      </x:c>
      <x:c r="C802" t="str">
        <x:v>PM-BRG-B</x:v>
      </x:c>
      <x:c r="D802" t="n">
        <x:v>492</x:v>
      </x:c>
      <x:c r="E802" t="n">
        <x:v>1582587.77</x:v>
      </x:c>
      <x:c r="F802" t="n">
        <x:v>4.74</x:v>
      </x:c>
      <x:c r="G802" t="n">
        <x:v>0</x:v>
      </x:c>
      <x:c r="H802" t="n">
        <x:v>0.81</x:v>
      </x:c>
      <x:c r="I802" t="n">
        <x:v>1.51</x:v>
      </x:c>
      <x:c r="J802" t="n">
        <x:v>3469.8</x:v>
      </x:c>
      <x:c r="K802" t="n">
        <x:v>126262.25</x:v>
      </x:c>
      <x:c r="L802" t="n">
        <x:v>2383.8</x:v>
      </x:c>
      <x:c r="M802" t="n">
        <x:f>SUM(E802,J802:L802)</x:f>
        <x:v>1714703.62</x:v>
      </x:c>
      <x:c r="N802" t="n">
        <x:v>5400</x:v>
      </x:c>
      <x:c r="O802" t="n">
        <x:f>D802*N802</x:f>
        <x:v>2656800</x:v>
      </x:c>
      <x:c r="P802" s="22" t="n">
        <x:f>IF(O802=0,0,(M802-O802)/O802)</x:f>
        <x:v>-0.35459815567600117</x:v>
      </x:c>
      <x:c r="Q802" s="20" t="n">
        <x:v>46090</x:v>
      </x:c>
    </x:row>
    <x:row r="803" ht="20" customHeight="1">
      <x:c r="A803" t="str">
        <x:v>WO00824</x:v>
      </x:c>
      <x:c r="B803" t="str">
        <x:v>LOT00824</x:v>
      </x:c>
      <x:c r="C803" t="str">
        <x:v>PM-VAC-A</x:v>
      </x:c>
      <x:c r="D803" t="n">
        <x:v>294</x:v>
      </x:c>
      <x:c r="E803" t="n">
        <x:v>1900934.44</x:v>
      </x:c>
      <x:c r="F803" t="n">
        <x:v>2.34</x:v>
      </x:c>
      <x:c r="G803" t="n">
        <x:v>0</x:v>
      </x:c>
      <x:c r="H803" t="n">
        <x:v>0.61</x:v>
      </x:c>
      <x:c r="I803" t="n">
        <x:v>1.81</x:v>
      </x:c>
      <x:c r="J803" t="n">
        <x:v>1813.8</x:v>
      </x:c>
      <x:c r="K803" t="n">
        <x:v>247932.8</x:v>
      </x:c>
      <x:c r="L803" t="n">
        <x:v>1529.8</x:v>
      </x:c>
      <x:c r="M803" t="n">
        <x:f>SUM(E803,J803:L803)</x:f>
        <x:v>2152210.84</x:v>
      </x:c>
      <x:c r="N803" t="n">
        <x:v>10800</x:v>
      </x:c>
      <x:c r="O803" t="n">
        <x:f>D803*N803</x:f>
        <x:v>3175200</x:v>
      </x:c>
      <x:c r="P803" s="22" t="n">
        <x:f>IF(O803=0,0,(M803-O803)/O803)</x:f>
        <x:v>-0.32218101536911065</x:v>
      </x:c>
      <x:c r="Q803" s="20" t="n">
        <x:v>46093</x:v>
      </x:c>
    </x:row>
    <x:row r="804" ht="20" customHeight="1">
      <x:c r="A804" t="str">
        <x:v>WO00804</x:v>
      </x:c>
      <x:c r="B804" t="str">
        <x:v>LOT00804</x:v>
      </x:c>
      <x:c r="C804" t="str">
        <x:v>SEMI-WH-B</x:v>
      </x:c>
      <x:c r="D804" t="n">
        <x:v>59</x:v>
      </x:c>
      <x:c r="E804" t="n">
        <x:v>4678398.09</x:v>
      </x:c>
      <x:c r="F804" t="n">
        <x:v>1.58</x:v>
      </x:c>
      <x:c r="G804" t="n">
        <x:v>0</x:v>
      </x:c>
      <x:c r="H804" t="n">
        <x:v>0.52</x:v>
      </x:c>
      <x:c r="I804" t="n">
        <x:v>3.03</x:v>
      </x:c>
      <x:c r="J804" t="n">
        <x:v>1276.6</x:v>
      </x:c>
      <x:c r="K804" t="n">
        <x:v>582618.82</x:v>
      </x:c>
      <x:c r="L804" t="n">
        <x:v>1592.6</x:v>
      </x:c>
      <x:c r="M804" t="n">
        <x:f>SUM(E804,J804:L804)</x:f>
        <x:v>5263886.109999999</x:v>
      </x:c>
      <x:c r="N804" t="n">
        <x:v>130000</x:v>
      </x:c>
      <x:c r="O804" t="n">
        <x:f>D804*N804</x:f>
        <x:v>7670000</x:v>
      </x:c>
      <x:c r="P804" s="22" t="n">
        <x:f>IF(O804=0,0,(M804-O804)/O804)</x:f>
        <x:v>-0.3137045488917863</x:v>
      </x:c>
      <x:c r="Q804" s="20" t="n">
        <x:v>46124</x:v>
      </x:c>
    </x:row>
    <x:row r="805" ht="20" customHeight="1">
      <x:c r="A805" t="str">
        <x:v>WO00815</x:v>
      </x:c>
      <x:c r="B805" t="str">
        <x:v>LOT00815</x:v>
      </x:c>
      <x:c r="C805" t="str">
        <x:v>AUTO-MH-A</x:v>
      </x:c>
      <x:c r="D805" t="n">
        <x:v>6367</x:v>
      </x:c>
      <x:c r="E805" t="n">
        <x:v>8832396.98</x:v>
      </x:c>
      <x:c r="F805" t="n">
        <x:v>34.55</x:v>
      </x:c>
      <x:c r="G805" t="n">
        <x:v>0</x:v>
      </x:c>
      <x:c r="H805" t="n">
        <x:v>5.37</x:v>
      </x:c>
      <x:c r="I805" t="n">
        <x:v>1.27</x:v>
      </x:c>
      <x:c r="J805" t="n">
        <x:v>25035.1</x:v>
      </x:c>
      <x:c r="K805" t="n">
        <x:v>560388.67</x:v>
      </x:c>
      <x:c r="L805" t="n">
        <x:v>14369.2</x:v>
      </x:c>
      <x:c r="M805" t="n">
        <x:f>SUM(E805,J805:L805)</x:f>
        <x:v>9432189.950000001</x:v>
      </x:c>
      <x:c r="N805" t="n">
        <x:v>1970</x:v>
      </x:c>
      <x:c r="O805" t="n">
        <x:f>D805*N805</x:f>
        <x:v>12542990</x:v>
      </x:c>
      <x:c r="P805" s="22" t="n">
        <x:f>IF(O805=0,0,(M805-O805)/O805)</x:f>
        <x:v>-0.24801104441604424</x:v>
      </x:c>
      <x:c r="Q805" s="20" t="n">
        <x:v>46090</x:v>
      </x:c>
    </x:row>
    <x:row r="806" ht="20" customHeight="1">
      <x:c r="A806" t="str">
        <x:v>WO00816</x:v>
      </x:c>
      <x:c r="B806" t="str">
        <x:v>LOT00816</x:v>
      </x:c>
      <x:c r="C806" t="str">
        <x:v>AUTO-MH-A</x:v>
      </x:c>
      <x:c r="D806" t="n">
        <x:v>6447</x:v>
      </x:c>
      <x:c r="E806" t="n">
        <x:v>8714680.64</x:v>
      </x:c>
      <x:c r="F806" t="n">
        <x:v>32.51</x:v>
      </x:c>
      <x:c r="G806" t="n">
        <x:v>0</x:v>
      </x:c>
      <x:c r="H806" t="n">
        <x:v>6.01</x:v>
      </x:c>
      <x:c r="I806" t="n">
        <x:v>1.17</x:v>
      </x:c>
      <x:c r="J806" t="n">
        <x:v>24016.3</x:v>
      </x:c>
      <x:c r="K806" t="n">
        <x:v>508859.38</x:v>
      </x:c>
      <x:c r="L806" t="n">
        <x:v>13666.4</x:v>
      </x:c>
      <x:c r="M806" t="n">
        <x:f>SUM(E806,J806:L806)</x:f>
        <x:v>9261222.72</x:v>
      </x:c>
      <x:c r="N806" t="n">
        <x:v>1970</x:v>
      </x:c>
      <x:c r="O806" t="n">
        <x:f>D806*N806</x:f>
        <x:v>12700590</x:v>
      </x:c>
      <x:c r="P806" s="22" t="n">
        <x:f>IF(O806=0,0,(M806-O806)/O806)</x:f>
        <x:v>-0.270803740613625</x:v>
      </x:c>
      <x:c r="Q806" s="20" t="n">
        <x:v>46089</x:v>
      </x:c>
    </x:row>
    <x:row r="807" ht="20" customHeight="1">
      <x:c r="A807" t="str">
        <x:v>WO00800</x:v>
      </x:c>
      <x:c r="B807" t="str">
        <x:v>LOT00800</x:v>
      </x:c>
      <x:c r="C807" t="str">
        <x:v>AUTO-BS-B</x:v>
      </x:c>
      <x:c r="D807" t="n">
        <x:v>6415</x:v>
      </x:c>
      <x:c r="E807" t="n">
        <x:v>2491114.52</x:v>
      </x:c>
      <x:c r="F807" t="n">
        <x:v>32.6</x:v>
      </x:c>
      <x:c r="G807" t="n">
        <x:v>0</x:v>
      </x:c>
      <x:c r="H807" t="n">
        <x:v>5.23</x:v>
      </x:c>
      <x:c r="I807" t="n">
        <x:v>1.06</x:v>
      </x:c>
      <x:c r="J807" t="n">
        <x:v>23700.4</x:v>
      </x:c>
      <x:c r="K807" t="n">
        <x:v>218922.96</x:v>
      </x:c>
      <x:c r="L807" t="n">
        <x:v>13542.8</x:v>
      </x:c>
      <x:c r="M807" t="n">
        <x:f>SUM(E807,J807:L807)</x:f>
        <x:v>2747280.68</x:v>
      </x:c>
      <x:c r="N807" t="n">
        <x:v>650</x:v>
      </x:c>
      <x:c r="O807" t="n">
        <x:f>D807*N807</x:f>
        <x:v>4169750</x:v>
      </x:c>
      <x:c r="P807" s="22" t="n">
        <x:f>IF(O807=0,0,(M807-O807)/O807)</x:f>
        <x:v>-0.34114019305713766</x:v>
      </x:c>
      <x:c r="Q807" s="20" t="n">
        <x:v>46084</x:v>
      </x:c>
    </x:row>
    <x:row r="808" ht="20" customHeight="1">
      <x:c r="A808" t="str">
        <x:v>WO00809</x:v>
      </x:c>
      <x:c r="B808" t="str">
        <x:v>LOT00809</x:v>
      </x:c>
      <x:c r="C808" t="str">
        <x:v>PM-BRG-B</x:v>
      </x:c>
      <x:c r="D808" t="n">
        <x:v>782</x:v>
      </x:c>
      <x:c r="E808" t="n">
        <x:v>2496716.4</x:v>
      </x:c>
      <x:c r="F808" t="n">
        <x:v>7.8</x:v>
      </x:c>
      <x:c r="G808" t="n">
        <x:v>0</x:v>
      </x:c>
      <x:c r="H808" t="n">
        <x:v>1.42</x:v>
      </x:c>
      <x:c r="I808" t="n">
        <x:v>1.4</x:v>
      </x:c>
      <x:c r="J808" t="n">
        <x:v>5751.6</x:v>
      </x:c>
      <x:c r="K808" t="n">
        <x:v>191573.68</x:v>
      </x:c>
      <x:c r="L808" t="n">
        <x:v>3611.2</x:v>
      </x:c>
      <x:c r="M808" t="n">
        <x:f>SUM(E808,J808:L808)</x:f>
        <x:v>2697652.88</x:v>
      </x:c>
      <x:c r="N808" t="n">
        <x:v>5400</x:v>
      </x:c>
      <x:c r="O808" t="n">
        <x:f>D808*N808</x:f>
        <x:v>4222800</x:v>
      </x:c>
      <x:c r="P808" s="22" t="n">
        <x:f>IF(O808=0,0,(M808-O808)/O808)</x:f>
        <x:v>-0.36116963152410725</x:v>
      </x:c>
      <x:c r="Q808" s="20" t="n">
        <x:v>46098</x:v>
      </x:c>
    </x:row>
    <x:row r="809" ht="20" customHeight="1">
      <x:c r="A809" t="str">
        <x:v>WO00812</x:v>
      </x:c>
      <x:c r="B809" t="str">
        <x:v>LOT00812</x:v>
      </x:c>
      <x:c r="C809" t="str">
        <x:v>AUTO-BS-B</x:v>
      </x:c>
      <x:c r="D809" t="n">
        <x:v>4938</x:v>
      </x:c>
      <x:c r="E809" t="n">
        <x:v>2035417.99</x:v>
      </x:c>
      <x:c r="F809" t="n">
        <x:v>24.15</x:v>
      </x:c>
      <x:c r="G809" t="n">
        <x:v>0</x:v>
      </x:c>
      <x:c r="H809" t="n">
        <x:v>4.11</x:v>
      </x:c>
      <x:c r="I809" t="n">
        <x:v>1.17</x:v>
      </x:c>
      <x:c r="J809" t="n">
        <x:v>17670.3</x:v>
      </x:c>
      <x:c r="K809" t="n">
        <x:v>166658.25</x:v>
      </x:c>
      <x:c r="L809" t="n">
        <x:v>10185.6</x:v>
      </x:c>
      <x:c r="M809" t="n">
        <x:f>SUM(E809,J809:L809)</x:f>
        <x:v>2229932.14</x:v>
      </x:c>
      <x:c r="N809" t="n">
        <x:v>650</x:v>
      </x:c>
      <x:c r="O809" t="n">
        <x:f>D809*N809</x:f>
        <x:v>3209700</x:v>
      </x:c>
      <x:c r="P809" s="22" t="n">
        <x:f>IF(O809=0,0,(M809-O809)/O809)</x:f>
        <x:v>-0.3052521606380658</x:v>
      </x:c>
      <x:c r="Q809" s="20" t="n">
        <x:v>46095</x:v>
      </x:c>
    </x:row>
    <x:row r="810" ht="20" customHeight="1">
      <x:c r="A810" t="str">
        <x:v>WO00799</x:v>
      </x:c>
      <x:c r="B810" t="str">
        <x:v>LOT00799</x:v>
      </x:c>
      <x:c r="C810" t="str">
        <x:v>AUTO-BS-B</x:v>
      </x:c>
      <x:c r="D810" t="n">
        <x:v>6464</x:v>
      </x:c>
      <x:c r="E810" t="n">
        <x:v>2483059.35</x:v>
      </x:c>
      <x:c r="F810" t="n">
        <x:v>33.18</x:v>
      </x:c>
      <x:c r="G810" t="n">
        <x:v>0</x:v>
      </x:c>
      <x:c r="H810" t="n">
        <x:v>5.3</x:v>
      </x:c>
      <x:c r="I810" t="n">
        <x:v>1.18</x:v>
      </x:c>
      <x:c r="J810" t="n">
        <x:v>24111</x:v>
      </x:c>
      <x:c r="K810" t="n">
        <x:v>232935.06</x:v>
      </x:c>
      <x:c r="L810" t="n">
        <x:v>13810.4</x:v>
      </x:c>
      <x:c r="M810" t="n">
        <x:f>SUM(E810,J810:L810)</x:f>
        <x:v>2753915.81</x:v>
      </x:c>
      <x:c r="N810" t="n">
        <x:v>650</x:v>
      </x:c>
      <x:c r="O810" t="n">
        <x:f>D810*N810</x:f>
        <x:v>4201600</x:v>
      </x:c>
      <x:c r="P810" s="22" t="n">
        <x:f>IF(O810=0,0,(M810-O810)/O810)</x:f>
        <x:v>-0.3445554526846915</x:v>
      </x:c>
      <x:c r="Q810" s="20" t="n">
        <x:v>46087</x:v>
      </x:c>
    </x:row>
    <x:row r="811" ht="20" customHeight="1">
      <x:c r="A811" t="str">
        <x:v>WO00811</x:v>
      </x:c>
      <x:c r="B811" t="str">
        <x:v>LOT00811</x:v>
      </x:c>
      <x:c r="C811" t="str">
        <x:v>MECH-STG-A</x:v>
      </x:c>
      <x:c r="D811" t="n">
        <x:v>10</x:v>
      </x:c>
      <x:c r="E811" t="n">
        <x:v>689085.18</x:v>
      </x:c>
      <x:c r="F811" t="n">
        <x:v>660.44</x:v>
      </x:c>
      <x:c r="G811" t="n">
        <x:v>2510.2</x:v>
      </x:c>
      <x:c r="H811" t="n">
        <x:v>1949.65</x:v>
      </x:c>
      <x:c r="I811" t="n">
        <x:v>2.89</x:v>
      </x:c>
      <x:c r="J811" t="n">
        <x:v>2670422</x:v>
      </x:c>
      <x:c r="K811" t="n">
        <x:v>60317.94</x:v>
      </x:c>
      <x:c r="L811" t="n">
        <x:v>1065818.2</x:v>
      </x:c>
      <x:c r="M811" t="n">
        <x:f>SUM(E811,J811:L811)</x:f>
        <x:v>4485643.319999999</x:v>
      </x:c>
      <x:c r="N811" t="n">
        <x:v>104000</x:v>
      </x:c>
      <x:c r="O811" t="n">
        <x:f>D811*N811</x:f>
        <x:v>1040000</x:v>
      </x:c>
      <x:c r="P811" s="22" t="n">
        <x:f>IF(O811=0,0,(M811-O811)/O811)</x:f>
        <x:v>3.313118576923076</x:v>
      </x:c>
      <x:c r="Q811" s="20" t="n">
        <x:v>46117</x:v>
      </x:c>
    </x:row>
    <x:row r="812" ht="20" customHeight="1">
      <x:c r="A812" t="str">
        <x:v>WO00813</x:v>
      </x:c>
      <x:c r="B812" t="str">
        <x:v>LOT00813</x:v>
      </x:c>
      <x:c r="C812" t="str">
        <x:v>AUTO-BS-B</x:v>
      </x:c>
      <x:c r="D812" t="n">
        <x:v>4908</x:v>
      </x:c>
      <x:c r="E812" t="n">
        <x:v>2076984.21</x:v>
      </x:c>
      <x:c r="F812" t="n">
        <x:v>26.43</x:v>
      </x:c>
      <x:c r="G812" t="n">
        <x:v>0</x:v>
      </x:c>
      <x:c r="H812" t="n">
        <x:v>4.37</x:v>
      </x:c>
      <x:c r="I812" t="n">
        <x:v>1.2</x:v>
      </x:c>
      <x:c r="J812" t="n">
        <x:v>19277.1</x:v>
      </x:c>
      <x:c r="K812" t="n">
        <x:v>192754.08</x:v>
      </x:c>
      <x:c r="L812" t="n">
        <x:v>11102.6</x:v>
      </x:c>
      <x:c r="M812" t="n">
        <x:f>SUM(E812,J812:L812)</x:f>
        <x:v>2300117.9899999998</x:v>
      </x:c>
      <x:c r="N812" t="n">
        <x:v>650</x:v>
      </x:c>
      <x:c r="O812" t="n">
        <x:f>D812*N812</x:f>
        <x:v>3190200</x:v>
      </x:c>
      <x:c r="P812" s="22" t="n">
        <x:f>IF(O812=0,0,(M812-O812)/O812)</x:f>
        <x:v>-0.2790050811861326</x:v>
      </x:c>
      <x:c r="Q812" s="20" t="n">
        <x:v>46088</x:v>
      </x:c>
    </x:row>
    <x:row r="813" ht="20" customHeight="1">
      <x:c r="A813" t="str">
        <x:v>WO00801</x:v>
      </x:c>
      <x:c r="B813" t="str">
        <x:v>LOT00801</x:v>
      </x:c>
      <x:c r="C813" t="str">
        <x:v>AUTO-KN-A</x:v>
      </x:c>
      <x:c r="D813" t="n">
        <x:v>6880</x:v>
      </x:c>
      <x:c r="E813" t="n">
        <x:v>10051356.14</x:v>
      </x:c>
      <x:c r="F813" t="n">
        <x:v>35.29</x:v>
      </x:c>
      <x:c r="G813" t="n">
        <x:v>0</x:v>
      </x:c>
      <x:c r="H813" t="n">
        <x:v>5.05</x:v>
      </x:c>
      <x:c r="I813" t="n">
        <x:v>1.06</x:v>
      </x:c>
      <x:c r="J813" t="n">
        <x:v>25362.5</x:v>
      </x:c>
      <x:c r="K813" t="n">
        <x:v>874621.19</x:v>
      </x:c>
      <x:c r="L813" t="n">
        <x:v>14536.2</x:v>
      </x:c>
      <x:c r="M813" t="n">
        <x:f>SUM(E813,J813:L813)</x:f>
        <x:v>10965876.030000001</x:v>
      </x:c>
      <x:c r="N813" t="n">
        <x:v>2210</x:v>
      </x:c>
      <x:c r="O813" t="n">
        <x:f>D813*N813</x:f>
        <x:v>15204800</x:v>
      </x:c>
      <x:c r="P813" s="22" t="n">
        <x:f>IF(O813=0,0,(M813-O813)/O813)</x:f>
        <x:v>-0.27878853848784585</x:v>
      </x:c>
      <x:c r="Q813" s="20" t="n">
        <x:v>46098</x:v>
      </x:c>
    </x:row>
    <x:row r="814" ht="20" customHeight="1">
      <x:c r="A814" t="str">
        <x:v>WO00802</x:v>
      </x:c>
      <x:c r="B814" t="str">
        <x:v>LOT00802</x:v>
      </x:c>
      <x:c r="C814" t="str">
        <x:v>AUTO-BRK-A</x:v>
      </x:c>
      <x:c r="D814" t="n">
        <x:v>2959</x:v>
      </x:c>
      <x:c r="E814" t="n">
        <x:v>2777995.29</x:v>
      </x:c>
      <x:c r="F814" t="n">
        <x:v>14.97</x:v>
      </x:c>
      <x:c r="G814" t="n">
        <x:v>0</x:v>
      </x:c>
      <x:c r="H814" t="n">
        <x:v>2.51</x:v>
      </x:c>
      <x:c r="I814" t="n">
        <x:v>1.27</x:v>
      </x:c>
      <x:c r="J814" t="n">
        <x:v>10935.3</x:v>
      </x:c>
      <x:c r="K814" t="n">
        <x:v>224634.55</x:v>
      </x:c>
      <x:c r="L814" t="n">
        <x:v>6471.2</x:v>
      </x:c>
      <x:c r="M814" t="n">
        <x:f>SUM(E814,J814:L814)</x:f>
        <x:v>3020036.34</x:v>
      </x:c>
      <x:c r="N814" t="n">
        <x:v>1380</x:v>
      </x:c>
      <x:c r="O814" t="n">
        <x:f>D814*N814</x:f>
        <x:v>4083420</x:v>
      </x:c>
      <x:c r="P814" s="22" t="n">
        <x:f>IF(O814=0,0,(M814-O814)/O814)</x:f>
        <x:v>-0.26041496098858313</x:v>
      </x:c>
      <x:c r="Q814" s="20" t="n">
        <x:v>46093</x:v>
      </x:c>
    </x:row>
    <x:row r="815" ht="20" customHeight="1">
      <x:c r="A815" t="str">
        <x:v>WO00819</x:v>
      </x:c>
      <x:c r="B815" t="str">
        <x:v>LOT00819</x:v>
      </x:c>
      <x:c r="C815" t="str">
        <x:v>AUTO-MH-A</x:v>
      </x:c>
      <x:c r="D815" t="n">
        <x:v>4962</x:v>
      </x:c>
      <x:c r="E815" t="n">
        <x:v>6734480.83</x:v>
      </x:c>
      <x:c r="F815" t="n">
        <x:v>27.45</x:v>
      </x:c>
      <x:c r="G815" t="n">
        <x:v>0</x:v>
      </x:c>
      <x:c r="H815" t="n">
        <x:v>3.88</x:v>
      </x:c>
      <x:c r="I815" t="n">
        <x:v>1.15</x:v>
      </x:c>
      <x:c r="J815" t="n">
        <x:v>19704.9</x:v>
      </x:c>
      <x:c r="K815" t="n">
        <x:v>411657.77</x:v>
      </x:c>
      <x:c r="L815" t="n">
        <x:v>11396.8</x:v>
      </x:c>
      <x:c r="M815" t="n">
        <x:f>SUM(E815,J815:L815)</x:f>
        <x:v>7177240.3</x:v>
      </x:c>
      <x:c r="N815" t="n">
        <x:v>1970</x:v>
      </x:c>
      <x:c r="O815" t="n">
        <x:f>D815*N815</x:f>
        <x:v>9775140</x:v>
      </x:c>
      <x:c r="P815" s="22" t="n">
        <x:f>IF(O815=0,0,(M815-O815)/O815)</x:f>
        <x:v>-0.2657659839142969</x:v>
      </x:c>
      <x:c r="Q815" s="20" t="n">
        <x:v>46096</x:v>
      </x:c>
    </x:row>
    <x:row r="816" ht="20" customHeight="1">
      <x:c r="A816" t="str">
        <x:v>WO00808</x:v>
      </x:c>
      <x:c r="B816" t="str">
        <x:v>LOT00808</x:v>
      </x:c>
      <x:c r="C816" t="str">
        <x:v>AUTO-KN-A</x:v>
      </x:c>
      <x:c r="D816" t="n">
        <x:v>6919</x:v>
      </x:c>
      <x:c r="E816" t="n">
        <x:v>9749593.41</x:v>
      </x:c>
      <x:c r="F816" t="n">
        <x:v>35.34</x:v>
      </x:c>
      <x:c r="G816" t="n">
        <x:v>0</x:v>
      </x:c>
      <x:c r="H816" t="n">
        <x:v>5.95</x:v>
      </x:c>
      <x:c r="I816" t="n">
        <x:v>1.07</x:v>
      </x:c>
      <x:c r="J816" t="n">
        <x:v>25827</x:v>
      </x:c>
      <x:c r="K816" t="n">
        <x:v>859370.07</x:v>
      </x:c>
      <x:c r="L816" t="n">
        <x:v>14702.2</x:v>
      </x:c>
      <x:c r="M816" t="n">
        <x:f>SUM(E816,J816:L816)</x:f>
        <x:v>10649492.68</x:v>
      </x:c>
      <x:c r="N816" t="n">
        <x:v>2210</x:v>
      </x:c>
      <x:c r="O816" t="n">
        <x:f>D816*N816</x:f>
        <x:v>15290990</x:v>
      </x:c>
      <x:c r="P816" s="22" t="n">
        <x:f>IF(O816=0,0,(M816-O816)/O816)</x:f>
        <x:v>-0.30354459194597605</x:v>
      </x:c>
      <x:c r="Q816" s="20" t="n">
        <x:v>46102</x:v>
      </x:c>
    </x:row>
    <x:row r="817" ht="20" customHeight="1">
      <x:c r="A817" t="str">
        <x:v>WO00807</x:v>
      </x:c>
      <x:c r="B817" t="str">
        <x:v>LOT00807</x:v>
      </x:c>
      <x:c r="C817" t="str">
        <x:v>PM-VAC-A</x:v>
      </x:c>
      <x:c r="D817" t="n">
        <x:v>294</x:v>
      </x:c>
      <x:c r="E817" t="n">
        <x:v>1917450.49</x:v>
      </x:c>
      <x:c r="F817" t="n">
        <x:v>2.58</x:v>
      </x:c>
      <x:c r="G817" t="n">
        <x:v>0</x:v>
      </x:c>
      <x:c r="H817" t="n">
        <x:v>0.51</x:v>
      </x:c>
      <x:c r="I817" t="n">
        <x:v>1.58</x:v>
      </x:c>
      <x:c r="J817" t="n">
        <x:v>1921.8</x:v>
      </x:c>
      <x:c r="K817" t="n">
        <x:v>225494.85</x:v>
      </x:c>
      <x:c r="L817" t="n">
        <x:v>1536</x:v>
      </x:c>
      <x:c r="M817" t="n">
        <x:f>SUM(E817,J817:L817)</x:f>
        <x:v>2146403.14</x:v>
      </x:c>
      <x:c r="N817" t="n">
        <x:v>10800</x:v>
      </x:c>
      <x:c r="O817" t="n">
        <x:f>D817*N817</x:f>
        <x:v>3175200</x:v>
      </x:c>
      <x:c r="P817" s="22" t="n">
        <x:f>IF(O817=0,0,(M817-O817)/O817)</x:f>
        <x:v>-0.32401009700176364</x:v>
      </x:c>
      <x:c r="Q817" s="20" t="n">
        <x:v>46116</x:v>
      </x:c>
    </x:row>
    <x:row r="818" ht="20" customHeight="1">
      <x:c r="A818" t="str">
        <x:v>WO00818</x:v>
      </x:c>
      <x:c r="B818" t="str">
        <x:v>LOT00818</x:v>
      </x:c>
      <x:c r="C818" t="str">
        <x:v>AUTO-FL-A</x:v>
      </x:c>
      <x:c r="D818" t="n">
        <x:v>4887</x:v>
      </x:c>
      <x:c r="E818" t="n">
        <x:v>3188323.29</x:v>
      </x:c>
      <x:c r="F818" t="n">
        <x:v>26.4</x:v>
      </x:c>
      <x:c r="G818" t="n">
        <x:v>0</x:v>
      </x:c>
      <x:c r="H818" t="n">
        <x:v>4.02</x:v>
      </x:c>
      <x:c r="I818" t="n">
        <x:v>1.06</x:v>
      </x:c>
      <x:c r="J818" t="n">
        <x:v>19089.6</x:v>
      </x:c>
      <x:c r="K818" t="n">
        <x:v>262715.16</x:v>
      </x:c>
      <x:c r="L818" t="n">
        <x:v>10993.2</x:v>
      </x:c>
      <x:c r="M818" t="n">
        <x:f>SUM(E818,J818:L818)</x:f>
        <x:v>3481121.25</x:v>
      </x:c>
      <x:c r="N818" t="n">
        <x:v>970</x:v>
      </x:c>
      <x:c r="O818" t="n">
        <x:f>D818*N818</x:f>
        <x:v>4740390</x:v>
      </x:c>
      <x:c r="P818" s="22" t="n">
        <x:f>IF(O818=0,0,(M818-O818)/O818)</x:f>
        <x:v>-0.26564665565491447</x:v>
      </x:c>
      <x:c r="Q818" s="20" t="n">
        <x:v>46091</x:v>
      </x:c>
    </x:row>
    <x:row r="819" ht="20" customHeight="1">
      <x:c r="A819" t="str">
        <x:v>WO00803</x:v>
      </x:c>
      <x:c r="B819" t="str">
        <x:v>LOT00803</x:v>
      </x:c>
      <x:c r="C819" t="str">
        <x:v>AUTO-BS-B</x:v>
      </x:c>
      <x:c r="D819" t="n">
        <x:v>6914</x:v>
      </x:c>
      <x:c r="E819" t="n">
        <x:v>2741613.05</x:v>
      </x:c>
      <x:c r="F819" t="n">
        <x:v>35.16</x:v>
      </x:c>
      <x:c r="G819" t="n">
        <x:v>0</x:v>
      </x:c>
      <x:c r="H819" t="n">
        <x:v>6.17</x:v>
      </x:c>
      <x:c r="I819" t="n">
        <x:v>1.15</x:v>
      </x:c>
      <x:c r="J819" t="n">
        <x:v>25815.6</x:v>
      </x:c>
      <x:c r="K819" t="n">
        <x:v>265062.66</x:v>
      </x:c>
      <x:c r="L819" t="n">
        <x:v>14693</x:v>
      </x:c>
      <x:c r="M819" t="n">
        <x:f>SUM(E819,J819:L819)</x:f>
        <x:v>3047184.3099999996</x:v>
      </x:c>
      <x:c r="N819" t="n">
        <x:v>650</x:v>
      </x:c>
      <x:c r="O819" t="n">
        <x:f>D819*N819</x:f>
        <x:v>4494100</x:v>
      </x:c>
      <x:c r="P819" s="22" t="n">
        <x:f>IF(O819=0,0,(M819-O819)/O819)</x:f>
        <x:v>-0.32195894394873287</x:v>
      </x:c>
      <x:c r="Q819" s="20" t="n">
        <x:v>46101</x:v>
      </x:c>
    </x:row>
    <x:row r="820" ht="20" customHeight="1">
      <x:c r="A820" t="str">
        <x:v>WO00814</x:v>
      </x:c>
      <x:c r="B820" t="str">
        <x:v>LOT00814</x:v>
      </x:c>
      <x:c r="C820" t="str">
        <x:v>MECH-CON-B</x:v>
      </x:c>
      <x:c r="D820" t="n">
        <x:v>20</x:v>
      </x:c>
      <x:c r="E820" t="n">
        <x:v>1542287.31</x:v>
      </x:c>
      <x:c r="F820" t="n">
        <x:v>1476.11</x:v>
      </x:c>
      <x:c r="G820" t="n">
        <x:v>5371.18</x:v>
      </x:c>
      <x:c r="H820" t="n">
        <x:v>3592.61</x:v>
      </x:c>
      <x:c r="I820" t="n">
        <x:v>3.14</x:v>
      </x:c>
      <x:c r="J820" t="n">
        <x:v>5476937.9</x:v>
      </x:c>
      <x:c r="K820" t="n">
        <x:v>141660.94</x:v>
      </x:c>
      <x:c r="L820" t="n">
        <x:v>2210917.4</x:v>
      </x:c>
      <x:c r="M820" t="n">
        <x:f>SUM(E820,J820:L820)</x:f>
        <x:v>9371803.55</x:v>
      </x:c>
      <x:c r="N820" t="n">
        <x:v>119000</x:v>
      </x:c>
      <x:c r="O820" t="n">
        <x:f>D820*N820</x:f>
        <x:v>2380000</x:v>
      </x:c>
      <x:c r="P820" s="22" t="n">
        <x:f>IF(O820=0,0,(M820-O820)/O820)</x:f>
        <x:v>2.937732584033614</x:v>
      </x:c>
      <x:c r="Q820" s="20" t="n">
        <x:v>46131</x:v>
      </x:c>
    </x:row>
    <x:row r="821" ht="20" customHeight="1">
      <x:c r="A821" t="str">
        <x:v>WO00806</x:v>
      </x:c>
      <x:c r="B821" t="str">
        <x:v>LOT00806</x:v>
      </x:c>
      <x:c r="C821" t="str">
        <x:v>SEMI-CHB-B</x:v>
      </x:c>
      <x:c r="D821" t="n">
        <x:v>78</x:v>
      </x:c>
      <x:c r="E821" t="n">
        <x:v>5421659.27</x:v>
      </x:c>
      <x:c r="F821" t="n">
        <x:v>2.24</x:v>
      </x:c>
      <x:c r="G821" t="n">
        <x:v>0</x:v>
      </x:c>
      <x:c r="H821" t="n">
        <x:v>0.65</x:v>
      </x:c>
      <x:c r="I821" t="n">
        <x:v>3.08</x:v>
      </x:c>
      <x:c r="J821" t="n">
        <x:v>1768</x:v>
      </x:c>
      <x:c r="K821" t="n">
        <x:v>634241.83</x:v>
      </x:c>
      <x:c r="L821" t="n">
        <x:v>1879.2</x:v>
      </x:c>
      <x:c r="M821" t="n">
        <x:f>SUM(E821,J821:L821)</x:f>
        <x:v>6059548.3</x:v>
      </x:c>
      <x:c r="N821" t="n">
        <x:v>111000</x:v>
      </x:c>
      <x:c r="O821" t="n">
        <x:f>D821*N821</x:f>
        <x:v>8658000</x:v>
      </x:c>
      <x:c r="P821" s="22" t="n">
        <x:f>IF(O821=0,0,(M821-O821)/O821)</x:f>
        <x:v>-0.3001214714714715</x:v>
      </x:c>
      <x:c r="Q821" s="20" t="n">
        <x:v>46140</x:v>
      </x:c>
    </x:row>
    <x:row r="822" ht="20" customHeight="1">
      <x:c r="A822" t="str">
        <x:v>WO00821</x:v>
      </x:c>
      <x:c r="B822" t="str">
        <x:v>LOT00821</x:v>
      </x:c>
      <x:c r="C822" t="str">
        <x:v>AUTO-MH-B</x:v>
      </x:c>
      <x:c r="D822" t="n">
        <x:v>4961</x:v>
      </x:c>
      <x:c r="E822" t="n">
        <x:v>7816361.24</x:v>
      </x:c>
      <x:c r="F822" t="n">
        <x:v>27.2</x:v>
      </x:c>
      <x:c r="G822" t="n">
        <x:v>0</x:v>
      </x:c>
      <x:c r="H822" t="n">
        <x:v>3.75</x:v>
      </x:c>
      <x:c r="I822" t="n">
        <x:v>1.02</x:v>
      </x:c>
      <x:c r="J822" t="n">
        <x:v>19480</x:v>
      </x:c>
      <x:c r="K822" t="n">
        <x:v>414043.01</x:v>
      </x:c>
      <x:c r="L822" t="n">
        <x:v>11242</x:v>
      </x:c>
      <x:c r="M822" t="n">
        <x:f>SUM(E822,J822:L822)</x:f>
        <x:v>8261126.25</x:v>
      </x:c>
      <x:c r="N822" t="n">
        <x:v>2320</x:v>
      </x:c>
      <x:c r="O822" t="n">
        <x:f>D822*N822</x:f>
        <x:v>11509520</x:v>
      </x:c>
      <x:c r="P822" s="22" t="n">
        <x:f>IF(O822=0,0,(M822-O822)/O822)</x:f>
        <x:v>-0.28223537992896314</x:v>
      </x:c>
      <x:c r="Q822" s="20" t="n">
        <x:v>46109</x:v>
      </x:c>
    </x:row>
    <x:row r="823" ht="20" customHeight="1">
      <x:c r="A823" t="str">
        <x:v>WO00820</x:v>
      </x:c>
      <x:c r="B823" t="str">
        <x:v>LOT00820</x:v>
      </x:c>
      <x:c r="C823" t="str">
        <x:v>AUTO-MH-B</x:v>
      </x:c>
      <x:c r="D823" t="n">
        <x:v>4913</x:v>
      </x:c>
      <x:c r="E823" t="n">
        <x:v>8343532.21</x:v>
      </x:c>
      <x:c r="F823" t="n">
        <x:v>24.64</x:v>
      </x:c>
      <x:c r="G823" t="n">
        <x:v>0</x:v>
      </x:c>
      <x:c r="H823" t="n">
        <x:v>4.7</x:v>
      </x:c>
      <x:c r="I823" t="n">
        <x:v>1.08</x:v>
      </x:c>
      <x:c r="J823" t="n">
        <x:v>18272</x:v>
      </x:c>
      <x:c r="K823" t="n">
        <x:v>409801.95</x:v>
      </x:c>
      <x:c r="L823" t="n">
        <x:v>10439.2</x:v>
      </x:c>
      <x:c r="M823" t="n">
        <x:f>SUM(E823,J823:L823)</x:f>
        <x:v>8782045.36</x:v>
      </x:c>
      <x:c r="N823" t="n">
        <x:v>2320</x:v>
      </x:c>
      <x:c r="O823" t="n">
        <x:f>D823*N823</x:f>
        <x:v>11398160</x:v>
      </x:c>
      <x:c r="P823" s="22" t="n">
        <x:f>IF(O823=0,0,(M823-O823)/O823)</x:f>
        <x:v>-0.22952078581104324</x:v>
      </x:c>
      <x:c r="Q823" s="20" t="n">
        <x:v>46111</x:v>
      </x:c>
    </x:row>
    <x:row r="824" ht="20" customHeight="1">
      <x:c r="A824" t="str">
        <x:v>WO00822</x:v>
      </x:c>
      <x:c r="B824" t="str">
        <x:v>LOT00822</x:v>
      </x:c>
      <x:c r="C824" t="str">
        <x:v>MECH-CON-A</x:v>
      </x:c>
      <x:c r="D824" t="n">
        <x:v>15</x:v>
      </x:c>
      <x:c r="E824" t="n">
        <x:v>823251.02</x:v>
      </x:c>
      <x:c r="F824" t="n">
        <x:v>1114.22</x:v>
      </x:c>
      <x:c r="G824" t="n">
        <x:v>4108.28</x:v>
      </x:c>
      <x:c r="H824" t="n">
        <x:v>2943.03</x:v>
      </x:c>
      <x:c r="I824" t="n">
        <x:v>2.94</x:v>
      </x:c>
      <x:c r="J824" t="n">
        <x:v>4273203</x:v>
      </x:c>
      <x:c r="K824" t="n">
        <x:v>71793.09</x:v>
      </x:c>
      <x:c r="L824" t="n">
        <x:v>1716826.4</x:v>
      </x:c>
      <x:c r="M824" t="n">
        <x:f>SUM(E824,J824:L824)</x:f>
        <x:v>6885073.51</x:v>
      </x:c>
      <x:c r="N824" t="n">
        <x:v>83000</x:v>
      </x:c>
      <x:c r="O824" t="n">
        <x:f>D824*N824</x:f>
        <x:v>1245000</x:v>
      </x:c>
      <x:c r="P824" s="22" t="n">
        <x:f>IF(O824=0,0,(M824-O824)/O824)</x:f>
        <x:v>4.530179526104417</x:v>
      </x:c>
      <x:c r="Q824" s="20" t="n">
        <x:v>46123</x:v>
      </x:c>
    </x:row>
    <x:row r="825" ht="20" customHeight="1">
      <x:c r="A825" t="str">
        <x:v>WO00823</x:v>
      </x:c>
      <x:c r="B825" t="str">
        <x:v>LOT00823</x:v>
      </x:c>
      <x:c r="C825" t="str">
        <x:v>MECH-CON-A</x:v>
      </x:c>
      <x:c r="D825" t="n">
        <x:v>15</x:v>
      </x:c>
      <x:c r="E825" t="n">
        <x:v>819498.22</x:v>
      </x:c>
      <x:c r="F825" t="n">
        <x:v>1112.53</x:v>
      </x:c>
      <x:c r="G825" t="n">
        <x:v>3456.43</x:v>
      </x:c>
      <x:c r="H825" t="n">
        <x:v>2572.11</x:v>
      </x:c>
      <x:c r="I825" t="n">
        <x:v>3.16</x:v>
      </x:c>
      <x:c r="J825" t="n">
        <x:v>3755100.9</x:v>
      </x:c>
      <x:c r="K825" t="n">
        <x:v>81396.07</x:v>
      </x:c>
      <x:c r="L825" t="n">
        <x:v>1526533</x:v>
      </x:c>
      <x:c r="M825" t="n">
        <x:f>SUM(E825,J825:L825)</x:f>
        <x:v>6182528.1899999995</x:v>
      </x:c>
      <x:c r="N825" t="n">
        <x:v>83000</x:v>
      </x:c>
      <x:c r="O825" t="n">
        <x:f>D825*N825</x:f>
        <x:v>1245000</x:v>
      </x:c>
      <x:c r="P825" s="22" t="n">
        <x:f>IF(O825=0,0,(M825-O825)/O825)</x:f>
        <x:v>3.9658860963855416</x:v>
      </x:c>
      <x:c r="Q825" s="20" t="n">
        <x:v>46122</x:v>
      </x:c>
    </x:row>
    <x:row r="826" ht="20" customHeight="1">
      <x:c r="A826" t="str">
        <x:v>WO00845</x:v>
      </x:c>
      <x:c r="B826" t="str">
        <x:v>LOT00845</x:v>
      </x:c>
      <x:c r="C826" t="str">
        <x:v>AUTO-BRK-B</x:v>
      </x:c>
      <x:c r="D826" t="n">
        <x:v>4926</x:v>
      </x:c>
      <x:c r="E826" t="n">
        <x:v>5580126.15</x:v>
      </x:c>
      <x:c r="F826" t="n">
        <x:v>24.02</x:v>
      </x:c>
      <x:c r="G826" t="n">
        <x:v>0</x:v>
      </x:c>
      <x:c r="H826" t="n">
        <x:v>3.52</x:v>
      </x:c>
      <x:c r="I826" t="n">
        <x:v>1.07</x:v>
      </x:c>
      <x:c r="J826" t="n">
        <x:v>17302.6</x:v>
      </x:c>
      <x:c r="K826" t="n">
        <x:v>430647.96</x:v>
      </x:c>
      <x:c r="L826" t="n">
        <x:v>10011.8</x:v>
      </x:c>
      <x:c r="M826" t="n">
        <x:f>SUM(E826,J826:L826)</x:f>
        <x:v>6038088.510000001</x:v>
      </x:c>
      <x:c r="N826" t="n">
        <x:v>1660</x:v>
      </x:c>
      <x:c r="O826" t="n">
        <x:f>D826*N826</x:f>
        <x:v>8177160</x:v>
      </x:c>
      <x:c r="P826" s="22" t="n">
        <x:f>IF(O826=0,0,(M826-O826)/O826)</x:f>
        <x:v>-0.26159100347798003</x:v>
      </x:c>
      <x:c r="Q826" s="20" t="n">
        <x:v>46119</x:v>
      </x:c>
    </x:row>
    <x:row r="827" ht="20" customHeight="1">
      <x:c r="A827" t="str">
        <x:v>WO00849</x:v>
      </x:c>
      <x:c r="B827" t="str">
        <x:v>LOT00849</x:v>
      </x:c>
      <x:c r="C827" t="str">
        <x:v>PM-VAC-B</x:v>
      </x:c>
      <x:c r="D827" t="n">
        <x:v>496</x:v>
      </x:c>
      <x:c r="E827" t="n">
        <x:v>4732438.14</x:v>
      </x:c>
      <x:c r="F827" t="n">
        <x:v>4.55</x:v>
      </x:c>
      <x:c r="G827" t="n">
        <x:v>0</x:v>
      </x:c>
      <x:c r="H827" t="n">
        <x:v>0.9</x:v>
      </x:c>
      <x:c r="I827" t="n">
        <x:v>1.8</x:v>
      </x:c>
      <x:c r="J827" t="n">
        <x:v>3389.5</x:v>
      </x:c>
      <x:c r="K827" t="n">
        <x:v>570689.04</x:v>
      </x:c>
      <x:c r="L827" t="n">
        <x:v>2413</x:v>
      </x:c>
      <x:c r="M827" t="n">
        <x:f>SUM(E827,J827:L827)</x:f>
        <x:v>5308929.68</x:v>
      </x:c>
      <x:c r="N827" t="n">
        <x:v>15500</x:v>
      </x:c>
      <x:c r="O827" t="n">
        <x:f>D827*N827</x:f>
        <x:v>7688000</x:v>
      </x:c>
      <x:c r="P827" s="22" t="n">
        <x:f>IF(O827=0,0,(M827-O827)/O827)</x:f>
        <x:v>-0.30945243496357966</x:v>
      </x:c>
      <x:c r="Q827" s="20" t="n">
        <x:v>46125</x:v>
      </x:c>
    </x:row>
    <x:row r="828" ht="20" customHeight="1">
      <x:c r="A828" t="str">
        <x:v>WO00850</x:v>
      </x:c>
      <x:c r="B828" t="str">
        <x:v>LOT00850</x:v>
      </x:c>
      <x:c r="C828" t="str">
        <x:v>AUTO-BS-B</x:v>
      </x:c>
      <x:c r="D828" t="n">
        <x:v>4914</x:v>
      </x:c>
      <x:c r="E828" t="n">
        <x:v>2008307.28</x:v>
      </x:c>
      <x:c r="F828" t="n">
        <x:v>25.48</x:v>
      </x:c>
      <x:c r="G828" t="n">
        <x:v>0</x:v>
      </x:c>
      <x:c r="H828" t="n">
        <x:v>3.62</x:v>
      </x:c>
      <x:c r="I828" t="n">
        <x:v>1.36</x:v>
      </x:c>
      <x:c r="J828" t="n">
        <x:v>18299.6</x:v>
      </x:c>
      <x:c r="K828" t="n">
        <x:v>173400.14</x:v>
      </x:c>
      <x:c r="L828" t="n">
        <x:v>10669.6</x:v>
      </x:c>
      <x:c r="M828" t="n">
        <x:f>SUM(E828,J828:L828)</x:f>
        <x:v>2210676.62</x:v>
      </x:c>
      <x:c r="N828" t="n">
        <x:v>650</x:v>
      </x:c>
      <x:c r="O828" t="n">
        <x:f>D828*N828</x:f>
        <x:v>3194100</x:v>
      </x:c>
      <x:c r="P828" s="22" t="n">
        <x:f>IF(O828=0,0,(M828-O828)/O828)</x:f>
        <x:v>-0.30788747377978143</x:v>
      </x:c>
      <x:c r="Q828" s="20" t="n">
        <x:v>46104</x:v>
      </x:c>
    </x:row>
    <x:row r="829" ht="20" customHeight="1">
      <x:c r="A829" t="str">
        <x:v>WO00830</x:v>
      </x:c>
      <x:c r="B829" t="str">
        <x:v>LOT00830</x:v>
      </x:c>
      <x:c r="C829" t="str">
        <x:v>PM-SUS-A</x:v>
      </x:c>
      <x:c r="D829" t="n">
        <x:v>784</x:v>
      </x:c>
      <x:c r="E829" t="n">
        <x:v>3521801.91</x:v>
      </x:c>
      <x:c r="F829" t="n">
        <x:v>7.84</x:v>
      </x:c>
      <x:c r="G829" t="n">
        <x:v>0</x:v>
      </x:c>
      <x:c r="H829" t="n">
        <x:v>1.27</x:v>
      </x:c>
      <x:c r="I829" t="n">
        <x:v>1.92</x:v>
      </x:c>
      <x:c r="J829" t="n">
        <x:v>5705.6</x:v>
      </x:c>
      <x:c r="K829" t="n">
        <x:v>368661.14</x:v>
      </x:c>
      <x:c r="L829" t="n">
        <x:v>3758.4</x:v>
      </x:c>
      <x:c r="M829" t="n">
        <x:f>SUM(E829,J829:L829)</x:f>
        <x:v>3899927.0500000003</x:v>
      </x:c>
      <x:c r="N829" t="n">
        <x:v>7500</x:v>
      </x:c>
      <x:c r="O829" t="n">
        <x:f>D829*N829</x:f>
        <x:v>5880000</x:v>
      </x:c>
      <x:c r="P829" s="22" t="n">
        <x:f>IF(O829=0,0,(M829-O829)/O829)</x:f>
        <x:v>-0.336747100340136</x:v>
      </x:c>
      <x:c r="Q829" s="20" t="n">
        <x:v>46118</x:v>
      </x:c>
    </x:row>
    <x:row r="830" ht="20" customHeight="1">
      <x:c r="A830" t="str">
        <x:v>WO00831</x:v>
      </x:c>
      <x:c r="B830" t="str">
        <x:v>LOT00831</x:v>
      </x:c>
      <x:c r="C830" t="str">
        <x:v>PM-SUS-A</x:v>
      </x:c>
      <x:c r="D830" t="n">
        <x:v>785</x:v>
      </x:c>
      <x:c r="E830" t="n">
        <x:v>3418252.42</x:v>
      </x:c>
      <x:c r="F830" t="n">
        <x:v>7.4</x:v>
      </x:c>
      <x:c r="G830" t="n">
        <x:v>0</x:v>
      </x:c>
      <x:c r="H830" t="n">
        <x:v>1.64</x:v>
      </x:c>
      <x:c r="I830" t="n">
        <x:v>1.76</x:v>
      </x:c>
      <x:c r="J830" t="n">
        <x:v>5597.2</x:v>
      </x:c>
      <x:c r="K830" t="n">
        <x:v>426362.25</x:v>
      </x:c>
      <x:c r="L830" t="n">
        <x:v>3602.4</x:v>
      </x:c>
      <x:c r="M830" t="n">
        <x:f>SUM(E830,J830:L830)</x:f>
        <x:v>3853814.27</x:v>
      </x:c>
      <x:c r="N830" t="n">
        <x:v>7500</x:v>
      </x:c>
      <x:c r="O830" t="n">
        <x:f>D830*N830</x:f>
        <x:v>5887500</x:v>
      </x:c>
      <x:c r="P830" s="22" t="n">
        <x:f>IF(O830=0,0,(M830-O830)/O830)</x:f>
        <x:v>-0.34542432781316346</x:v>
      </x:c>
      <x:c r="Q830" s="20" t="n">
        <x:v>46119</x:v>
      </x:c>
    </x:row>
    <x:row r="831" ht="20" customHeight="1">
      <x:c r="A831" t="str">
        <x:v>WO00838</x:v>
      </x:c>
      <x:c r="B831" t="str">
        <x:v>LOT00838</x:v>
      </x:c>
      <x:c r="C831" t="str">
        <x:v>SEMI-WH-A</x:v>
      </x:c>
      <x:c r="D831" t="n">
        <x:v>78</x:v>
      </x:c>
      <x:c r="E831" t="n">
        <x:v>4447888.54</x:v>
      </x:c>
      <x:c r="F831" t="n">
        <x:v>2.12</x:v>
      </x:c>
      <x:c r="G831" t="n">
        <x:v>0</x:v>
      </x:c>
      <x:c r="H831" t="n">
        <x:v>0.81</x:v>
      </x:c>
      <x:c r="I831" t="n">
        <x:v>2.78</x:v>
      </x:c>
      <x:c r="J831" t="n">
        <x:v>1766.8</x:v>
      </x:c>
      <x:c r="K831" t="n">
        <x:v>559233.46</x:v>
      </x:c>
      <x:c r="L831" t="n">
        <x:v>1769.2</x:v>
      </x:c>
      <x:c r="M831" t="n">
        <x:f>SUM(E831,J831:L831)</x:f>
        <x:v>5010658</x:v>
      </x:c>
      <x:c r="N831" t="n">
        <x:v>88000</x:v>
      </x:c>
      <x:c r="O831" t="n">
        <x:f>D831*N831</x:f>
        <x:v>6864000</x:v>
      </x:c>
      <x:c r="P831" s="22" t="n">
        <x:f>IF(O831=0,0,(M831-O831)/O831)</x:f>
        <x:v>-0.27000903263403264</x:v>
      </x:c>
      <x:c r="Q831" s="20" t="n">
        <x:v>46153</x:v>
      </x:c>
    </x:row>
    <x:row r="832" ht="20" customHeight="1">
      <x:c r="A832" t="str">
        <x:v>WO00827</x:v>
      </x:c>
      <x:c r="B832" t="str">
        <x:v>LOT00827</x:v>
      </x:c>
      <x:c r="C832" t="str">
        <x:v>SEMI-CHB-A</x:v>
      </x:c>
      <x:c r="D832" t="n">
        <x:v>78</x:v>
      </x:c>
      <x:c r="E832" t="n">
        <x:v>3438679.65</x:v>
      </x:c>
      <x:c r="F832" t="n">
        <x:v>1.89</x:v>
      </x:c>
      <x:c r="G832" t="n">
        <x:v>0</x:v>
      </x:c>
      <x:c r="H832" t="n">
        <x:v>0.69</x:v>
      </x:c>
      <x:c r="I832" t="n">
        <x:v>2.65</x:v>
      </x:c>
      <x:c r="J832" t="n">
        <x:v>1559.7</x:v>
      </x:c>
      <x:c r="K832" t="n">
        <x:v>390448.47</x:v>
      </x:c>
      <x:c r="L832" t="n">
        <x:v>1623.6</x:v>
      </x:c>
      <x:c r="M832" t="n">
        <x:f>SUM(E832,J832:L832)</x:f>
        <x:v>3832311.42</x:v>
      </x:c>
      <x:c r="N832" t="n">
        <x:v>70000</x:v>
      </x:c>
      <x:c r="O832" t="n">
        <x:f>D832*N832</x:f>
        <x:v>5460000</x:v>
      </x:c>
      <x:c r="P832" s="22" t="n">
        <x:f>IF(O832=0,0,(M832-O832)/O832)</x:f>
        <x:v>-0.2981114615384616</x:v>
      </x:c>
      <x:c r="Q832" s="20" t="n">
        <x:v>46152</x:v>
      </x:c>
    </x:row>
    <x:row r="833" ht="20" customHeight="1">
      <x:c r="A833" t="str">
        <x:v>WO00828</x:v>
      </x:c>
      <x:c r="B833" t="str">
        <x:v>LOT00828</x:v>
      </x:c>
      <x:c r="C833" t="str">
        <x:v>AUTO-FL-A</x:v>
      </x:c>
      <x:c r="D833" t="n">
        <x:v>6402</x:v>
      </x:c>
      <x:c r="E833" t="n">
        <x:v>4181613.44</x:v>
      </x:c>
      <x:c r="F833" t="n">
        <x:v>32.63</x:v>
      </x:c>
      <x:c r="G833" t="n">
        <x:v>0</x:v>
      </x:c>
      <x:c r="H833" t="n">
        <x:v>4.94</x:v>
      </x:c>
      <x:c r="I833" t="n">
        <x:v>1.13</x:v>
      </x:c>
      <x:c r="J833" t="n">
        <x:v>23580.7</x:v>
      </x:c>
      <x:c r="K833" t="n">
        <x:v>341850.08</x:v>
      </x:c>
      <x:c r="L833" t="n">
        <x:v>13528.8</x:v>
      </x:c>
      <x:c r="M833" t="n">
        <x:f>SUM(E833,J833:L833)</x:f>
        <x:v>4560573.02</x:v>
      </x:c>
      <x:c r="N833" t="n">
        <x:v>970</x:v>
      </x:c>
      <x:c r="O833" t="n">
        <x:f>D833*N833</x:f>
        <x:v>6209940</x:v>
      </x:c>
      <x:c r="P833" s="22" t="n">
        <x:f>IF(O833=0,0,(M833-O833)/O833)</x:f>
        <x:v>-0.2656011136983611</x:v>
      </x:c>
      <x:c r="Q833" s="20" t="n">
        <x:v>46126</x:v>
      </x:c>
    </x:row>
    <x:row r="834" ht="20" customHeight="1">
      <x:c r="A834" t="str">
        <x:v>WO00829</x:v>
      </x:c>
      <x:c r="B834" t="str">
        <x:v>LOT00829</x:v>
      </x:c>
      <x:c r="C834" t="str">
        <x:v>AUTO-FL-A</x:v>
      </x:c>
      <x:c r="D834" t="n">
        <x:v>6401</x:v>
      </x:c>
      <x:c r="E834" t="n">
        <x:v>3870301.04</x:v>
      </x:c>
      <x:c r="F834" t="n">
        <x:v>31.3</x:v>
      </x:c>
      <x:c r="G834" t="n">
        <x:v>0</x:v>
      </x:c>
      <x:c r="H834" t="n">
        <x:v>4.98</x:v>
      </x:c>
      <x:c r="I834" t="n">
        <x:v>1.1</x:v>
      </x:c>
      <x:c r="J834" t="n">
        <x:v>22735.4</x:v>
      </x:c>
      <x:c r="K834" t="n">
        <x:v>363763.61</x:v>
      </x:c>
      <x:c r="L834" t="n">
        <x:v>13020.8</x:v>
      </x:c>
      <x:c r="M834" t="n">
        <x:f>SUM(E834,J834:L834)</x:f>
        <x:v>4269820.85</x:v>
      </x:c>
      <x:c r="N834" t="n">
        <x:v>970</x:v>
      </x:c>
      <x:c r="O834" t="n">
        <x:f>D834*N834</x:f>
        <x:v>6208970</x:v>
      </x:c>
      <x:c r="P834" s="22" t="n">
        <x:f>IF(O834=0,0,(M834-O834)/O834)</x:f>
        <x:v>-0.3123141438918211</x:v>
      </x:c>
      <x:c r="Q834" s="20" t="n">
        <x:v>46121</x:v>
      </x:c>
    </x:row>
    <x:row r="835" ht="20" customHeight="1">
      <x:c r="A835" t="str">
        <x:v>WO00836</x:v>
      </x:c>
      <x:c r="B835" t="str">
        <x:v>LOT00836</x:v>
      </x:c>
      <x:c r="C835" t="str">
        <x:v>AUTO-BS-B</x:v>
      </x:c>
      <x:c r="D835" t="n">
        <x:v>5000</x:v>
      </x:c>
      <x:c r="E835" t="n">
        <x:v>1950527.56</x:v>
      </x:c>
      <x:c r="F835" t="n">
        <x:v>24.2</x:v>
      </x:c>
      <x:c r="G835" t="n">
        <x:v>0</x:v>
      </x:c>
      <x:c r="H835" t="n">
        <x:v>4.39</x:v>
      </x:c>
      <x:c r="I835" t="n">
        <x:v>0.98</x:v>
      </x:c>
      <x:c r="J835" t="n">
        <x:v>17837.2</x:v>
      </x:c>
      <x:c r="K835" t="n">
        <x:v>163276.3</x:v>
      </x:c>
      <x:c r="L835" t="n">
        <x:v>10192.4</x:v>
      </x:c>
      <x:c r="M835" t="n">
        <x:f>SUM(E835,J835:L835)</x:f>
        <x:v>2141833.46</x:v>
      </x:c>
      <x:c r="N835" t="n">
        <x:v>650</x:v>
      </x:c>
      <x:c r="O835" t="n">
        <x:f>D835*N835</x:f>
        <x:v>3250000</x:v>
      </x:c>
      <x:c r="P835" s="22" t="n">
        <x:f>IF(O835=0,0,(M835-O835)/O835)</x:f>
        <x:v>-0.34097432</x:v>
      </x:c>
      <x:c r="Q835" s="20" t="n">
        <x:v>46116</x:v>
      </x:c>
    </x:row>
    <x:row r="836" ht="20" customHeight="1">
      <x:c r="A836" t="str">
        <x:v>WO00837</x:v>
      </x:c>
      <x:c r="B836" t="str">
        <x:v>LOT00837</x:v>
      </x:c>
      <x:c r="C836" t="str">
        <x:v>AUTO-BS-B</x:v>
      </x:c>
      <x:c r="D836" t="n">
        <x:v>4979</x:v>
      </x:c>
      <x:c r="E836" t="n">
        <x:v>1974508.52</x:v>
      </x:c>
      <x:c r="F836" t="n">
        <x:v>24.45</x:v>
      </x:c>
      <x:c r="G836" t="n">
        <x:v>0</x:v>
      </x:c>
      <x:c r="H836" t="n">
        <x:v>4.32</x:v>
      </x:c>
      <x:c r="I836" t="n">
        <x:v>1.32</x:v>
      </x:c>
      <x:c r="J836" t="n">
        <x:v>17966.1</x:v>
      </x:c>
      <x:c r="K836" t="n">
        <x:v>160792.23</x:v>
      </x:c>
      <x:c r="L836" t="n">
        <x:v>10378.2</x:v>
      </x:c>
      <x:c r="M836" t="n">
        <x:f>SUM(E836,J836:L836)</x:f>
        <x:v>2163645.05</x:v>
      </x:c>
      <x:c r="N836" t="n">
        <x:v>650</x:v>
      </x:c>
      <x:c r="O836" t="n">
        <x:f>D836*N836</x:f>
        <x:v>3236350</x:v>
      </x:c>
      <x:c r="P836" s="22" t="n">
        <x:f>IF(O836=0,0,(M836-O836)/O836)</x:f>
        <x:v>-0.33145517326617957</x:v>
      </x:c>
      <x:c r="Q836" s="20" t="n">
        <x:v>46113</x:v>
      </x:c>
    </x:row>
    <x:row r="837" ht="20" customHeight="1">
      <x:c r="A837" t="str">
        <x:v>WO00846</x:v>
      </x:c>
      <x:c r="B837" t="str">
        <x:v>LOT00846</x:v>
      </x:c>
      <x:c r="C837" t="str">
        <x:v>AUTO-FL-B</x:v>
      </x:c>
      <x:c r="D837" t="n">
        <x:v>6949</x:v>
      </x:c>
      <x:c r="E837" t="n">
        <x:v>5125776.49</x:v>
      </x:c>
      <x:c r="F837" t="n">
        <x:v>35.35</x:v>
      </x:c>
      <x:c r="G837" t="n">
        <x:v>0</x:v>
      </x:c>
      <x:c r="H837" t="n">
        <x:v>6.31</x:v>
      </x:c>
      <x:c r="I837" t="n">
        <x:v>1.35</x:v>
      </x:c>
      <x:c r="J837" t="n">
        <x:v>26006.3</x:v>
      </x:c>
      <x:c r="K837" t="n">
        <x:v>413478.96</x:v>
      </x:c>
      <x:c r="L837" t="n">
        <x:v>14847.6</x:v>
      </x:c>
      <x:c r="M837" t="n">
        <x:f>SUM(E837,J837:L837)</x:f>
        <x:v>5580109.350000001</x:v>
      </x:c>
      <x:c r="N837" t="n">
        <x:v>1170</x:v>
      </x:c>
      <x:c r="O837" t="n">
        <x:f>D837*N837</x:f>
        <x:v>8130330</x:v>
      </x:c>
      <x:c r="P837" s="22" t="n">
        <x:f>IF(O837=0,0,(M837-O837)/O837)</x:f>
        <x:v>-0.3136675448598027</x:v>
      </x:c>
      <x:c r="Q837" s="20" t="n">
        <x:v>46123</x:v>
      </x:c>
    </x:row>
    <x:row r="838" ht="20" customHeight="1">
      <x:c r="A838" t="str">
        <x:v>WO00839</x:v>
      </x:c>
      <x:c r="B838" t="str">
        <x:v>LOT00839</x:v>
      </x:c>
      <x:c r="C838" t="str">
        <x:v>PM-ALB-B</x:v>
      </x:c>
      <x:c r="D838" t="n">
        <x:v>583</x:v>
      </x:c>
      <x:c r="E838" t="n">
        <x:v>4901384.3</x:v>
      </x:c>
      <x:c r="F838" t="n">
        <x:v>4.82</x:v>
      </x:c>
      <x:c r="G838" t="n">
        <x:v>0</x:v>
      </x:c>
      <x:c r="H838" t="n">
        <x:v>1.14</x:v>
      </x:c>
      <x:c r="I838" t="n">
        <x:v>1.81</x:v>
      </x:c>
      <x:c r="J838" t="n">
        <x:v>3680.2</x:v>
      </x:c>
      <x:c r="K838" t="n">
        <x:v>297252.42</x:v>
      </x:c>
      <x:c r="L838" t="n">
        <x:v>2557</x:v>
      </x:c>
      <x:c r="M838" t="n">
        <x:f>SUM(E838,J838:L838)</x:f>
        <x:v>5204873.92</x:v>
      </x:c>
      <x:c r="N838" t="n">
        <x:v>11750</x:v>
      </x:c>
      <x:c r="O838" t="n">
        <x:f>D838*N838</x:f>
        <x:v>6850250</x:v>
      </x:c>
      <x:c r="P838" s="22" t="n">
        <x:f>IF(O838=0,0,(M838-O838)/O838)</x:f>
        <x:v>-0.24019212145542135</x:v>
      </x:c>
      <x:c r="Q838" s="20" t="n">
        <x:v>46139</x:v>
      </x:c>
    </x:row>
    <x:row r="839" ht="20" customHeight="1">
      <x:c r="A839" t="str">
        <x:v>WO00848</x:v>
      </x:c>
      <x:c r="B839" t="str">
        <x:v>LOT00848</x:v>
      </x:c>
      <x:c r="C839" t="str">
        <x:v>AUTO-FL-B</x:v>
      </x:c>
      <x:c r="D839" t="n">
        <x:v>6343</x:v>
      </x:c>
      <x:c r="E839" t="n">
        <x:v>4893484.47</x:v>
      </x:c>
      <x:c r="F839" t="n">
        <x:v>34.73</x:v>
      </x:c>
      <x:c r="G839" t="n">
        <x:v>0</x:v>
      </x:c>
      <x:c r="H839" t="n">
        <x:v>5.45</x:v>
      </x:c>
      <x:c r="I839" t="n">
        <x:v>1.02</x:v>
      </x:c>
      <x:c r="J839" t="n">
        <x:v>25190.5</x:v>
      </x:c>
      <x:c r="K839" t="n">
        <x:v>411397.27</x:v>
      </x:c>
      <x:c r="L839" t="n">
        <x:v>14375.4</x:v>
      </x:c>
      <x:c r="M839" t="n">
        <x:f>SUM(E839,J839:L839)</x:f>
        <x:v>5344447.64</x:v>
      </x:c>
      <x:c r="N839" t="n">
        <x:v>1170</x:v>
      </x:c>
      <x:c r="O839" t="n">
        <x:f>D839*N839</x:f>
        <x:v>7421310</x:v>
      </x:c>
      <x:c r="P839" s="22" t="n">
        <x:f>IF(O839=0,0,(M839-O839)/O839)</x:f>
        <x:v>-0.27985117991298036</x:v>
      </x:c>
      <x:c r="Q839" s="20" t="n">
        <x:v>46121</x:v>
      </x:c>
    </x:row>
    <x:row r="840" ht="20" customHeight="1">
      <x:c r="A840" t="str">
        <x:v>WO00840</x:v>
      </x:c>
      <x:c r="B840" t="str">
        <x:v>LOT00840</x:v>
      </x:c>
      <x:c r="C840" t="str">
        <x:v>PM-ALB-B</x:v>
      </x:c>
      <x:c r="D840" t="n">
        <x:v>592</x:v>
      </x:c>
      <x:c r="E840" t="n">
        <x:v>4643918.03</x:v>
      </x:c>
      <x:c r="F840" t="n">
        <x:v>5.82</x:v>
      </x:c>
      <x:c r="G840" t="n">
        <x:v>0</x:v>
      </x:c>
      <x:c r="H840" t="n">
        <x:v>1.1</x:v>
      </x:c>
      <x:c r="I840" t="n">
        <x:v>1.82</x:v>
      </x:c>
      <x:c r="J840" t="n">
        <x:v>4311</x:v>
      </x:c>
      <x:c r="K840" t="n">
        <x:v>247703.09</x:v>
      </x:c>
      <x:c r="L840" t="n">
        <x:v>2933.6</x:v>
      </x:c>
      <x:c r="M840" t="n">
        <x:f>SUM(E840,J840:L840)</x:f>
        <x:v>4898865.720000001</x:v>
      </x:c>
      <x:c r="N840" t="n">
        <x:v>11750</x:v>
      </x:c>
      <x:c r="O840" t="n">
        <x:f>D840*N840</x:f>
        <x:v>6956000</x:v>
      </x:c>
      <x:c r="P840" s="22" t="n">
        <x:f>IF(O840=0,0,(M840-O840)/O840)</x:f>
        <x:v>-0.29573523289246684</x:v>
      </x:c>
      <x:c r="Q840" s="20" t="n">
        <x:v>46135</x:v>
      </x:c>
    </x:row>
    <x:row r="841" ht="20" customHeight="1">
      <x:c r="A841" t="str">
        <x:v>WO00843</x:v>
      </x:c>
      <x:c r="B841" t="str">
        <x:v>LOT00843</x:v>
      </x:c>
      <x:c r="C841" t="str">
        <x:v>SEMI-CHB-B</x:v>
      </x:c>
      <x:c r="D841" t="n">
        <x:v>59</x:v>
      </x:c>
      <x:c r="E841" t="n">
        <x:v>4251949.76</x:v>
      </x:c>
      <x:c r="F841" t="n">
        <x:v>1.59</x:v>
      </x:c>
      <x:c r="G841" t="n">
        <x:v>0</x:v>
      </x:c>
      <x:c r="H841" t="n">
        <x:v>0.61</x:v>
      </x:c>
      <x:c r="I841" t="n">
        <x:v>3.05</x:v>
      </x:c>
      <x:c r="J841" t="n">
        <x:v>1326.3</x:v>
      </x:c>
      <x:c r="K841" t="n">
        <x:v>477857.3</x:v>
      </x:c>
      <x:c r="L841" t="n">
        <x:v>1616.8</x:v>
      </x:c>
      <x:c r="M841" t="n">
        <x:f>SUM(E841,J841:L841)</x:f>
        <x:v>4732750.16</x:v>
      </x:c>
      <x:c r="N841" t="n">
        <x:v>111000</x:v>
      </x:c>
      <x:c r="O841" t="n">
        <x:f>D841*N841</x:f>
        <x:v>6549000</x:v>
      </x:c>
      <x:c r="P841" s="22" t="n">
        <x:f>IF(O841=0,0,(M841-O841)/O841)</x:f>
        <x:v>-0.2773323927317147</x:v>
      </x:c>
      <x:c r="Q841" s="20" t="n">
        <x:v>46157</x:v>
      </x:c>
    </x:row>
    <x:row r="842" ht="20" customHeight="1">
      <x:c r="A842" t="str">
        <x:v>WO00847</x:v>
      </x:c>
      <x:c r="B842" t="str">
        <x:v>LOT00847</x:v>
      </x:c>
      <x:c r="C842" t="str">
        <x:v>AUTO-FL-B</x:v>
      </x:c>
      <x:c r="D842" t="n">
        <x:v>6418</x:v>
      </x:c>
      <x:c r="E842" t="n">
        <x:v>5210395.89</x:v>
      </x:c>
      <x:c r="F842" t="n">
        <x:v>31.56</x:v>
      </x:c>
      <x:c r="G842" t="n">
        <x:v>0</x:v>
      </x:c>
      <x:c r="H842" t="n">
        <x:v>5.85</x:v>
      </x:c>
      <x:c r="I842" t="n">
        <x:v>1.25</x:v>
      </x:c>
      <x:c r="J842" t="n">
        <x:v>23322</x:v>
      </x:c>
      <x:c r="K842" t="n">
        <x:v>357936.24</x:v>
      </x:c>
      <x:c r="L842" t="n">
        <x:v>13303.8</x:v>
      </x:c>
      <x:c r="M842" t="n">
        <x:f>SUM(E842,J842:L842)</x:f>
        <x:v>5604957.93</x:v>
      </x:c>
      <x:c r="N842" t="n">
        <x:v>1170</x:v>
      </x:c>
      <x:c r="O842" t="n">
        <x:f>D842*N842</x:f>
        <x:v>7509060</x:v>
      </x:c>
      <x:c r="P842" s="22" t="n">
        <x:f>IF(O842=0,0,(M842-O842)/O842)</x:f>
        <x:v>-0.25357395865794125</x:v>
      </x:c>
      <x:c r="Q842" s="20" t="n">
        <x:v>46123</x:v>
      </x:c>
    </x:row>
    <x:row r="843" ht="20" customHeight="1">
      <x:c r="A843" t="str">
        <x:v>WO00844</x:v>
      </x:c>
      <x:c r="B843" t="str">
        <x:v>LOT00844</x:v>
      </x:c>
      <x:c r="C843" t="str">
        <x:v>SEMI-CHB-B</x:v>
      </x:c>
      <x:c r="D843" t="n">
        <x:v>59</x:v>
      </x:c>
      <x:c r="E843" t="n">
        <x:v>4349047.78</x:v>
      </x:c>
      <x:c r="F843" t="n">
        <x:v>1.6</x:v>
      </x:c>
      <x:c r="G843" t="n">
        <x:v>0</x:v>
      </x:c>
      <x:c r="H843" t="n">
        <x:v>0.53</x:v>
      </x:c>
      <x:c r="I843" t="n">
        <x:v>2.63</x:v>
      </x:c>
      <x:c r="J843" t="n">
        <x:v>1294.4</x:v>
      </x:c>
      <x:c r="K843" t="n">
        <x:v>510101.18</x:v>
      </x:c>
      <x:c r="L843" t="n">
        <x:v>1481.8</x:v>
      </x:c>
      <x:c r="M843" t="n">
        <x:f>SUM(E843,J843:L843)</x:f>
        <x:v>4861925.16</x:v>
      </x:c>
      <x:c r="N843" t="n">
        <x:v>111000</x:v>
      </x:c>
      <x:c r="O843" t="n">
        <x:f>D843*N843</x:f>
        <x:v>6549000</x:v>
      </x:c>
      <x:c r="P843" s="22" t="n">
        <x:f>IF(O843=0,0,(M843-O843)/O843)</x:f>
        <x:v>-0.25760800732936323</x:v>
      </x:c>
      <x:c r="Q843" s="20" t="n">
        <x:v>46158</x:v>
      </x:c>
    </x:row>
    <x:row r="844" ht="20" customHeight="1">
      <x:c r="A844" t="str">
        <x:v>WO00842</x:v>
      </x:c>
      <x:c r="B844" t="str">
        <x:v>LOT00842</x:v>
      </x:c>
      <x:c r="C844" t="str">
        <x:v>PM-ALB-B</x:v>
      </x:c>
      <x:c r="D844" t="n">
        <x:v>780</x:v>
      </x:c>
      <x:c r="E844" t="n">
        <x:v>6171864.53</x:v>
      </x:c>
      <x:c r="F844" t="n">
        <x:v>6.58</x:v>
      </x:c>
      <x:c r="G844" t="n">
        <x:v>0</x:v>
      </x:c>
      <x:c r="H844" t="n">
        <x:v>1.64</x:v>
      </x:c>
      <x:c r="I844" t="n">
        <x:v>1.5</x:v>
      </x:c>
      <x:c r="J844" t="n">
        <x:v>5064.2</x:v>
      </x:c>
      <x:c r="K844" t="n">
        <x:v>385827.85</x:v>
      </x:c>
      <x:c r="L844" t="n">
        <x:v>3212.8</x:v>
      </x:c>
      <x:c r="M844" t="n">
        <x:f>SUM(E844,J844:L844)</x:f>
        <x:v>6565969.38</x:v>
      </x:c>
      <x:c r="N844" t="n">
        <x:v>11750</x:v>
      </x:c>
      <x:c r="O844" t="n">
        <x:f>D844*N844</x:f>
        <x:v>9165000</x:v>
      </x:c>
      <x:c r="P844" s="22" t="n">
        <x:f>IF(O844=0,0,(M844-O844)/O844)</x:f>
        <x:v>-0.2835821734860884</x:v>
      </x:c>
      <x:c r="Q844" s="20" t="n">
        <x:v>46136</x:v>
      </x:c>
    </x:row>
    <x:row r="845" ht="20" customHeight="1">
      <x:c r="A845" t="str">
        <x:v>WO00841</x:v>
      </x:c>
      <x:c r="B845" t="str">
        <x:v>LOT00841</x:v>
      </x:c>
      <x:c r="C845" t="str">
        <x:v>PM-ALB-B</x:v>
      </x:c>
      <x:c r="D845" t="n">
        <x:v>782</x:v>
      </x:c>
      <x:c r="E845" t="n">
        <x:v>6573811.97</x:v>
      </x:c>
      <x:c r="F845" t="n">
        <x:v>6.86</x:v>
      </x:c>
      <x:c r="G845" t="n">
        <x:v>0</x:v>
      </x:c>
      <x:c r="H845" t="n">
        <x:v>1.67</x:v>
      </x:c>
      <x:c r="I845" t="n">
        <x:v>1.61</x:v>
      </x:c>
      <x:c r="J845" t="n">
        <x:v>5260.6</x:v>
      </x:c>
      <x:c r="K845" t="n">
        <x:v>346658.19</x:v>
      </x:c>
      <x:c r="L845" t="n">
        <x:v>3357</x:v>
      </x:c>
      <x:c r="M845" t="n">
        <x:f>SUM(E845,J845:L845)</x:f>
        <x:v>6929087.76</x:v>
      </x:c>
      <x:c r="N845" t="n">
        <x:v>11750</x:v>
      </x:c>
      <x:c r="O845" t="n">
        <x:f>D845*N845</x:f>
        <x:v>9188500</x:v>
      </x:c>
      <x:c r="P845" s="22" t="n">
        <x:f>IF(O845=0,0,(M845-O845)/O845)</x:f>
        <x:v>-0.24589565652718073</x:v>
      </x:c>
      <x:c r="Q845" s="20" t="n">
        <x:v>46134</x:v>
      </x:c>
    </x:row>
    <x:row r="846" ht="20" customHeight="1">
      <x:c r="A846" t="str">
        <x:v>WO00835</x:v>
      </x:c>
      <x:c r="B846" t="str">
        <x:v>LOT00835</x:v>
      </x:c>
      <x:c r="C846" t="str">
        <x:v>AUTO-BS-A</x:v>
      </x:c>
      <x:c r="D846" t="n">
        <x:v>6493</x:v>
      </x:c>
      <x:c r="E846" t="n">
        <x:v>1997319.81</x:v>
      </x:c>
      <x:c r="F846" t="n">
        <x:v>35.52</x:v>
      </x:c>
      <x:c r="G846" t="n">
        <x:v>0</x:v>
      </x:c>
      <x:c r="H846" t="n">
        <x:v>4.71</x:v>
      </x:c>
      <x:c r="I846" t="n">
        <x:v>1.03</x:v>
      </x:c>
      <x:c r="J846" t="n">
        <x:v>25348.8</x:v>
      </x:c>
      <x:c r="K846" t="n">
        <x:v>216494.72</x:v>
      </x:c>
      <x:c r="L846" t="n">
        <x:v>14560.2</x:v>
      </x:c>
      <x:c r="M846" t="n">
        <x:f>SUM(E846,J846:L846)</x:f>
        <x:v>2253723.5300000003</x:v>
      </x:c>
      <x:c r="N846" t="n">
        <x:v>550</x:v>
      </x:c>
      <x:c r="O846" t="n">
        <x:f>D846*N846</x:f>
        <x:v>3571150</x:v>
      </x:c>
      <x:c r="P846" s="22" t="n">
        <x:f>IF(O846=0,0,(M846-O846)/O846)</x:f>
        <x:v>-0.3689081864385421</x:v>
      </x:c>
      <x:c r="Q846" s="20" t="n">
        <x:v>46127</x:v>
      </x:c>
    </x:row>
    <x:row r="847" ht="20" customHeight="1">
      <x:c r="A847" t="str">
        <x:v>WO00834</x:v>
      </x:c>
      <x:c r="B847" t="str">
        <x:v>LOT00834</x:v>
      </x:c>
      <x:c r="C847" t="str">
        <x:v>AUTO-BS-A</x:v>
      </x:c>
      <x:c r="D847" t="n">
        <x:v>6451</x:v>
      </x:c>
      <x:c r="E847" t="n">
        <x:v>2206743.41</x:v>
      </x:c>
      <x:c r="F847" t="n">
        <x:v>35.5</x:v>
      </x:c>
      <x:c r="G847" t="n">
        <x:v>0</x:v>
      </x:c>
      <x:c r="H847" t="n">
        <x:v>4.94</x:v>
      </x:c>
      <x:c r="I847" t="n">
        <x:v>1.21</x:v>
      </x:c>
      <x:c r="J847" t="n">
        <x:v>25446.2</x:v>
      </x:c>
      <x:c r="K847" t="n">
        <x:v>209036.88</x:v>
      </x:c>
      <x:c r="L847" t="n">
        <x:v>14643.4</x:v>
      </x:c>
      <x:c r="M847" t="n">
        <x:f>SUM(E847,J847:L847)</x:f>
        <x:v>2455869.89</x:v>
      </x:c>
      <x:c r="N847" t="n">
        <x:v>550</x:v>
      </x:c>
      <x:c r="O847" t="n">
        <x:f>D847*N847</x:f>
        <x:v>3548050</x:v>
      </x:c>
      <x:c r="P847" s="22" t="n">
        <x:f>IF(O847=0,0,(M847-O847)/O847)</x:f>
        <x:v>-0.30782545623652424</x:v>
      </x:c>
      <x:c r="Q847" s="20" t="n">
        <x:v>46119</x:v>
      </x:c>
    </x:row>
    <x:row r="848" ht="20" customHeight="1">
      <x:c r="A848" t="str">
        <x:v>WO00825</x:v>
      </x:c>
      <x:c r="B848" t="str">
        <x:v>LOT00825</x:v>
      </x:c>
      <x:c r="C848" t="str">
        <x:v>PM-SUS-B</x:v>
      </x:c>
      <x:c r="D848" t="n">
        <x:v>788</x:v>
      </x:c>
      <x:c r="E848" t="n">
        <x:v>5764383.25</x:v>
      </x:c>
      <x:c r="F848" t="n">
        <x:v>7.05</x:v>
      </x:c>
      <x:c r="G848" t="n">
        <x:v>0</x:v>
      </x:c>
      <x:c r="H848" t="n">
        <x:v>1.47</x:v>
      </x:c>
      <x:c r="I848" t="n">
        <x:v>1.63</x:v>
      </x:c>
      <x:c r="J848" t="n">
        <x:v>5288.1</x:v>
      </x:c>
      <x:c r="K848" t="n">
        <x:v>520304.01</x:v>
      </x:c>
      <x:c r="L848" t="n">
        <x:v>3403.2</x:v>
      </x:c>
      <x:c r="M848" t="n">
        <x:f>SUM(E848,J848:L848)</x:f>
        <x:v>6293378.56</x:v>
      </x:c>
      <x:c r="N848" t="n">
        <x:v>11100</x:v>
      </x:c>
      <x:c r="O848" t="n">
        <x:f>D848*N848</x:f>
        <x:v>8746800</x:v>
      </x:c>
      <x:c r="P848" s="22" t="n">
        <x:f>IF(O848=0,0,(M848-O848)/O848)</x:f>
        <x:v>-0.28049360223167336</x:v>
      </x:c>
      <x:c r="Q848" s="20" t="n">
        <x:v>46139</x:v>
      </x:c>
    </x:row>
    <x:row r="849" ht="20" customHeight="1">
      <x:c r="A849" t="str">
        <x:v>WO00826</x:v>
      </x:c>
      <x:c r="B849" t="str">
        <x:v>LOT00826</x:v>
      </x:c>
      <x:c r="C849" t="str">
        <x:v>PM-SUS-B</x:v>
      </x:c>
      <x:c r="D849" t="n">
        <x:v>782</x:v>
      </x:c>
      <x:c r="E849" t="n">
        <x:v>5753349.73</x:v>
      </x:c>
      <x:c r="F849" t="n">
        <x:v>6.15</x:v>
      </x:c>
      <x:c r="G849" t="n">
        <x:v>0</x:v>
      </x:c>
      <x:c r="H849" t="n">
        <x:v>1.58</x:v>
      </x:c>
      <x:c r="I849" t="n">
        <x:v>1.67</x:v>
      </x:c>
      <x:c r="J849" t="n">
        <x:v>4755.9</x:v>
      </x:c>
      <x:c r="K849" t="n">
        <x:v>574716.33</x:v>
      </x:c>
      <x:c r="L849" t="n">
        <x:v>3090.8</x:v>
      </x:c>
      <x:c r="M849" t="n">
        <x:f>SUM(E849,J849:L849)</x:f>
        <x:v>6335912.760000001</x:v>
      </x:c>
      <x:c r="N849" t="n">
        <x:v>11100</x:v>
      </x:c>
      <x:c r="O849" t="n">
        <x:f>D849*N849</x:f>
        <x:v>8680200</x:v>
      </x:c>
      <x:c r="P849" s="22" t="n">
        <x:f>IF(O849=0,0,(M849-O849)/O849)</x:f>
        <x:v>-0.2700729522361235</x:v>
      </x:c>
      <x:c r="Q849" s="20" t="n">
        <x:v>46143</x:v>
      </x:c>
    </x:row>
    <x:row r="850" ht="20" customHeight="1">
      <x:c r="A850" t="str">
        <x:v>WO00856</x:v>
      </x:c>
      <x:c r="B850" t="str">
        <x:v>LOT00856</x:v>
      </x:c>
      <x:c r="C850" t="str">
        <x:v>AUTO-BS-A</x:v>
      </x:c>
      <x:c r="D850" t="n">
        <x:v>6380</x:v>
      </x:c>
      <x:c r="E850" t="n">
        <x:v>2063037.31</x:v>
      </x:c>
      <x:c r="F850" t="n">
        <x:v>34.32</x:v>
      </x:c>
      <x:c r="G850" t="n">
        <x:v>0</x:v>
      </x:c>
      <x:c r="H850" t="n">
        <x:v>5.84</x:v>
      </x:c>
      <x:c r="I850" t="n">
        <x:v>1.27</x:v>
      </x:c>
      <x:c r="J850" t="n">
        <x:v>25111.2</x:v>
      </x:c>
      <x:c r="K850" t="n">
        <x:v>213534.96</x:v>
      </x:c>
      <x:c r="L850" t="n">
        <x:v>14357</x:v>
      </x:c>
      <x:c r="M850" t="n">
        <x:f>SUM(E850,J850:L850)</x:f>
        <x:v>2316040.47</x:v>
      </x:c>
      <x:c r="N850" t="n">
        <x:v>550</x:v>
      </x:c>
      <x:c r="O850" t="n">
        <x:f>D850*N850</x:f>
        <x:v>3509000</x:v>
      </x:c>
      <x:c r="P850" s="22" t="n">
        <x:f>IF(O850=0,0,(M850-O850)/O850)</x:f>
        <x:v>-0.33997136791108573</x:v>
      </x:c>
      <x:c r="Q850" s="20" t="n">
        <x:v>46143</x:v>
      </x:c>
    </x:row>
    <x:row r="851" ht="20" customHeight="1">
      <x:c r="A851" t="str">
        <x:v>WO00833</x:v>
      </x:c>
      <x:c r="B851" t="str">
        <x:v>LOT00833</x:v>
      </x:c>
      <x:c r="C851" t="str">
        <x:v>PM-VAC-B</x:v>
      </x:c>
      <x:c r="D851" t="n">
        <x:v>585</x:v>
      </x:c>
      <x:c r="E851" t="n">
        <x:v>5739111.44</x:v>
      </x:c>
      <x:c r="F851" t="n">
        <x:v>5.89</x:v>
      </x:c>
      <x:c r="G851" t="n">
        <x:v>0</x:v>
      </x:c>
      <x:c r="H851" t="n">
        <x:v>1.08</x:v>
      </x:c>
      <x:c r="I851" t="n">
        <x:v>1.46</x:v>
      </x:c>
      <x:c r="J851" t="n">
        <x:v>4346.9</x:v>
      </x:c>
      <x:c r="K851" t="n">
        <x:v>608439.6</x:v>
      </x:c>
      <x:c r="L851" t="n">
        <x:v>2849</x:v>
      </x:c>
      <x:c r="M851" t="n">
        <x:f>SUM(E851,J851:L851)</x:f>
        <x:v>6354746.94</x:v>
      </x:c>
      <x:c r="N851" t="n">
        <x:v>15500</x:v>
      </x:c>
      <x:c r="O851" t="n">
        <x:f>D851*N851</x:f>
        <x:v>9067500</x:v>
      </x:c>
      <x:c r="P851" s="22" t="n">
        <x:f>IF(O851=0,0,(M851-O851)/O851)</x:f>
        <x:v>-0.29917320760959465</x:v>
      </x:c>
      <x:c r="Q851" s="20" t="n">
        <x:v>46160</x:v>
      </x:c>
    </x:row>
    <x:row r="852" ht="20" customHeight="1">
      <x:c r="A852" t="str">
        <x:v>WO00832</x:v>
      </x:c>
      <x:c r="B852" t="str">
        <x:v>LOT00832</x:v>
      </x:c>
      <x:c r="C852" t="str">
        <x:v>PM-VAC-B</x:v>
      </x:c>
      <x:c r="D852" t="n">
        <x:v>585</x:v>
      </x:c>
      <x:c r="E852" t="n">
        <x:v>5449767.09</x:v>
      </x:c>
      <x:c r="F852" t="n">
        <x:v>4.96</x:v>
      </x:c>
      <x:c r="G852" t="n">
        <x:v>0</x:v>
      </x:c>
      <x:c r="H852" t="n">
        <x:v>1.21</x:v>
      </x:c>
      <x:c r="I852" t="n">
        <x:v>1.63</x:v>
      </x:c>
      <x:c r="J852" t="n">
        <x:v>3804.8</x:v>
      </x:c>
      <x:c r="K852" t="n">
        <x:v>711468.27</x:v>
      </x:c>
      <x:c r="L852" t="n">
        <x:v>2567.4</x:v>
      </x:c>
      <x:c r="M852" t="n">
        <x:f>SUM(E852,J852:L852)</x:f>
        <x:v>6167607.56</x:v>
      </x:c>
      <x:c r="N852" t="n">
        <x:v>15500</x:v>
      </x:c>
      <x:c r="O852" t="n">
        <x:f>D852*N852</x:f>
        <x:v>9067500</x:v>
      </x:c>
      <x:c r="P852" s="22" t="n">
        <x:f>IF(O852=0,0,(M852-O852)/O852)</x:f>
        <x:v>-0.31981168348497385</x:v>
      </x:c>
      <x:c r="Q852" s="20" t="n">
        <x:v>46158</x:v>
      </x:c>
    </x:row>
    <x:row r="853" ht="20" customHeight="1">
      <x:c r="A853" t="str">
        <x:v>WO00855</x:v>
      </x:c>
      <x:c r="B853" t="str">
        <x:v>LOT00855</x:v>
      </x:c>
      <x:c r="C853" t="str">
        <x:v>AUTO-BS-A</x:v>
      </x:c>
      <x:c r="D853" t="n">
        <x:v>6401</x:v>
      </x:c>
      <x:c r="E853" t="n">
        <x:v>2148403.59</x:v>
      </x:c>
      <x:c r="F853" t="n">
        <x:v>29.37</x:v>
      </x:c>
      <x:c r="G853" t="n">
        <x:v>0</x:v>
      </x:c>
      <x:c r="H853" t="n">
        <x:v>4.62</x:v>
      </x:c>
      <x:c r="I853" t="n">
        <x:v>1</x:v>
      </x:c>
      <x:c r="J853" t="n">
        <x:v>21308.1</x:v>
      </x:c>
      <x:c r="K853" t="n">
        <x:v>193462.28</x:v>
      </x:c>
      <x:c r="L853" t="n">
        <x:v>12199.8</x:v>
      </x:c>
      <x:c r="M853" t="n">
        <x:f>SUM(E853,J853:L853)</x:f>
        <x:v>2375373.77</x:v>
      </x:c>
      <x:c r="N853" t="n">
        <x:v>550</x:v>
      </x:c>
      <x:c r="O853" t="n">
        <x:f>D853*N853</x:f>
        <x:v>3520550</x:v>
      </x:c>
      <x:c r="P853" s="22" t="n">
        <x:f>IF(O853=0,0,(M853-O853)/O853)</x:f>
        <x:v>-0.3252833307295735</x:v>
      </x:c>
      <x:c r="Q853" s="20" t="n">
        <x:v>46134</x:v>
      </x:c>
    </x:row>
    <x:row r="854" ht="20" customHeight="1">
      <x:c r="A854" t="str">
        <x:v>WO00863</x:v>
      </x:c>
      <x:c r="B854" t="str">
        <x:v>LOT00863</x:v>
      </x:c>
      <x:c r="C854" t="str">
        <x:v>AUTO-FL-A</x:v>
      </x:c>
      <x:c r="D854" t="n">
        <x:v>2953</x:v>
      </x:c>
      <x:c r="E854" t="n">
        <x:v>1885418.18</x:v>
      </x:c>
      <x:c r="F854" t="n">
        <x:v>14.97</x:v>
      </x:c>
      <x:c r="G854" t="n">
        <x:v>0</x:v>
      </x:c>
      <x:c r="H854" t="n">
        <x:v>2.42</x:v>
      </x:c>
      <x:c r="I854" t="n">
        <x:v>1.14</x:v>
      </x:c>
      <x:c r="J854" t="n">
        <x:v>10892.1</x:v>
      </x:c>
      <x:c r="K854" t="n">
        <x:v>140050.68</x:v>
      </x:c>
      <x:c r="L854" t="n">
        <x:v>6417.8</x:v>
      </x:c>
      <x:c r="M854" t="n">
        <x:f>SUM(E854,J854:L854)</x:f>
        <x:v>2042778.76</x:v>
      </x:c>
      <x:c r="N854" t="n">
        <x:v>970</x:v>
      </x:c>
      <x:c r="O854" t="n">
        <x:f>D854*N854</x:f>
        <x:v>2864410</x:v>
      </x:c>
      <x:c r="P854" s="22" t="n">
        <x:f>IF(O854=0,0,(M854-O854)/O854)</x:f>
        <x:v>-0.2868413530185972</x:v>
      </x:c>
      <x:c r="Q854" s="20" t="n">
        <x:v>46142</x:v>
      </x:c>
    </x:row>
    <x:row r="855" ht="20" customHeight="1">
      <x:c r="A855" t="str">
        <x:v>WO00867</x:v>
      </x:c>
      <x:c r="B855" t="str">
        <x:v>LOT00867</x:v>
      </x:c>
      <x:c r="C855" t="str">
        <x:v>PM-VAC-B</x:v>
      </x:c>
      <x:c r="D855" t="n">
        <x:v>293</x:v>
      </x:c>
      <x:c r="E855" t="n">
        <x:v>2840238.84</x:v>
      </x:c>
      <x:c r="F855" t="n">
        <x:v>2.63</x:v>
      </x:c>
      <x:c r="G855" t="n">
        <x:v>0</x:v>
      </x:c>
      <x:c r="H855" t="n">
        <x:v>0.54</x:v>
      </x:c>
      <x:c r="I855" t="n">
        <x:v>1.7</x:v>
      </x:c>
      <x:c r="J855" t="n">
        <x:v>1968.7</x:v>
      </x:c>
      <x:c r="K855" t="n">
        <x:v>334375.13</x:v>
      </x:c>
      <x:c r="L855" t="n">
        <x:v>1595.8</x:v>
      </x:c>
      <x:c r="M855" t="n">
        <x:f>SUM(E855,J855:L855)</x:f>
        <x:v>3178178.4699999997</x:v>
      </x:c>
      <x:c r="N855" t="n">
        <x:v>15500</x:v>
      </x:c>
      <x:c r="O855" t="n">
        <x:f>D855*N855</x:f>
        <x:v>4541500</x:v>
      </x:c>
      <x:c r="P855" s="22" t="n">
        <x:f>IF(O855=0,0,(M855-O855)/O855)</x:f>
        <x:v>-0.3001919035560939</x:v>
      </x:c>
      <x:c r="Q855" s="20" t="n">
        <x:v>46161</x:v>
      </x:c>
    </x:row>
    <x:row r="856" ht="20" customHeight="1">
      <x:c r="A856" t="str">
        <x:v>WO00852</x:v>
      </x:c>
      <x:c r="B856" t="str">
        <x:v>LOT00852</x:v>
      </x:c>
      <x:c r="C856" t="str">
        <x:v>MECH-CON-B</x:v>
      </x:c>
      <x:c r="D856" t="n">
        <x:v>17</x:v>
      </x:c>
      <x:c r="E856" t="n">
        <x:v>1361090.25</x:v>
      </x:c>
      <x:c r="F856" t="n">
        <x:v>1166.85</x:v>
      </x:c>
      <x:c r="G856" t="n">
        <x:v>4352.24</x:v>
      </x:c>
      <x:c r="H856" t="n">
        <x:v>3175.63</x:v>
      </x:c>
      <x:c r="I856" t="n">
        <x:v>3.14</x:v>
      </x:c>
      <x:c r="J856" t="n">
        <x:v>4545919.7</x:v>
      </x:c>
      <x:c r="K856" t="n">
        <x:v>116895.6</x:v>
      </x:c>
      <x:c r="L856" t="n">
        <x:v>1822893.8</x:v>
      </x:c>
      <x:c r="M856" t="n">
        <x:f>SUM(E856,J856:L856)</x:f>
        <x:v>7846799.35</x:v>
      </x:c>
      <x:c r="N856" t="n">
        <x:v>119000</x:v>
      </x:c>
      <x:c r="O856" t="n">
        <x:f>D856*N856</x:f>
        <x:v>2023000</x:v>
      </x:c>
      <x:c r="P856" s="22" t="n">
        <x:f>IF(O856=0,0,(M856-O856)/O856)</x:f>
        <x:v>2.8787935491843792</x:v>
      </x:c>
      <x:c r="Q856" s="20" t="n">
        <x:v>46171</x:v>
      </x:c>
    </x:row>
    <x:row r="857" ht="20" customHeight="1">
      <x:c r="A857" t="str">
        <x:v>WO00853</x:v>
      </x:c>
      <x:c r="B857" t="str">
        <x:v>LOT00853</x:v>
      </x:c>
      <x:c r="C857" t="str">
        <x:v>MECH-CON-B</x:v>
      </x:c>
      <x:c r="D857" t="n">
        <x:v>16</x:v>
      </x:c>
      <x:c r="E857" t="n">
        <x:v>1283628.63</x:v>
      </x:c>
      <x:c r="F857" t="n">
        <x:v>1154.57</x:v>
      </x:c>
      <x:c r="G857" t="n">
        <x:v>4483.31</x:v>
      </x:c>
      <x:c r="H857" t="n">
        <x:v>2460.16</x:v>
      </x:c>
      <x:c r="I857" t="n">
        <x:v>3.17</x:v>
      </x:c>
      <x:c r="J857" t="n">
        <x:v>4262668.5</x:v>
      </x:c>
      <x:c r="K857" t="n">
        <x:v>122990.04</x:v>
      </x:c>
      <x:c r="L857" t="n">
        <x:v>1729975.2</x:v>
      </x:c>
      <x:c r="M857" t="n">
        <x:f>SUM(E857,J857:L857)</x:f>
        <x:v>7399262.37</x:v>
      </x:c>
      <x:c r="N857" t="n">
        <x:v>119000</x:v>
      </x:c>
      <x:c r="O857" t="n">
        <x:f>D857*N857</x:f>
        <x:v>1904000</x:v>
      </x:c>
      <x:c r="P857" s="22" t="n">
        <x:f>IF(O857=0,0,(M857-O857)/O857)</x:f>
        <x:v>2.886167211134454</x:v>
      </x:c>
      <x:c r="Q857" s="20" t="n">
        <x:v>46172</x:v>
      </x:c>
    </x:row>
    <x:row r="858" ht="20" customHeight="1">
      <x:c r="A858" t="str">
        <x:v>WO00857</x:v>
      </x:c>
      <x:c r="B858" t="str">
        <x:v>LOT00857</x:v>
      </x:c>
      <x:c r="C858" t="str">
        <x:v>AUTO-KN-A</x:v>
      </x:c>
      <x:c r="D858" t="n">
        <x:v>6974</x:v>
      </x:c>
      <x:c r="E858" t="n">
        <x:v>10051771.82</x:v>
      </x:c>
      <x:c r="F858" t="n">
        <x:v>39.41</x:v>
      </x:c>
      <x:c r="G858" t="n">
        <x:v>0</x:v>
      </x:c>
      <x:c r="H858" t="n">
        <x:v>5.08</x:v>
      </x:c>
      <x:c r="I858" t="n">
        <x:v>1.2</x:v>
      </x:c>
      <x:c r="J858" t="n">
        <x:v>28054.9</x:v>
      </x:c>
      <x:c r="K858" t="n">
        <x:v>927380.84</x:v>
      </x:c>
      <x:c r="L858" t="n">
        <x:v>16148.6</x:v>
      </x:c>
      <x:c r="M858" t="n">
        <x:f>SUM(E858,J858:L858)</x:f>
        <x:v>11023356.16</x:v>
      </x:c>
      <x:c r="N858" t="n">
        <x:v>2210</x:v>
      </x:c>
      <x:c r="O858" t="n">
        <x:f>D858*N858</x:f>
        <x:v>15412540</x:v>
      </x:c>
      <x:c r="P858" s="22" t="n">
        <x:f>IF(O858=0,0,(M858-O858)/O858)</x:f>
        <x:v>-0.2847800453397039</x:v>
      </x:c>
      <x:c r="Q858" s="20" t="n">
        <x:v>46152</x:v>
      </x:c>
    </x:row>
    <x:row r="859" ht="20" customHeight="1">
      <x:c r="A859" t="str">
        <x:v>WO00870</x:v>
      </x:c>
      <x:c r="B859" t="str">
        <x:v>LOT00870</x:v>
      </x:c>
      <x:c r="C859" t="str">
        <x:v>PM-ALB-A</x:v>
      </x:c>
      <x:c r="D859" t="n">
        <x:v>587</x:v>
      </x:c>
      <x:c r="E859" t="n">
        <x:v>3226144.56</x:v>
      </x:c>
      <x:c r="F859" t="n">
        <x:v>5.17</x:v>
      </x:c>
      <x:c r="G859" t="n">
        <x:v>0</x:v>
      </x:c>
      <x:c r="H859" t="n">
        <x:v>1.08</x:v>
      </x:c>
      <x:c r="I859" t="n">
        <x:v>1.76</x:v>
      </x:c>
      <x:c r="J859" t="n">
        <x:v>3878.9</x:v>
      </x:c>
      <x:c r="K859" t="n">
        <x:v>170345.22</x:v>
      </x:c>
      <x:c r="L859" t="n">
        <x:v>2665.4</x:v>
      </x:c>
      <x:c r="M859" t="n">
        <x:f>SUM(E859,J859:L859)</x:f>
        <x:v>3403034.08</x:v>
      </x:c>
      <x:c r="N859" t="n">
        <x:v>8100</x:v>
      </x:c>
      <x:c r="O859" t="n">
        <x:f>D859*N859</x:f>
        <x:v>4754700</x:v>
      </x:c>
      <x:c r="P859" s="22" t="n">
        <x:f>IF(O859=0,0,(M859-O859)/O859)</x:f>
        <x:v>-0.2842799587776305</x:v>
      </x:c>
      <x:c r="Q859" s="20" t="n">
        <x:v>46154</x:v>
      </x:c>
    </x:row>
    <x:row r="860" ht="20" customHeight="1">
      <x:c r="A860" t="str">
        <x:v>WO00871</x:v>
      </x:c>
      <x:c r="B860" t="str">
        <x:v>LOT00871</x:v>
      </x:c>
      <x:c r="C860" t="str">
        <x:v>PM-ALB-A</x:v>
      </x:c>
      <x:c r="D860" t="n">
        <x:v>588</x:v>
      </x:c>
      <x:c r="E860" t="n">
        <x:v>3146921.86</x:v>
      </x:c>
      <x:c r="F860" t="n">
        <x:v>5.19</x:v>
      </x:c>
      <x:c r="G860" t="n">
        <x:v>0</x:v>
      </x:c>
      <x:c r="H860" t="n">
        <x:v>1.17</x:v>
      </x:c>
      <x:c r="I860" t="n">
        <x:v>1.54</x:v>
      </x:c>
      <x:c r="J860" t="n">
        <x:v>3935.1</x:v>
      </x:c>
      <x:c r="K860" t="n">
        <x:v>201489.56</x:v>
      </x:c>
      <x:c r="L860" t="n">
        <x:v>2621.4</x:v>
      </x:c>
      <x:c r="M860" t="n">
        <x:f>SUM(E860,J860:L860)</x:f>
        <x:v>3354967.92</x:v>
      </x:c>
      <x:c r="N860" t="n">
        <x:v>8100</x:v>
      </x:c>
      <x:c r="O860" t="n">
        <x:f>D860*N860</x:f>
        <x:v>4762800</x:v>
      </x:c>
      <x:c r="P860" s="22" t="n">
        <x:f>IF(O860=0,0,(M860-O860)/O860)</x:f>
        <x:v>-0.2955891660367851</x:v>
      </x:c>
      <x:c r="Q860" s="20" t="n">
        <x:v>46155</x:v>
      </x:c>
    </x:row>
    <x:row r="861" ht="20" customHeight="1">
      <x:c r="A861" t="str">
        <x:v>WO00851</x:v>
      </x:c>
      <x:c r="B861" t="str">
        <x:v>LOT00851</x:v>
      </x:c>
      <x:c r="C861" t="str">
        <x:v>MECH-CON-B</x:v>
      </x:c>
      <x:c r="D861" t="n">
        <x:v>17</x:v>
      </x:c>
      <x:c r="E861" t="n">
        <x:v>1322695.95</x:v>
      </x:c>
      <x:c r="F861" t="n">
        <x:v>1324.12</x:v>
      </x:c>
      <x:c r="G861" t="n">
        <x:v>3669.73</x:v>
      </x:c>
      <x:c r="H861" t="n">
        <x:v>2782.98</x:v>
      </x:c>
      <x:c r="I861" t="n">
        <x:v>3.27</x:v>
      </x:c>
      <x:c r="J861" t="n">
        <x:v>4104768</x:v>
      </x:c>
      <x:c r="K861" t="n">
        <x:v>124023.6</x:v>
      </x:c>
      <x:c r="L861" t="n">
        <x:v>1683369.4</x:v>
      </x:c>
      <x:c r="M861" t="n">
        <x:f>SUM(E861,J861:L861)</x:f>
        <x:v>7234856.95</x:v>
      </x:c>
      <x:c r="N861" t="n">
        <x:v>119000</x:v>
      </x:c>
      <x:c r="O861" t="n">
        <x:f>D861*N861</x:f>
        <x:v>2023000</x:v>
      </x:c>
      <x:c r="P861" s="22" t="n">
        <x:f>IF(O861=0,0,(M861-O861)/O861)</x:f>
        <x:v>2.576301013346515</x:v>
      </x:c>
      <x:c r="Q861" s="20" t="n">
        <x:v>46173</x:v>
      </x:c>
    </x:row>
    <x:row r="862" ht="20" customHeight="1">
      <x:c r="A862" t="str">
        <x:v>WO00865</x:v>
      </x:c>
      <x:c r="B862" t="str">
        <x:v>LOT00865</x:v>
      </x:c>
      <x:c r="C862" t="str">
        <x:v>MECH-STG-A</x:v>
      </x:c>
      <x:c r="D862" t="n">
        <x:v>10</x:v>
      </x:c>
      <x:c r="E862" t="n">
        <x:v>663834.23</x:v>
      </x:c>
      <x:c r="F862" t="n">
        <x:v>794.46</x:v>
      </x:c>
      <x:c r="G862" t="n">
        <x:v>2377.44</x:v>
      </x:c>
      <x:c r="H862" t="n">
        <x:v>1536.13</x:v>
      </x:c>
      <x:c r="I862" t="n">
        <x:v>2.88</x:v>
      </x:c>
      <x:c r="J862" t="n">
        <x:v>2490010.2</x:v>
      </x:c>
      <x:c r="K862" t="n">
        <x:v>66840.7</x:v>
      </x:c>
      <x:c r="L862" t="n">
        <x:v>1024027.6</x:v>
      </x:c>
      <x:c r="M862" t="n">
        <x:f>SUM(E862,J862:L862)</x:f>
        <x:v>4244712.73</x:v>
      </x:c>
      <x:c r="N862" t="n">
        <x:v>104000</x:v>
      </x:c>
      <x:c r="O862" t="n">
        <x:f>D862*N862</x:f>
        <x:v>1040000</x:v>
      </x:c>
      <x:c r="P862" s="22" t="n">
        <x:f>IF(O862=0,0,(M862-O862)/O862)</x:f>
        <x:v>3.0814545480769233</x:v>
      </x:c>
      <x:c r="Q862" s="20" t="n">
        <x:v>46170</x:v>
      </x:c>
    </x:row>
    <x:row r="863" ht="20" customHeight="1">
      <x:c r="A863" t="str">
        <x:v>WO00862</x:v>
      </x:c>
      <x:c r="B863" t="str">
        <x:v>LOT00862</x:v>
      </x:c>
      <x:c r="C863" t="str">
        <x:v>PM-BRG-B</x:v>
      </x:c>
      <x:c r="D863" t="n">
        <x:v>792</x:v>
      </x:c>
      <x:c r="E863" t="n">
        <x:v>2411315.87</x:v>
      </x:c>
      <x:c r="F863" t="n">
        <x:v>6.54</x:v>
      </x:c>
      <x:c r="G863" t="n">
        <x:v>0</x:v>
      </x:c>
      <x:c r="H863" t="n">
        <x:v>1.56</x:v>
      </x:c>
      <x:c r="I863" t="n">
        <x:v>1.68</x:v>
      </x:c>
      <x:c r="J863" t="n">
        <x:v>4999.8</x:v>
      </x:c>
      <x:c r="K863" t="n">
        <x:v>205767.68</x:v>
      </x:c>
      <x:c r="L863" t="n">
        <x:v>3238.8</x:v>
      </x:c>
      <x:c r="M863" t="n">
        <x:f>SUM(E863,J863:L863)</x:f>
        <x:v>2625322.15</x:v>
      </x:c>
      <x:c r="N863" t="n">
        <x:v>5400</x:v>
      </x:c>
      <x:c r="O863" t="n">
        <x:f>D863*N863</x:f>
        <x:v>4276800</x:v>
      </x:c>
      <x:c r="P863" s="22" t="n">
        <x:f>IF(O863=0,0,(M863-O863)/O863)</x:f>
        <x:v>-0.38614801954732514</x:v>
      </x:c>
      <x:c r="Q863" s="20" t="n">
        <x:v>46163</x:v>
      </x:c>
    </x:row>
    <x:row r="864" ht="20" customHeight="1">
      <x:c r="A864" t="str">
        <x:v>WO00861</x:v>
      </x:c>
      <x:c r="B864" t="str">
        <x:v>LOT00861</x:v>
      </x:c>
      <x:c r="C864" t="str">
        <x:v>PM-BRG-B</x:v>
      </x:c>
      <x:c r="D864" t="n">
        <x:v>786</x:v>
      </x:c>
      <x:c r="E864" t="n">
        <x:v>2434542.1</x:v>
      </x:c>
      <x:c r="F864" t="n">
        <x:v>7.22</x:v>
      </x:c>
      <x:c r="G864" t="n">
        <x:v>0</x:v>
      </x:c>
      <x:c r="H864" t="n">
        <x:v>1.45</x:v>
      </x:c>
      <x:c r="I864" t="n">
        <x:v>1.92</x:v>
      </x:c>
      <x:c r="J864" t="n">
        <x:v>5389</x:v>
      </x:c>
      <x:c r="K864" t="n">
        <x:v>205216.26</x:v>
      </x:c>
      <x:c r="L864" t="n">
        <x:v>3551.6</x:v>
      </x:c>
      <x:c r="M864" t="n">
        <x:f>SUM(E864,J864:L864)</x:f>
        <x:v>2648698.96</x:v>
      </x:c>
      <x:c r="N864" t="n">
        <x:v>5400</x:v>
      </x:c>
      <x:c r="O864" t="n">
        <x:f>D864*N864</x:f>
        <x:v>4244400</x:v>
      </x:c>
      <x:c r="P864" s="22" t="n">
        <x:f>IF(O864=0,0,(M864-O864)/O864)</x:f>
        <x:v>-0.3759544435020262</x:v>
      </x:c>
      <x:c r="Q864" s="20" t="n">
        <x:v>46160</x:v>
      </x:c>
    </x:row>
    <x:row r="865" ht="20" customHeight="1">
      <x:c r="A865" t="str">
        <x:v>WO00864</x:v>
      </x:c>
      <x:c r="B865" t="str">
        <x:v>LOT00864</x:v>
      </x:c>
      <x:c r="C865" t="str">
        <x:v>PM-ALB-A</x:v>
      </x:c>
      <x:c r="D865" t="n">
        <x:v>495</x:v>
      </x:c>
      <x:c r="E865" t="n">
        <x:v>2692152.38</x:v>
      </x:c>
      <x:c r="F865" t="n">
        <x:v>4.45</x:v>
      </x:c>
      <x:c r="G865" t="n">
        <x:v>0</x:v>
      </x:c>
      <x:c r="H865" t="n">
        <x:v>0.88</x:v>
      </x:c>
      <x:c r="I865" t="n">
        <x:v>1.45</x:v>
      </x:c>
      <x:c r="J865" t="n">
        <x:v>3314.9</x:v>
      </x:c>
      <x:c r="K865" t="n">
        <x:v>155559.8</x:v>
      </x:c>
      <x:c r="L865" t="n">
        <x:v>2266.8</x:v>
      </x:c>
      <x:c r="M865" t="n">
        <x:f>SUM(E865,J865:L865)</x:f>
        <x:v>2853293.88</x:v>
      </x:c>
      <x:c r="N865" t="n">
        <x:v>8100</x:v>
      </x:c>
      <x:c r="O865" t="n">
        <x:f>D865*N865</x:f>
        <x:v>4009500</x:v>
      </x:c>
      <x:c r="P865" s="22" t="n">
        <x:f>IF(O865=0,0,(M865-O865)/O865)</x:f>
        <x:v>-0.288366659184437</x:v>
      </x:c>
      <x:c r="Q865" s="20" t="n">
        <x:v>46162</x:v>
      </x:c>
    </x:row>
    <x:row r="866" ht="20" customHeight="1">
      <x:c r="A866" t="str">
        <x:v>WO00869</x:v>
      </x:c>
      <x:c r="B866" t="str">
        <x:v>LOT00869</x:v>
      </x:c>
      <x:c r="C866" t="str">
        <x:v>SEMI-WH-A</x:v>
      </x:c>
      <x:c r="D866" t="n">
        <x:v>59</x:v>
      </x:c>
      <x:c r="E866" t="n">
        <x:v>3040849.54</x:v>
      </x:c>
      <x:c r="F866" t="n">
        <x:v>1.41</x:v>
      </x:c>
      <x:c r="G866" t="n">
        <x:v>0</x:v>
      </x:c>
      <x:c r="H866" t="n">
        <x:v>0.55</x:v>
      </x:c>
      <x:c r="I866" t="n">
        <x:v>2.7</x:v>
      </x:c>
      <x:c r="J866" t="n">
        <x:v>1180.5</x:v>
      </x:c>
      <x:c r="K866" t="n">
        <x:v>468942.98</x:v>
      </x:c>
      <x:c r="L866" t="n">
        <x:v>1433.8</x:v>
      </x:c>
      <x:c r="M866" t="n">
        <x:f>SUM(E866,J866:L866)</x:f>
        <x:v>3512406.82</x:v>
      </x:c>
      <x:c r="N866" t="n">
        <x:v>88000</x:v>
      </x:c>
      <x:c r="O866" t="n">
        <x:f>D866*N866</x:f>
        <x:v>5192000</x:v>
      </x:c>
      <x:c r="P866" s="22" t="n">
        <x:f>IF(O866=0,0,(M866-O866)/O866)</x:f>
        <x:v>-0.32349637519260405</x:v>
      </x:c>
      <x:c r="Q866" s="20" t="n">
        <x:v>46193</x:v>
      </x:c>
    </x:row>
    <x:row r="867" ht="20" customHeight="1">
      <x:c r="A867" t="str">
        <x:v>WO00868</x:v>
      </x:c>
      <x:c r="B867" t="str">
        <x:v>LOT00868</x:v>
      </x:c>
      <x:c r="C867" t="str">
        <x:v>SEMI-WH-A</x:v>
      </x:c>
      <x:c r="D867" t="n">
        <x:v>59</x:v>
      </x:c>
      <x:c r="E867" t="n">
        <x:v>3139149.55</x:v>
      </x:c>
      <x:c r="F867" t="n">
        <x:v>1.51</x:v>
      </x:c>
      <x:c r="G867" t="n">
        <x:v>0</x:v>
      </x:c>
      <x:c r="H867" t="n">
        <x:v>0.59</x:v>
      </x:c>
      <x:c r="I867" t="n">
        <x:v>2.94</x:v>
      </x:c>
      <x:c r="J867" t="n">
        <x:v>1264.7</x:v>
      </x:c>
      <x:c r="K867" t="n">
        <x:v>388640.62</x:v>
      </x:c>
      <x:c r="L867" t="n">
        <x:v>1550.2</x:v>
      </x:c>
      <x:c r="M867" t="n">
        <x:f>SUM(E867,J867:L867)</x:f>
        <x:v>3530605.07</x:v>
      </x:c>
      <x:c r="N867" t="n">
        <x:v>88000</x:v>
      </x:c>
      <x:c r="O867" t="n">
        <x:f>D867*N867</x:f>
        <x:v>5192000</x:v>
      </x:c>
      <x:c r="P867" s="22" t="n">
        <x:f>IF(O867=0,0,(M867-O867)/O867)</x:f>
        <x:v>-0.31999131933744224</x:v>
      </x:c>
      <x:c r="Q867" s="20" t="n">
        <x:v>46191</x:v>
      </x:c>
    </x:row>
    <x:row r="868" ht="20" customHeight="1">
      <x:c r="A868" t="str">
        <x:v>WO00854</x:v>
      </x:c>
      <x:c r="B868" t="str">
        <x:v>LOT00854</x:v>
      </x:c>
      <x:c r="C868" t="str">
        <x:v>PM-BRG-B</x:v>
      </x:c>
      <x:c r="D868" t="n">
        <x:v>494</x:v>
      </x:c>
      <x:c r="E868" t="n">
        <x:v>1504821.45</x:v>
      </x:c>
      <x:c r="F868" t="n">
        <x:v>3.96</x:v>
      </x:c>
      <x:c r="G868" t="n">
        <x:v>0</x:v>
      </x:c>
      <x:c r="H868" t="n">
        <x:v>0.91</x:v>
      </x:c>
      <x:c r="I868" t="n">
        <x:v>1.87</x:v>
      </x:c>
      <x:c r="J868" t="n">
        <x:v>3010.8</x:v>
      </x:c>
      <x:c r="K868" t="n">
        <x:v>133952.02</x:v>
      </x:c>
      <x:c r="L868" t="n">
        <x:v>2211.4</x:v>
      </x:c>
      <x:c r="M868" t="n">
        <x:f>SUM(E868,J868:L868)</x:f>
        <x:v>1643995.67</x:v>
      </x:c>
      <x:c r="N868" t="n">
        <x:v>5400</x:v>
      </x:c>
      <x:c r="O868" t="n">
        <x:f>D868*N868</x:f>
        <x:v>2667600</x:v>
      </x:c>
      <x:c r="P868" s="22" t="n">
        <x:f>IF(O868=0,0,(M868-O868)/O868)</x:f>
        <x:v>-0.38371732268705955</x:v>
      </x:c>
      <x:c r="Q868" s="20" t="n">
        <x:v>46169</x:v>
      </x:c>
    </x:row>
    <x:row r="869" ht="20" customHeight="1">
      <x:c r="A869" t="str">
        <x:v>WO00860</x:v>
      </x:c>
      <x:c r="B869" t="str">
        <x:v>LOT00860</x:v>
      </x:c>
      <x:c r="C869" t="str">
        <x:v>AUTO-BS-B</x:v>
      </x:c>
      <x:c r="D869" t="n">
        <x:v>6891</x:v>
      </x:c>
      <x:c r="E869" t="n">
        <x:v>2809195.14</x:v>
      </x:c>
      <x:c r="F869" t="n">
        <x:v>36.15</x:v>
      </x:c>
      <x:c r="G869" t="n">
        <x:v>0</x:v>
      </x:c>
      <x:c r="H869" t="n">
        <x:v>6.48</x:v>
      </x:c>
      <x:c r="I869" t="n">
        <x:v>1.19</x:v>
      </x:c>
      <x:c r="J869" t="n">
        <x:v>26607.9</x:v>
      </x:c>
      <x:c r="K869" t="n">
        <x:v>266895.27</x:v>
      </x:c>
      <x:c r="L869" t="n">
        <x:v>15130.8</x:v>
      </x:c>
      <x:c r="M869" t="n">
        <x:f>SUM(E869,J869:L869)</x:f>
        <x:v>3117829.1100000003</x:v>
      </x:c>
      <x:c r="N869" t="n">
        <x:v>650</x:v>
      </x:c>
      <x:c r="O869" t="n">
        <x:f>D869*N869</x:f>
        <x:v>4479150</x:v>
      </x:c>
      <x:c r="P869" s="22" t="n">
        <x:f>IF(O869=0,0,(M869-O869)/O869)</x:f>
        <x:v>-0.30392393422859243</x:v>
      </x:c>
      <x:c r="Q869" s="20" t="n">
        <x:v>46163</x:v>
      </x:c>
    </x:row>
    <x:row r="870" ht="20" customHeight="1">
      <x:c r="A870" t="str">
        <x:v>WO00876</x:v>
      </x:c>
      <x:c r="B870" t="str">
        <x:v>LOT00876</x:v>
      </x:c>
      <x:c r="C870" t="str">
        <x:v>AUTO-BRK-A</x:v>
      </x:c>
      <x:c r="D870" t="n">
        <x:v>2938</x:v>
      </x:c>
      <x:c r="E870" t="n">
        <x:v>2680190.57</x:v>
      </x:c>
      <x:c r="F870" t="n">
        <x:v>14.66</x:v>
      </x:c>
      <x:c r="G870" t="n">
        <x:v>0</x:v>
      </x:c>
      <x:c r="H870" t="n">
        <x:v>2.2</x:v>
      </x:c>
      <x:c r="I870" t="n">
        <x:v>1.16</x:v>
      </x:c>
      <x:c r="J870" t="n">
        <x:v>10585</x:v>
      </x:c>
      <x:c r="K870" t="n">
        <x:v>227098.17</x:v>
      </x:c>
      <x:c r="L870" t="n">
        <x:v>6270.8</x:v>
      </x:c>
      <x:c r="M870" t="n">
        <x:f>SUM(E870,J870:L870)</x:f>
        <x:v>2924144.54</x:v>
      </x:c>
      <x:c r="N870" t="n">
        <x:v>1380</x:v>
      </x:c>
      <x:c r="O870" t="n">
        <x:f>D870*N870</x:f>
        <x:v>4054440</x:v>
      </x:c>
      <x:c r="P870" s="22" t="n">
        <x:f>IF(O870=0,0,(M870-O870)/O870)</x:f>
        <x:v>-0.27877967364173595</x:v>
      </x:c>
      <x:c r="Q870" s="20" t="n">
        <x:v>46160</x:v>
      </x:c>
    </x:row>
    <x:row r="871" ht="20" customHeight="1">
      <x:c r="A871" t="str">
        <x:v>WO00859</x:v>
      </x:c>
      <x:c r="B871" t="str">
        <x:v>LOT00859</x:v>
      </x:c>
      <x:c r="C871" t="str">
        <x:v>MECH-CON-A</x:v>
      </x:c>
      <x:c r="D871" t="n">
        <x:v>20</x:v>
      </x:c>
      <x:c r="E871" t="n">
        <x:v>1044578.63</x:v>
      </x:c>
      <x:c r="F871" t="n">
        <x:v>1609.05</x:v>
      </x:c>
      <x:c r="G871" t="n">
        <x:v>4504.07</x:v>
      </x:c>
      <x:c r="H871" t="n">
        <x:v>3297.95</x:v>
      </x:c>
      <x:c r="I871" t="n">
        <x:v>3.22</x:v>
      </x:c>
      <x:c r="J871" t="n">
        <x:v>4971014.9</x:v>
      </x:c>
      <x:c r="K871" t="n">
        <x:v>94590.95</x:v>
      </x:c>
      <x:c r="L871" t="n">
        <x:v>2040891</x:v>
      </x:c>
      <x:c r="M871" t="n">
        <x:f>SUM(E871,J871:L871)</x:f>
        <x:v>8151075.48</x:v>
      </x:c>
      <x:c r="N871" t="n">
        <x:v>83000</x:v>
      </x:c>
      <x:c r="O871" t="n">
        <x:f>D871*N871</x:f>
        <x:v>1660000</x:v>
      </x:c>
      <x:c r="P871" s="22" t="n">
        <x:f>IF(O871=0,0,(M871-O871)/O871)</x:f>
        <x:v>3.91028643373494</x:v>
      </x:c>
      <x:c r="Q871" s="20" t="n">
        <x:v>46189</x:v>
      </x:c>
    </x:row>
    <x:row r="872" ht="20" customHeight="1">
      <x:c r="A872" t="str">
        <x:v>WO00858</x:v>
      </x:c>
      <x:c r="B872" t="str">
        <x:v>LOT00858</x:v>
      </x:c>
      <x:c r="C872" t="str">
        <x:v>MECH-CON-A</x:v>
      </x:c>
      <x:c r="D872" t="n">
        <x:v>19</x:v>
      </x:c>
      <x:c r="E872" t="n">
        <x:v>1079057.46</x:v>
      </x:c>
      <x:c r="F872" t="n">
        <x:v>1665.11</x:v>
      </x:c>
      <x:c r="G872" t="n">
        <x:v>4922.29</x:v>
      </x:c>
      <x:c r="H872" t="n">
        <x:v>3717.63</x:v>
      </x:c>
      <x:c r="I872" t="n">
        <x:v>2.82</x:v>
      </x:c>
      <x:c r="J872" t="n">
        <x:v>5426374.7</x:v>
      </x:c>
      <x:c r="K872" t="n">
        <x:v>97300.57</x:v>
      </x:c>
      <x:c r="L872" t="n">
        <x:v>2212866.6</x:v>
      </x:c>
      <x:c r="M872" t="n">
        <x:f>SUM(E872,J872:L872)</x:f>
        <x:v>8815599.330000002</x:v>
      </x:c>
      <x:c r="N872" t="n">
        <x:v>83000</x:v>
      </x:c>
      <x:c r="O872" t="n">
        <x:f>D872*N872</x:f>
        <x:v>1577000</x:v>
      </x:c>
      <x:c r="P872" s="22" t="n">
        <x:f>IF(O872=0,0,(M872-O872)/O872)</x:f>
        <x:v>4.590107374762208</x:v>
      </x:c>
      <x:c r="Q872" s="20" t="n">
        <x:v>46190</x:v>
      </x:c>
    </x:row>
    <x:row r="873" ht="20" customHeight="1">
      <x:c r="A873" t="str">
        <x:v>WO00866</x:v>
      </x:c>
      <x:c r="B873" t="str">
        <x:v>LOT00866</x:v>
      </x:c>
      <x:c r="C873" t="str">
        <x:v>SEMI-CHB-B</x:v>
      </x:c>
      <x:c r="D873" t="n">
        <x:v>39</x:v>
      </x:c>
      <x:c r="E873" t="n">
        <x:v>2867000.19</x:v>
      </x:c>
      <x:c r="F873" t="n">
        <x:v>1.07</x:v>
      </x:c>
      <x:c r="G873" t="n">
        <x:v>0</x:v>
      </x:c>
      <x:c r="H873" t="n">
        <x:v>0.33</x:v>
      </x:c>
      <x:c r="I873" t="n">
        <x:v>3.12</x:v>
      </x:c>
      <x:c r="J873" t="n">
        <x:v>853.9</x:v>
      </x:c>
      <x:c r="K873" t="n">
        <x:v>302087.19</x:v>
      </x:c>
      <x:c r="L873" t="n">
        <x:v>1395.4</x:v>
      </x:c>
      <x:c r="M873" t="n">
        <x:f>SUM(E873,J873:L873)</x:f>
        <x:v>3171336.68</x:v>
      </x:c>
      <x:c r="N873" t="n">
        <x:v>111000</x:v>
      </x:c>
      <x:c r="O873" t="n">
        <x:f>D873*N873</x:f>
        <x:v>4329000</x:v>
      </x:c>
      <x:c r="P873" s="22" t="n">
        <x:f>IF(O873=0,0,(M873-O873)/O873)</x:f>
        <x:v>-0.2674204943404943</x:v>
      </x:c>
      <x:c r="Q873" s="20" t="n">
        <x:v>46208</x:v>
      </x:c>
    </x:row>
    <x:row r="874" ht="20" customHeight="1">
      <x:c r="A874" t="str">
        <x:v>WO00890</x:v>
      </x:c>
      <x:c r="B874" t="str">
        <x:v>LOT00890</x:v>
      </x:c>
      <x:c r="C874" t="str">
        <x:v>PM-ALB-B</x:v>
      </x:c>
      <x:c r="D874" t="n">
        <x:v>790</x:v>
      </x:c>
      <x:c r="E874" t="n">
        <x:v>6441760.64</x:v>
      </x:c>
      <x:c r="F874" t="n">
        <x:v>6.94</x:v>
      </x:c>
      <x:c r="G874" t="n">
        <x:v>0</x:v>
      </x:c>
      <x:c r="H874" t="n">
        <x:v>1.56</x:v>
      </x:c>
      <x:c r="I874" t="n">
        <x:v>1.83</x:v>
      </x:c>
      <x:c r="J874" t="n">
        <x:v>5259.8</x:v>
      </x:c>
      <x:c r="K874" t="n">
        <x:v>354353.16</x:v>
      </x:c>
      <x:c r="L874" t="n">
        <x:v>3435.8</x:v>
      </x:c>
      <x:c r="M874" t="n">
        <x:f>SUM(E874,J874:L874)</x:f>
        <x:v>6804809.399999999</x:v>
      </x:c>
      <x:c r="N874" t="n">
        <x:v>11750</x:v>
      </x:c>
      <x:c r="O874" t="n">
        <x:f>D874*N874</x:f>
        <x:v>9282500</x:v>
      </x:c>
      <x:c r="P874" s="22" t="n">
        <x:f>IF(O874=0,0,(M874-O874)/O874)</x:f>
        <x:v>-0.2669206140587127</x:v>
      </x:c>
      <x:c r="Q874" s="20" t="n">
        <x:v>46179</x:v>
      </x:c>
    </x:row>
    <x:row r="875" ht="20" customHeight="1">
      <x:c r="A875" t="str">
        <x:v>WO00889</x:v>
      </x:c>
      <x:c r="B875" t="str">
        <x:v>LOT00889</x:v>
      </x:c>
      <x:c r="C875" t="str">
        <x:v>PM-ALB-B</x:v>
      </x:c>
      <x:c r="D875" t="n">
        <x:v>791</x:v>
      </x:c>
      <x:c r="E875" t="n">
        <x:v>6348672.96</x:v>
      </x:c>
      <x:c r="F875" t="n">
        <x:v>6.73</x:v>
      </x:c>
      <x:c r="G875" t="n">
        <x:v>0</x:v>
      </x:c>
      <x:c r="H875" t="n">
        <x:v>1.32</x:v>
      </x:c>
      <x:c r="I875" t="n">
        <x:v>1.6</x:v>
      </x:c>
      <x:c r="J875" t="n">
        <x:v>5008.1</x:v>
      </x:c>
      <x:c r="K875" t="n">
        <x:v>376921.8</x:v>
      </x:c>
      <x:c r="L875" t="n">
        <x:v>3248.6</x:v>
      </x:c>
      <x:c r="M875" t="n">
        <x:f>SUM(E875,J875:L875)</x:f>
        <x:v>6733851.46</x:v>
      </x:c>
      <x:c r="N875" t="n">
        <x:v>11750</x:v>
      </x:c>
      <x:c r="O875" t="n">
        <x:f>D875*N875</x:f>
        <x:v>9294250</x:v>
      </x:c>
      <x:c r="P875" s="22" t="n">
        <x:f>IF(O875=0,0,(M875-O875)/O875)</x:f>
        <x:v>-0.2754819958576539</x:v>
      </x:c>
      <x:c r="Q875" s="20" t="n">
        <x:v>46182</x:v>
      </x:c>
    </x:row>
    <x:row r="876" ht="20" customHeight="1">
      <x:c r="A876" t="str">
        <x:v>WO00886</x:v>
      </x:c>
      <x:c r="B876" t="str">
        <x:v>LOT00886</x:v>
      </x:c>
      <x:c r="C876" t="str">
        <x:v>SEMI-CHB-B</x:v>
      </x:c>
      <x:c r="D876" t="n">
        <x:v>39</x:v>
      </x:c>
      <x:c r="E876" t="n">
        <x:v>2901074.95</x:v>
      </x:c>
      <x:c r="F876" t="n">
        <x:v>1.15</x:v>
      </x:c>
      <x:c r="G876" t="n">
        <x:v>0</x:v>
      </x:c>
      <x:c r="H876" t="n">
        <x:v>0.38</x:v>
      </x:c>
      <x:c r="I876" t="n">
        <x:v>3.04</x:v>
      </x:c>
      <x:c r="J876" t="n">
        <x:v>929.9</x:v>
      </x:c>
      <x:c r="K876" t="n">
        <x:v>332031.18</x:v>
      </x:c>
      <x:c r="L876" t="n">
        <x:v>1409.8</x:v>
      </x:c>
      <x:c r="M876" t="n">
        <x:f>SUM(E876,J876:L876)</x:f>
        <x:v>3235445.83</x:v>
      </x:c>
      <x:c r="N876" t="n">
        <x:v>111000</x:v>
      </x:c>
      <x:c r="O876" t="n">
        <x:f>D876*N876</x:f>
        <x:v>4329000</x:v>
      </x:c>
      <x:c r="P876" s="22" t="n">
        <x:f>IF(O876=0,0,(M876-O876)/O876)</x:f>
        <x:v>-0.25261126588126587</x:v>
      </x:c>
      <x:c r="Q876" s="20" t="n">
        <x:v>46218</x:v>
      </x:c>
    </x:row>
    <x:row r="877" ht="20" customHeight="1">
      <x:c r="A877" t="str">
        <x:v>WO00878</x:v>
      </x:c>
      <x:c r="B877" t="str">
        <x:v>LOT00878</x:v>
      </x:c>
      <x:c r="C877" t="str">
        <x:v>AUTO-FL-A</x:v>
      </x:c>
      <x:c r="D877" t="n">
        <x:v>4987</x:v>
      </x:c>
      <x:c r="E877" t="n">
        <x:v>3123957.39</x:v>
      </x:c>
      <x:c r="F877" t="n">
        <x:v>25.53</x:v>
      </x:c>
      <x:c r="G877" t="n">
        <x:v>0</x:v>
      </x:c>
      <x:c r="H877" t="n">
        <x:v>4.12</x:v>
      </x:c>
      <x:c r="I877" t="n">
        <x:v>1.28</x:v>
      </x:c>
      <x:c r="J877" t="n">
        <x:v>18572.1</x:v>
      </x:c>
      <x:c r="K877" t="n">
        <x:v>278029.49</x:v>
      </x:c>
      <x:c r="L877" t="n">
        <x:v>10744.6</x:v>
      </x:c>
      <x:c r="M877" t="n">
        <x:f>SUM(E877,J877:L877)</x:f>
        <x:v>3431303.58</x:v>
      </x:c>
      <x:c r="N877" t="n">
        <x:v>970</x:v>
      </x:c>
      <x:c r="O877" t="n">
        <x:f>D877*N877</x:f>
        <x:v>4837390</x:v>
      </x:c>
      <x:c r="P877" s="22" t="n">
        <x:f>IF(O877=0,0,(M877-O877)/O877)</x:f>
        <x:v>-0.29067046899257654</x:v>
      </x:c>
      <x:c r="Q877" s="20" t="n">
        <x:v>46178</x:v>
      </x:c>
    </x:row>
    <x:row r="878" ht="20" customHeight="1">
      <x:c r="A878" t="str">
        <x:v>WO00877</x:v>
      </x:c>
      <x:c r="B878" t="str">
        <x:v>LOT00877</x:v>
      </x:c>
      <x:c r="C878" t="str">
        <x:v>AUTO-FL-A</x:v>
      </x:c>
      <x:c r="D878" t="n">
        <x:v>4946</x:v>
      </x:c>
      <x:c r="E878" t="n">
        <x:v>3165917.46</x:v>
      </x:c>
      <x:c r="F878" t="n">
        <x:v>28.47</x:v>
      </x:c>
      <x:c r="G878" t="n">
        <x:v>0</x:v>
      </x:c>
      <x:c r="H878" t="n">
        <x:v>3.8</x:v>
      </x:c>
      <x:c r="I878" t="n">
        <x:v>1.17</x:v>
      </x:c>
      <x:c r="J878" t="n">
        <x:v>20329.5</x:v>
      </x:c>
      <x:c r="K878" t="n">
        <x:v>278694.65</x:v>
      </x:c>
      <x:c r="L878" t="n">
        <x:v>11777.6</x:v>
      </x:c>
      <x:c r="M878" t="n">
        <x:f>SUM(E878,J878:L878)</x:f>
        <x:v>3476719.21</x:v>
      </x:c>
      <x:c r="N878" t="n">
        <x:v>970</x:v>
      </x:c>
      <x:c r="O878" t="n">
        <x:f>D878*N878</x:f>
        <x:v>4797620</x:v>
      </x:c>
      <x:c r="P878" s="22" t="n">
        <x:f>IF(O878=0,0,(M878-O878)/O878)</x:f>
        <x:v>-0.2753241794889966</x:v>
      </x:c>
      <x:c r="Q878" s="20" t="n">
        <x:v>46178</x:v>
      </x:c>
    </x:row>
    <x:row r="879" ht="20" customHeight="1">
      <x:c r="A879" t="str">
        <x:v>WO00885</x:v>
      </x:c>
      <x:c r="B879" t="str">
        <x:v>LOT00885</x:v>
      </x:c>
      <x:c r="C879" t="str">
        <x:v>PM-ALB-B</x:v>
      </x:c>
      <x:c r="D879" t="n">
        <x:v>591</x:v>
      </x:c>
      <x:c r="E879" t="n">
        <x:v>4535385.28</x:v>
      </x:c>
      <x:c r="F879" t="n">
        <x:v>4.6</x:v>
      </x:c>
      <x:c r="G879" t="n">
        <x:v>0</x:v>
      </x:c>
      <x:c r="H879" t="n">
        <x:v>1.14</x:v>
      </x:c>
      <x:c r="I879" t="n">
        <x:v>1.84</x:v>
      </x:c>
      <x:c r="J879" t="n">
        <x:v>3537.2</x:v>
      </x:c>
      <x:c r="K879" t="n">
        <x:v>274652.34</x:v>
      </x:c>
      <x:c r="L879" t="n">
        <x:v>2482.4</x:v>
      </x:c>
      <x:c r="M879" t="n">
        <x:f>SUM(E879,J879:L879)</x:f>
        <x:v>4816057.220000001</x:v>
      </x:c>
      <x:c r="N879" t="n">
        <x:v>11750</x:v>
      </x:c>
      <x:c r="O879" t="n">
        <x:f>D879*N879</x:f>
        <x:v>6944250</x:v>
      </x:c>
      <x:c r="P879" s="22" t="n">
        <x:f>IF(O879=0,0,(M879-O879)/O879)</x:f>
        <x:v>-0.30646834143356005</x:v>
      </x:c>
      <x:c r="Q879" s="20" t="n">
        <x:v>46197</x:v>
      </x:c>
    </x:row>
    <x:row r="880" ht="20" customHeight="1">
      <x:c r="A880" t="str">
        <x:v>WO00884</x:v>
      </x:c>
      <x:c r="B880" t="str">
        <x:v>LOT00884</x:v>
      </x:c>
      <x:c r="C880" t="str">
        <x:v>PM-ALB-B</x:v>
      </x:c>
      <x:c r="D880" t="n">
        <x:v>587</x:v>
      </x:c>
      <x:c r="E880" t="n">
        <x:v>4523339.79</x:v>
      </x:c>
      <x:c r="F880" t="n">
        <x:v>5.08</x:v>
      </x:c>
      <x:c r="G880" t="n">
        <x:v>0</x:v>
      </x:c>
      <x:c r="H880" t="n">
        <x:v>1.15</x:v>
      </x:c>
      <x:c r="I880" t="n">
        <x:v>1.84</x:v>
      </x:c>
      <x:c r="J880" t="n">
        <x:v>3854</x:v>
      </x:c>
      <x:c r="K880" t="n">
        <x:v>288998.12</x:v>
      </x:c>
      <x:c r="L880" t="n">
        <x:v>2666.4</x:v>
      </x:c>
      <x:c r="M880" t="n">
        <x:f>SUM(E880,J880:L880)</x:f>
        <x:v>4818858.3100000005</x:v>
      </x:c>
      <x:c r="N880" t="n">
        <x:v>11750</x:v>
      </x:c>
      <x:c r="O880" t="n">
        <x:f>D880*N880</x:f>
        <x:v>6897250</x:v>
      </x:c>
      <x:c r="P880" s="22" t="n">
        <x:f>IF(O880=0,0,(M880-O880)/O880)</x:f>
        <x:v>-0.30133628475116886</x:v>
      </x:c>
      <x:c r="Q880" s="20" t="n">
        <x:v>46202</x:v>
      </x:c>
    </x:row>
    <x:row r="881" ht="20" customHeight="1">
      <x:c r="A881" t="str">
        <x:v>WO00892</x:v>
      </x:c>
      <x:c r="B881" t="str">
        <x:v>LOT00892</x:v>
      </x:c>
      <x:c r="C881" t="str">
        <x:v>PM-VAC-B</x:v>
      </x:c>
      <x:c r="D881" t="n">
        <x:v>792</x:v>
      </x:c>
      <x:c r="E881" t="n">
        <x:v>7462542.14</x:v>
      </x:c>
      <x:c r="F881" t="n">
        <x:v>7.51</x:v>
      </x:c>
      <x:c r="G881" t="n">
        <x:v>0</x:v>
      </x:c>
      <x:c r="H881" t="n">
        <x:v>1.54</x:v>
      </x:c>
      <x:c r="I881" t="n">
        <x:v>1.58</x:v>
      </x:c>
      <x:c r="J881" t="n">
        <x:v>5620.7</x:v>
      </x:c>
      <x:c r="K881" t="n">
        <x:v>938578.26</x:v>
      </x:c>
      <x:c r="L881" t="n">
        <x:v>3574.2</x:v>
      </x:c>
      <x:c r="M881" t="n">
        <x:f>SUM(E881,J881:L881)</x:f>
        <x:v>8410315.299999999</x:v>
      </x:c>
      <x:c r="N881" t="n">
        <x:v>15500</x:v>
      </x:c>
      <x:c r="O881" t="n">
        <x:f>D881*N881</x:f>
        <x:v>12276000</x:v>
      </x:c>
      <x:c r="P881" s="22" t="n">
        <x:f>IF(O881=0,0,(M881-O881)/O881)</x:f>
        <x:v>-0.31489774356467914</x:v>
      </x:c>
      <x:c r="Q881" s="20" t="n">
        <x:v>46199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48" hidden="0" customWidth="1"/>
    <x:col min="4" max="4" width="30" hidden="0" customWidth="1"/>
  </x:cols>
  <x:sheetData>
    <x:row r="1" ht="20" customHeight="1">
      <x:c r="A1" s="32" t="str">
        <x:v>工作表</x:v>
      </x:c>
      <x:c r="B1" s="32" t="str">
        <x:v>欄位名稱</x:v>
      </x:c>
      <x:c r="C1" s="32" t="str">
        <x:v>說明</x:v>
      </x:c>
      <x:c r="D1" s="32" t="str">
        <x:v>用途</x:v>
      </x:c>
    </x:row>
    <x:row r="2" ht="20" customHeight="1">
      <x:c r="A2" s="7" t="str">
        <x:v>客戶主檔</x:v>
      </x:c>
      <x:c r="B2" s="7" t="str">
        <x:v>Customer_ID</x:v>
      </x:c>
      <x:c r="C2" s="7" t="str">
        <x:v>產業代碼＋流水號的客戶主鍵，例如 SEM-001</x:v>
      </x:c>
      <x:c r="D2" s="7" t="str">
        <x:v>ERP主鍵</x:v>
      </x:c>
    </x:row>
    <x:row r="3" ht="20" customHeight="1">
      <x:c r="A3" s="7" t="str">
        <x:v>客戶主檔</x:v>
      </x:c>
      <x:c r="B3" s="7" t="str">
        <x:v>客戶名稱</x:v>
      </x:c>
      <x:c r="C3" s="7" t="str">
        <x:v>客戶公司名稱</x:v>
      </x:c>
      <x:c r="D3" s="7" t="str">
        <x:v>客戶識別</x:v>
      </x:c>
    </x:row>
    <x:row r="4" ht="20" customHeight="1">
      <x:c r="A4" s="7" t="str">
        <x:v>客戶主檔</x:v>
      </x:c>
      <x:c r="B4" s="7" t="str">
        <x:v>產業代碼</x:v>
      </x:c>
      <x:c r="C4" s="7" t="str">
        <x:v>AUT／AFT／IAT／SEM／EMS</x:v>
      </x:c>
      <x:c r="D4" s="7" t="str">
        <x:v>產業分類</x:v>
      </x:c>
    </x:row>
    <x:row r="5" ht="20" customHeight="1">
      <x:c r="A5" s="7" t="str">
        <x:v>客戶主檔</x:v>
      </x:c>
      <x:c r="B5" s="7" t="str">
        <x:v>產業別</x:v>
      </x:c>
      <x:c r="C5" s="7" t="str">
        <x:v>汽車 Tier 1、汽車售後、工業自動化、半導體設備、電子製造</x:v>
      </x:c>
      <x:c r="D5" s="7" t="str">
        <x:v>產業分析</x:v>
      </x:c>
    </x:row>
    <x:row r="6" ht="20" customHeight="1">
      <x:c r="A6" s="7" t="str">
        <x:v>客戶主檔</x:v>
      </x:c>
      <x:c r="B6" s="7" t="str">
        <x:v>銷售區域</x:v>
      </x:c>
      <x:c r="C6" s="7" t="str">
        <x:v>國內／東北亞／北美／歐洲／東南亞</x:v>
      </x:c>
      <x:c r="D6" s="7" t="str">
        <x:v>市場分析</x:v>
      </x:c>
    </x:row>
    <x:row r="7" ht="20" customHeight="1">
      <x:c r="A7" s="7" t="str">
        <x:v>客戶主檔</x:v>
      </x:c>
      <x:c r="B7" s="7" t="str">
        <x:v>市場國別</x:v>
      </x:c>
      <x:c r="C7" s="7" t="str">
        <x:v>台灣、日本、美國、德國、韓國、泰國、越南</x:v>
      </x:c>
      <x:c r="D7" s="7" t="str">
        <x:v>市場分析</x:v>
      </x:c>
    </x:row>
    <x:row r="8" ht="20" customHeight="1">
      <x:c r="A8" s="7" t="str">
        <x:v>客戶主檔</x:v>
      </x:c>
      <x:c r="B8" s="7" t="str">
        <x:v>客戶等級</x:v>
      </x:c>
      <x:c r="C8" s="7" t="str">
        <x:v>公司既有 Key Account 分級：VIP／重要／一般</x:v>
      </x:c>
      <x:c r="D8" s="7" t="str">
        <x:v>管理屬性，不作為K-Means特徵</x:v>
      </x:c>
    </x:row>
    <x:row r="9" ht="20" customHeight="1">
      <x:c r="A9" s="7" t="str">
        <x:v>客戶主檔</x:v>
      </x:c>
      <x:c r="B9" s="7" t="str">
        <x:v>付款條件_天</x:v>
      </x:c>
      <x:c r="C9" s="7" t="str">
        <x:v>客戶付款條件</x:v>
      </x:c>
      <x:c r="D9" s="7" t="str">
        <x:v>財務管理</x:v>
      </x:c>
    </x:row>
    <x:row r="10" ht="20" customHeight="1">
      <x:c r="A10" s="7" t="str">
        <x:v>客戶主檔</x:v>
      </x:c>
      <x:c r="B10" s="7" t="str">
        <x:v>負責業務</x:v>
      </x:c>
      <x:c r="C10" s="7" t="str">
        <x:v>業務人員ID</x:v>
      </x:c>
      <x:c r="D10" s="7" t="str">
        <x:v>業務管理</x:v>
      </x:c>
    </x:row>
    <x:row r="11" ht="20" customHeight="1">
      <x:c r="A11" s="7" t="str">
        <x:v>客戶主檔</x:v>
      </x:c>
      <x:c r="B11" s="7" t="str">
        <x:v>合作起始日期</x:v>
      </x:c>
      <x:c r="C11" s="7" t="str">
        <x:v>開始往來日期</x:v>
      </x:c>
      <x:c r="D11" s="7" t="str">
        <x:v>合作年資</x:v>
      </x:c>
    </x:row>
    <x:row r="12" ht="20" customHeight="1">
      <x:c r="A12" s="7" t="str">
        <x:v>客戶主檔</x:v>
      </x:c>
      <x:c r="B12" s="7" t="str">
        <x:v>往來狀態</x:v>
      </x:c>
      <x:c r="C12" s="7" t="str">
        <x:v>啟用</x:v>
      </x:c>
      <x:c r="D12" s="7" t="str">
        <x:v>主檔狀態</x:v>
      </x:c>
    </x:row>
    <x:row r="13" ht="20" customHeight="1">
      <x:c r="A13" s="7" t="str">
        <x:v>產品主檔</x:v>
      </x:c>
      <x:c r="B13" s="7" t="str">
        <x:v>SKU</x:v>
      </x:c>
      <x:c r="C13" s="7" t="str">
        <x:v>跨表識別／分析欄位</x:v>
      </x:c>
      <x:c r="D13" s="7" t="str">
        <x:v>ERP主鍵或管理指標</x:v>
      </x:c>
    </x:row>
    <x:row r="14" ht="20" customHeight="1">
      <x:c r="A14" s="7" t="str">
        <x:v>產品主檔</x:v>
      </x:c>
      <x:c r="B14" s="7" t="str">
        <x:v>產品線</x:v>
      </x:c>
      <x:c r="C14" s="7" t="str">
        <x:v>跨表識別／分析欄位</x:v>
      </x:c>
      <x:c r="D14" s="7" t="str">
        <x:v>ERP主鍵或管理指標</x:v>
      </x:c>
    </x:row>
    <x:row r="15" ht="20" customHeight="1">
      <x:c r="A15" s="7" t="str">
        <x:v>產品主檔</x:v>
      </x:c>
      <x:c r="B15" s="7" t="str">
        <x:v>產品名稱</x:v>
      </x:c>
      <x:c r="C15" s="7" t="str">
        <x:v>跨表識別／分析欄位</x:v>
      </x:c>
      <x:c r="D15" s="7" t="str">
        <x:v>ERP主鍵或管理指標</x:v>
      </x:c>
    </x:row>
    <x:row r="16" ht="20" customHeight="1">
      <x:c r="A16" s="7" t="str">
        <x:v>產品主檔</x:v>
      </x:c>
      <x:c r="B16" s="7" t="str">
        <x:v>標準交期_天</x:v>
      </x:c>
      <x:c r="C16" s="7" t="str">
        <x:v>跨表識別／分析欄位</x:v>
      </x:c>
      <x:c r="D16" s="7" t="str">
        <x:v>ERP主鍵或管理指標</x:v>
      </x:c>
    </x:row>
    <x:row r="17" ht="20" customHeight="1">
      <x:c r="A17" s="7" t="str">
        <x:v>報價紀錄</x:v>
      </x:c>
      <x:c r="B17" s="7" t="str">
        <x:v>報價ID</x:v>
      </x:c>
      <x:c r="C17" s="7" t="str">
        <x:v>跨表識別／分析欄位</x:v>
      </x:c>
      <x:c r="D17" s="7" t="str">
        <x:v>ERP主鍵或管理指標</x:v>
      </x:c>
    </x:row>
    <x:row r="18" ht="20" customHeight="1">
      <x:c r="A18" s="7" t="str">
        <x:v>報價紀錄</x:v>
      </x:c>
      <x:c r="B18" s="7" t="str">
        <x:v>客戶ID</x:v>
      </x:c>
      <x:c r="C18" s="7" t="str">
        <x:v>跨表識別／分析欄位</x:v>
      </x:c>
      <x:c r="D18" s="7" t="str">
        <x:v>ERP主鍵或管理指標</x:v>
      </x:c>
    </x:row>
    <x:row r="19" ht="20" customHeight="1">
      <x:c r="A19" s="7" t="str">
        <x:v>報價紀錄</x:v>
      </x:c>
      <x:c r="B19" s="7" t="str">
        <x:v>SKU</x:v>
      </x:c>
      <x:c r="C19" s="7" t="str">
        <x:v>跨表識別／分析欄位</x:v>
      </x:c>
      <x:c r="D19" s="7" t="str">
        <x:v>ERP主鍵或管理指標</x:v>
      </x:c>
    </x:row>
    <x:row r="20" ht="20" customHeight="1">
      <x:c r="A20" s="7" t="str">
        <x:v>報價紀錄</x:v>
      </x:c>
      <x:c r="B20" s="7" t="str">
        <x:v>結果</x:v>
      </x:c>
      <x:c r="C20" s="7" t="str">
        <x:v>跨表識別／分析欄位</x:v>
      </x:c>
      <x:c r="D20" s="7" t="str">
        <x:v>ERP主鍵或管理指標</x:v>
      </x:c>
    </x:row>
    <x:row r="21" ht="20" customHeight="1">
      <x:c r="A21" s="7" t="str">
        <x:v>銷售訂單</x:v>
      </x:c>
      <x:c r="B21" s="7" t="str">
        <x:v>訂單明細ID</x:v>
      </x:c>
      <x:c r="C21" s="7" t="str">
        <x:v>跨表識別／分析欄位</x:v>
      </x:c>
      <x:c r="D21" s="7" t="str">
        <x:v>ERP主鍵或管理指標</x:v>
      </x:c>
    </x:row>
    <x:row r="22" ht="20" customHeight="1">
      <x:c r="A22" s="7" t="str">
        <x:v>銷售訂單</x:v>
      </x:c>
      <x:c r="B22" s="7" t="str">
        <x:v>報價ID</x:v>
      </x:c>
      <x:c r="C22" s="7" t="str">
        <x:v>跨表識別／分析欄位</x:v>
      </x:c>
      <x:c r="D22" s="7" t="str">
        <x:v>ERP主鍵或管理指標</x:v>
      </x:c>
    </x:row>
    <x:row r="23" ht="20" customHeight="1">
      <x:c r="A23" s="7" t="str">
        <x:v>銷售訂單</x:v>
      </x:c>
      <x:c r="B23" s="7" t="str">
        <x:v>客戶ID</x:v>
      </x:c>
      <x:c r="C23" s="7" t="str">
        <x:v>跨表識別／分析欄位</x:v>
      </x:c>
      <x:c r="D23" s="7" t="str">
        <x:v>ERP主鍵或管理指標</x:v>
      </x:c>
    </x:row>
    <x:row r="24" ht="20" customHeight="1">
      <x:c r="A24" s="7" t="str">
        <x:v>銷售訂單</x:v>
      </x:c>
      <x:c r="B24" s="7" t="str">
        <x:v>SKU</x:v>
      </x:c>
      <x:c r="C24" s="7" t="str">
        <x:v>跨表識別／分析欄位</x:v>
      </x:c>
      <x:c r="D24" s="7" t="str">
        <x:v>ERP主鍵或管理指標</x:v>
      </x:c>
    </x:row>
    <x:row r="25" ht="20" customHeight="1">
      <x:c r="A25" s="7" t="str">
        <x:v>銷售訂單</x:v>
      </x:c>
      <x:c r="B25" s="7" t="str">
        <x:v>急單</x:v>
      </x:c>
      <x:c r="C25" s="7" t="str">
        <x:v>跨表識別／分析欄位</x:v>
      </x:c>
      <x:c r="D25" s="7" t="str">
        <x:v>ERP主鍵或管理指標</x:v>
      </x:c>
    </x:row>
    <x:row r="26" ht="20" customHeight="1">
      <x:c r="A26" s="7" t="str">
        <x:v>採購與到料</x:v>
      </x:c>
      <x:c r="B26" s="7" t="str">
        <x:v>採購明細ID</x:v>
      </x:c>
      <x:c r="C26" s="7" t="str">
        <x:v>跨表識別／分析欄位</x:v>
      </x:c>
      <x:c r="D26" s="7" t="str">
        <x:v>ERP主鍵或管理指標</x:v>
      </x:c>
    </x:row>
    <x:row r="27" ht="20" customHeight="1">
      <x:c r="A27" s="7" t="str">
        <x:v>採購與到料</x:v>
      </x:c>
      <x:c r="B27" s="7" t="str">
        <x:v>物料ID</x:v>
      </x:c>
      <x:c r="C27" s="7" t="str">
        <x:v>跨表識別／分析欄位</x:v>
      </x:c>
      <x:c r="D27" s="7" t="str">
        <x:v>ERP主鍵或管理指標</x:v>
      </x:c>
    </x:row>
    <x:row r="28" ht="20" customHeight="1">
      <x:c r="A28" s="7" t="str">
        <x:v>採購與到料</x:v>
      </x:c>
      <x:c r="B28" s="7" t="str">
        <x:v>承諾到料日</x:v>
      </x:c>
      <x:c r="C28" s="7" t="str">
        <x:v>跨表識別／分析欄位</x:v>
      </x:c>
      <x:c r="D28" s="7" t="str">
        <x:v>ERP主鍵或管理指標</x:v>
      </x:c>
    </x:row>
    <x:row r="29" ht="20" customHeight="1">
      <x:c r="A29" s="7" t="str">
        <x:v>庫存快照</x:v>
      </x:c>
      <x:c r="B29" s="7" t="str">
        <x:v>物料ID</x:v>
      </x:c>
      <x:c r="C29" s="7" t="str">
        <x:v>跨表識別／分析欄位</x:v>
      </x:c>
      <x:c r="D29" s="7" t="str">
        <x:v>ERP主鍵或管理指標</x:v>
      </x:c>
    </x:row>
    <x:row r="30" ht="20" customHeight="1">
      <x:c r="A30" s="7" t="str">
        <x:v>庫存快照</x:v>
      </x:c>
      <x:c r="B30" s="7" t="str">
        <x:v>現有庫存</x:v>
      </x:c>
      <x:c r="C30" s="7" t="str">
        <x:v>跨表識別／分析欄位</x:v>
      </x:c>
      <x:c r="D30" s="7" t="str">
        <x:v>ERP主鍵或管理指標</x:v>
      </x:c>
    </x:row>
    <x:row r="31" ht="20" customHeight="1">
      <x:c r="A31" s="7" t="str">
        <x:v>庫存快照</x:v>
      </x:c>
      <x:c r="B31" s="7" t="str">
        <x:v>庫齡天數</x:v>
      </x:c>
      <x:c r="C31" s="7" t="str">
        <x:v>跨表識別／分析欄位</x:v>
      </x:c>
      <x:c r="D31" s="7" t="str">
        <x:v>ERP主鍵或管理指標</x:v>
      </x:c>
    </x:row>
    <x:row r="32" ht="20" customHeight="1">
      <x:c r="A32" s="7" t="str">
        <x:v>庫存快照</x:v>
      </x:c>
      <x:c r="B32" s="7" t="str">
        <x:v>庫存狀態</x:v>
      </x:c>
      <x:c r="C32" s="7" t="str">
        <x:v>跨表識別／分析欄位</x:v>
      </x:c>
      <x:c r="D32" s="7" t="str">
        <x:v>ERP主鍵或管理指標</x:v>
      </x:c>
    </x:row>
    <x:row r="33" ht="20" customHeight="1">
      <x:c r="A33" s="7" t="str">
        <x:v>出貨與客退</x:v>
      </x:c>
      <x:c r="B33" s="7" t="str">
        <x:v>出貨明細ID</x:v>
      </x:c>
      <x:c r="C33" s="7" t="str">
        <x:v>跨表識別／分析欄位</x:v>
      </x:c>
      <x:c r="D33" s="7" t="str">
        <x:v>ERP主鍵或管理指標</x:v>
      </x:c>
    </x:row>
    <x:row r="34" ht="20" customHeight="1">
      <x:c r="A34" s="7" t="str">
        <x:v>出貨與客退</x:v>
      </x:c>
      <x:c r="B34" s="7" t="str">
        <x:v>訂單明細ID</x:v>
      </x:c>
      <x:c r="C34" s="7" t="str">
        <x:v>跨表識別／分析欄位</x:v>
      </x:c>
      <x:c r="D34" s="7" t="str">
        <x:v>ERP主鍵或管理指標</x:v>
      </x:c>
    </x:row>
    <x:row r="35" ht="20" customHeight="1">
      <x:c r="A35" s="7" t="str">
        <x:v>出貨與客退</x:v>
      </x:c>
      <x:c r="B35" s="7" t="str">
        <x:v>工單ID</x:v>
      </x:c>
      <x:c r="C35" s="7" t="str">
        <x:v>跨表識別／分析欄位</x:v>
      </x:c>
      <x:c r="D35" s="7" t="str">
        <x:v>ERP主鍵或管理指標</x:v>
      </x:c>
    </x:row>
    <x:row r="36" ht="20" customHeight="1">
      <x:c r="A36" s="7" t="str">
        <x:v>出貨與客退</x:v>
      </x:c>
      <x:c r="B36" s="7" t="str">
        <x:v>準時交貨</x:v>
      </x:c>
      <x:c r="C36" s="7" t="str">
        <x:v>跨表識別／分析欄位</x:v>
      </x:c>
      <x:c r="D36" s="7" t="str">
        <x:v>ERP主鍵或管理指標</x:v>
      </x:c>
    </x:row>
    <x:row r="37" ht="20" customHeight="1">
      <x:c r="A37" s="7" t="str">
        <x:v>成本結算</x:v>
      </x:c>
      <x:c r="B37" s="7" t="str">
        <x:v>工單ID</x:v>
      </x:c>
      <x:c r="C37" s="7" t="str">
        <x:v>跨表識別／分析欄位</x:v>
      </x:c>
      <x:c r="D37" s="7" t="str">
        <x:v>ERP主鍵或管理指標</x:v>
      </x:c>
    </x:row>
    <x:row r="38" ht="20" customHeight="1">
      <x:c r="A38" s="7" t="str">
        <x:v>成本結算</x:v>
      </x:c>
      <x:c r="B38" s="7" t="str">
        <x:v>實際製造成本_TWD</x:v>
      </x:c>
      <x:c r="C38" s="7" t="str">
        <x:v>跨表識別／分析欄位</x:v>
      </x:c>
      <x:c r="D38" s="7" t="str">
        <x:v>ERP主鍵或管理指標</x:v>
      </x:c>
    </x:row>
    <x:row r="39" ht="20" customHeight="1">
      <x:c r="A39" s="7" t="str">
        <x:v>成本結算</x:v>
      </x:c>
      <x:c r="B39" s="7" t="str">
        <x:v>成本差異率</x:v>
      </x:c>
      <x:c r="C39" s="7" t="str">
        <x:v>跨表識別／分析欄位</x:v>
      </x:c>
      <x:c r="D39" s="7" t="str">
        <x:v>ERP主鍵或管理指標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42" hidden="0" customWidth="1"/>
    <x:col min="5" max="5" width="46" hidden="0" customWidth="1"/>
  </x:cols>
  <x:sheetData>
    <x:row r="1">
      <x:c r="A1" s="31" t="str">
        <x:v>產業代碼</x:v>
      </x:c>
      <x:c r="B1" s="31" t="str">
        <x:v>產業別</x:v>
      </x:c>
      <x:c r="C1" s="31" t="str">
        <x:v>Customer_ID範例</x:v>
      </x:c>
      <x:c r="D1" s="31" t="str">
        <x:v>可銷售市場</x:v>
      </x:c>
      <x:c r="E1" s="31" t="str">
        <x:v>限制</x:v>
      </x:c>
    </x:row>
    <x:row r="2">
      <x:c r="A2" s="7" t="str">
        <x:v>AUT</x:v>
      </x:c>
      <x:c r="B2" s="7" t="str">
        <x:v>汽車 Tier 1</x:v>
      </x:c>
      <x:c r="C2" s="7" t="str">
        <x:v>AUT-001</x:v>
      </x:c>
      <x:c r="D2" s="7" t="str">
        <x:v>台灣、日本、美國、德國、泰國、越南</x:v>
      </x:c>
      <x:c r="E2" s="7" t="str">
        <x:v>不配置半導體設備零組件</x:v>
      </x:c>
    </x:row>
    <x:row r="3">
      <x:c r="A3" s="7" t="str">
        <x:v>AFT</x:v>
      </x:c>
      <x:c r="B3" s="7" t="str">
        <x:v>汽車售後／零配件</x:v>
      </x:c>
      <x:c r="C3" s="7" t="str">
        <x:v>AFT-001</x:v>
      </x:c>
      <x:c r="D3" s="7" t="str">
        <x:v>台灣、日本、美國、泰國、越南</x:v>
      </x:c>
      <x:c r="E3" s="7" t="str">
        <x:v>不配置機電模組與半導體設備零組件</x:v>
      </x:c>
    </x:row>
    <x:row r="4">
      <x:c r="A4" s="7" t="str">
        <x:v>IAT</x:v>
      </x:c>
      <x:c r="B4" s="7" t="str">
        <x:v>工業自動化／設備商</x:v>
      </x:c>
      <x:c r="C4" s="7" t="str">
        <x:v>IAT-001</x:v>
      </x:c>
      <x:c r="D4" s="7" t="str">
        <x:v>台灣、日本、美國、德國、泰國、越南</x:v>
      </x:c>
      <x:c r="E4" s="7" t="str">
        <x:v>以精密加工與機電模組為主</x:v>
      </x:c>
    </x:row>
    <x:row r="5">
      <x:c r="A5" s="7" t="str">
        <x:v>SEM</x:v>
      </x:c>
      <x:c r="B5" s="7" t="str">
        <x:v>半導體設備</x:v>
      </x:c>
      <x:c r="C5" s="7" t="str">
        <x:v>SEM-001</x:v>
      </x:c>
      <x:c r="D5" s="7" t="str">
        <x:v>台灣、日本、美國、韓國、德國</x:v>
      </x:c>
      <x:c r="E5" s="7" t="str">
        <x:v>不配置東南亞；不配置汽車精密零組件</x:v>
      </x:c>
    </x:row>
    <x:row r="6">
      <x:c r="A6" s="7" t="str">
        <x:v>EMS</x:v>
      </x:c>
      <x:c r="B6" s="7" t="str">
        <x:v>電子製造／EMS</x:v>
      </x:c>
      <x:c r="C6" s="7" t="str">
        <x:v>EMS-001</x:v>
      </x:c>
      <x:c r="D6" s="7" t="str">
        <x:v>台灣、日本、美國、泰國、越南</x:v>
      </x:c>
      <x:c r="E6" s="7" t="str">
        <x:v>以精密加工與自動化模組為主</x:v>
      </x:c>
    </x:row>
  </x:sheetData>
  <x:pageMargins left="0.7" right="0.7" top="0.75" bottom="0.75" header="0.3" footer="0.3"/>
</x:worksheet>
</file>